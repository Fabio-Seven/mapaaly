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945" windowWidth="14805" windowHeight="7170"/>
  </bookViews>
  <sheets>
    <sheet name="Plan3" sheetId="20" r:id="rId1"/>
    <sheet name="RM" sheetId="18" r:id="rId2"/>
    <sheet name="Ok" sheetId="17" r:id="rId3"/>
    <sheet name="Plan5" sheetId="6" r:id="rId4"/>
    <sheet name="Plan2" sheetId="13" r:id="rId5"/>
    <sheet name="Plan1" sheetId="14" r:id="rId6"/>
    <sheet name="Plan4" sheetId="16" r:id="rId7"/>
  </sheets>
  <definedNames>
    <definedName name="_xlnm._FilterDatabase" localSheetId="6" hidden="1">Plan4!$A$1:$GU$3319</definedName>
  </definedNames>
  <calcPr calcId="144525"/>
</workbook>
</file>

<file path=xl/calcChain.xml><?xml version="1.0" encoding="utf-8"?>
<calcChain xmlns="http://schemas.openxmlformats.org/spreadsheetml/2006/main">
  <c r="K3" i="20" l="1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2" i="20"/>
  <c r="B2" i="20"/>
  <c r="H3" i="20"/>
  <c r="B3" i="20" s="1"/>
  <c r="H4" i="20" l="1"/>
  <c r="B4" i="20" s="1"/>
  <c r="H5" i="20" l="1"/>
  <c r="B5" i="20" s="1"/>
  <c r="J106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G3" i="18"/>
  <c r="G4" i="18" s="1"/>
  <c r="J2" i="18"/>
  <c r="C2" i="18"/>
  <c r="H6" i="20" l="1"/>
  <c r="B6" i="20" s="1"/>
  <c r="C3" i="18"/>
  <c r="G5" i="18"/>
  <c r="C4" i="18"/>
  <c r="G122" i="17"/>
  <c r="G105" i="17"/>
  <c r="G106" i="17" s="1"/>
  <c r="G107" i="17" s="1"/>
  <c r="G108" i="17" s="1"/>
  <c r="G109" i="17" s="1"/>
  <c r="G110" i="17" s="1"/>
  <c r="G111" i="17" s="1"/>
  <c r="G112" i="17" s="1"/>
  <c r="G113" i="17" s="1"/>
  <c r="G114" i="17" s="1"/>
  <c r="G115" i="17" s="1"/>
  <c r="G116" i="17" s="1"/>
  <c r="G117" i="17" s="1"/>
  <c r="G118" i="17" s="1"/>
  <c r="G119" i="17" s="1"/>
  <c r="G120" i="17" s="1"/>
  <c r="G121" i="17" s="1"/>
  <c r="G88" i="17"/>
  <c r="G89" i="17" s="1"/>
  <c r="G90" i="17" s="1"/>
  <c r="G91" i="17" s="1"/>
  <c r="G92" i="17" s="1"/>
  <c r="G93" i="17" s="1"/>
  <c r="G94" i="17" s="1"/>
  <c r="G95" i="17" s="1"/>
  <c r="G96" i="17" s="1"/>
  <c r="G97" i="17" s="1"/>
  <c r="G98" i="17" s="1"/>
  <c r="G99" i="17" s="1"/>
  <c r="G100" i="17" s="1"/>
  <c r="G101" i="17" s="1"/>
  <c r="G102" i="17" s="1"/>
  <c r="G103" i="17" s="1"/>
  <c r="G104" i="17" s="1"/>
  <c r="G71" i="17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54" i="17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37" i="17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20" i="17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H7" i="20" l="1"/>
  <c r="B7" i="20" s="1"/>
  <c r="G6" i="18"/>
  <c r="C5" i="18"/>
  <c r="J115" i="17"/>
  <c r="J114" i="17"/>
  <c r="J113" i="17"/>
  <c r="J110" i="17"/>
  <c r="J109" i="17"/>
  <c r="J108" i="17"/>
  <c r="J107" i="17"/>
  <c r="J105" i="17"/>
  <c r="J104" i="17"/>
  <c r="J103" i="17"/>
  <c r="J102" i="17"/>
  <c r="J101" i="17"/>
  <c r="J100" i="17"/>
  <c r="J99" i="17"/>
  <c r="J98" i="17"/>
  <c r="J97" i="17"/>
  <c r="J95" i="17"/>
  <c r="J94" i="17"/>
  <c r="J93" i="17"/>
  <c r="J92" i="17"/>
  <c r="J91" i="17"/>
  <c r="J89" i="17"/>
  <c r="J87" i="17"/>
  <c r="J86" i="17"/>
  <c r="J85" i="17"/>
  <c r="J84" i="17"/>
  <c r="J82" i="17"/>
  <c r="J81" i="17"/>
  <c r="J80" i="17"/>
  <c r="J79" i="17"/>
  <c r="J78" i="17"/>
  <c r="J77" i="17"/>
  <c r="J76" i="17"/>
  <c r="J75" i="17"/>
  <c r="J74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39" i="17"/>
  <c r="J38" i="17"/>
  <c r="J37" i="17"/>
  <c r="J35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J2" i="17"/>
  <c r="J116" i="17"/>
  <c r="J117" i="17"/>
  <c r="J118" i="17"/>
  <c r="J119" i="17"/>
  <c r="J120" i="17"/>
  <c r="J121" i="17"/>
  <c r="J122" i="17"/>
  <c r="H8" i="20" l="1"/>
  <c r="B8" i="20" s="1"/>
  <c r="C6" i="18"/>
  <c r="G7" i="18"/>
  <c r="D6" i="6"/>
  <c r="C122" i="17"/>
  <c r="C121" i="17"/>
  <c r="C120" i="17"/>
  <c r="C119" i="17"/>
  <c r="C118" i="17"/>
  <c r="C117" i="17"/>
  <c r="C116" i="17"/>
  <c r="C115" i="17"/>
  <c r="C114" i="17"/>
  <c r="C113" i="17"/>
  <c r="C112" i="17"/>
  <c r="J112" i="17" s="1"/>
  <c r="C111" i="17"/>
  <c r="J111" i="17" s="1"/>
  <c r="C110" i="17"/>
  <c r="C109" i="17"/>
  <c r="C108" i="17"/>
  <c r="C107" i="17"/>
  <c r="C106" i="17"/>
  <c r="J106" i="17" s="1"/>
  <c r="C105" i="17"/>
  <c r="C104" i="17"/>
  <c r="C103" i="17"/>
  <c r="C102" i="17"/>
  <c r="C101" i="17"/>
  <c r="C100" i="17"/>
  <c r="C99" i="17"/>
  <c r="C98" i="17"/>
  <c r="C97" i="17"/>
  <c r="C96" i="17"/>
  <c r="J96" i="17" s="1"/>
  <c r="C95" i="17"/>
  <c r="C94" i="17"/>
  <c r="C93" i="17"/>
  <c r="C92" i="17"/>
  <c r="C91" i="17"/>
  <c r="C90" i="17"/>
  <c r="J90" i="17" s="1"/>
  <c r="C89" i="17"/>
  <c r="C88" i="17"/>
  <c r="J88" i="17" s="1"/>
  <c r="C87" i="17"/>
  <c r="C86" i="17"/>
  <c r="C85" i="17"/>
  <c r="C84" i="17"/>
  <c r="C83" i="17"/>
  <c r="J83" i="17" s="1"/>
  <c r="C82" i="17"/>
  <c r="C81" i="17"/>
  <c r="C80" i="17"/>
  <c r="C79" i="17"/>
  <c r="C78" i="17"/>
  <c r="C77" i="17"/>
  <c r="C76" i="17"/>
  <c r="C75" i="17"/>
  <c r="C74" i="17"/>
  <c r="C73" i="17"/>
  <c r="J73" i="17" s="1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J40" i="17" s="1"/>
  <c r="C39" i="17"/>
  <c r="C38" i="17"/>
  <c r="C37" i="17"/>
  <c r="C36" i="17"/>
  <c r="J36" i="17" s="1"/>
  <c r="C35" i="17"/>
  <c r="C34" i="17"/>
  <c r="J34" i="17" s="1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H9" i="20" l="1"/>
  <c r="B9" i="20" s="1"/>
  <c r="G8" i="18"/>
  <c r="C7" i="18"/>
  <c r="F1153" i="16"/>
  <c r="F2520" i="16"/>
  <c r="F2506" i="16"/>
  <c r="F2476" i="16"/>
  <c r="F2445" i="16"/>
  <c r="F2377" i="16"/>
  <c r="F2367" i="16"/>
  <c r="F2354" i="16"/>
  <c r="F2335" i="16"/>
  <c r="F2327" i="16"/>
  <c r="F2279" i="16"/>
  <c r="F2223" i="16"/>
  <c r="F2143" i="16"/>
  <c r="F2047" i="16"/>
  <c r="F2024" i="16"/>
  <c r="F2004" i="16"/>
  <c r="F1949" i="16"/>
  <c r="F1923" i="16"/>
  <c r="F1918" i="16"/>
  <c r="F1903" i="16"/>
  <c r="F1882" i="16"/>
  <c r="F1846" i="16"/>
  <c r="F1807" i="16"/>
  <c r="F1794" i="16"/>
  <c r="F1775" i="16"/>
  <c r="F1758" i="16"/>
  <c r="F1729" i="16"/>
  <c r="F1692" i="16"/>
  <c r="F1664" i="16"/>
  <c r="F1638" i="16"/>
  <c r="F1612" i="16"/>
  <c r="F1554" i="16"/>
  <c r="F1546" i="16"/>
  <c r="F1457" i="16"/>
  <c r="F1382" i="16"/>
  <c r="F1352" i="16"/>
  <c r="F1340" i="16"/>
  <c r="F1321" i="16"/>
  <c r="F1297" i="16"/>
  <c r="F1281" i="16"/>
  <c r="F1275" i="16"/>
  <c r="F1241" i="16"/>
  <c r="F1227" i="16"/>
  <c r="F1211" i="16"/>
  <c r="F1187" i="16"/>
  <c r="F1164" i="16"/>
  <c r="F1079" i="16"/>
  <c r="F1051" i="16"/>
  <c r="F985" i="16"/>
  <c r="F976" i="16"/>
  <c r="F848" i="16"/>
  <c r="F840" i="16"/>
  <c r="F836" i="16"/>
  <c r="F816" i="16"/>
  <c r="F807" i="16"/>
  <c r="F747" i="16"/>
  <c r="F711" i="16"/>
  <c r="F673" i="16"/>
  <c r="F664" i="16"/>
  <c r="F649" i="16"/>
  <c r="F638" i="16"/>
  <c r="F576" i="16"/>
  <c r="F464" i="16"/>
  <c r="F433" i="16"/>
  <c r="F405" i="16"/>
  <c r="F378" i="16"/>
  <c r="F344" i="16"/>
  <c r="F316" i="16"/>
  <c r="F210" i="16"/>
  <c r="F195" i="16"/>
  <c r="F153" i="16"/>
  <c r="F150" i="16"/>
  <c r="F144" i="16"/>
  <c r="F126" i="16"/>
  <c r="F72" i="16"/>
  <c r="F64" i="16"/>
  <c r="D3319" i="16"/>
  <c r="D3325" i="16" s="1"/>
  <c r="F2528" i="16"/>
  <c r="F2535" i="16"/>
  <c r="F2584" i="16"/>
  <c r="F2655" i="16"/>
  <c r="F2662" i="16"/>
  <c r="F2671" i="16"/>
  <c r="F2684" i="16"/>
  <c r="F2715" i="16"/>
  <c r="F2739" i="16"/>
  <c r="F2754" i="16"/>
  <c r="F2755" i="16"/>
  <c r="F2852" i="16"/>
  <c r="F2882" i="16"/>
  <c r="F2915" i="16"/>
  <c r="F2959" i="16"/>
  <c r="F2963" i="16"/>
  <c r="F3000" i="16"/>
  <c r="F3010" i="16"/>
  <c r="F3052" i="16"/>
  <c r="F3097" i="16"/>
  <c r="F3138" i="16"/>
  <c r="F3151" i="16"/>
  <c r="F3166" i="16"/>
  <c r="F3214" i="16"/>
  <c r="F3242" i="16"/>
  <c r="F3318" i="16"/>
  <c r="H10" i="20" l="1"/>
  <c r="B10" i="20" s="1"/>
  <c r="G9" i="18"/>
  <c r="C8" i="18"/>
  <c r="F3319" i="16"/>
  <c r="G3319" i="16" s="1"/>
  <c r="K122" i="14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5" i="6"/>
  <c r="D4" i="6"/>
  <c r="D3" i="6"/>
  <c r="D2" i="6"/>
  <c r="J122" i="14"/>
  <c r="H11" i="20" l="1"/>
  <c r="B11" i="20" s="1"/>
  <c r="G10" i="18"/>
  <c r="C9" i="18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1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A2" i="14"/>
  <c r="A3" i="14" s="1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H1" i="14"/>
  <c r="H12" i="20" l="1"/>
  <c r="B12" i="20" s="1"/>
  <c r="G11" i="18"/>
  <c r="C10" i="18"/>
  <c r="A122" i="6"/>
  <c r="A75" i="6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74" i="6"/>
  <c r="A33" i="6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23" i="6"/>
  <c r="A24" i="6" s="1"/>
  <c r="A25" i="6" s="1"/>
  <c r="A26" i="6" s="1"/>
  <c r="A27" i="6" s="1"/>
  <c r="A28" i="6" s="1"/>
  <c r="A29" i="6" s="1"/>
  <c r="A30" i="6" s="1"/>
  <c r="A31" i="6" s="1"/>
  <c r="A32" i="6" s="1"/>
  <c r="A13" i="6"/>
  <c r="A14" i="6" s="1"/>
  <c r="A15" i="6" s="1"/>
  <c r="A16" i="6" s="1"/>
  <c r="A17" i="6" s="1"/>
  <c r="A18" i="6" s="1"/>
  <c r="A19" i="6" s="1"/>
  <c r="A20" i="6" s="1"/>
  <c r="A21" i="6" s="1"/>
  <c r="A22" i="6" s="1"/>
  <c r="A12" i="6"/>
  <c r="A11" i="6"/>
  <c r="A10" i="6"/>
  <c r="A9" i="6"/>
  <c r="A8" i="6"/>
  <c r="A7" i="6"/>
  <c r="A6" i="6"/>
  <c r="A5" i="6"/>
  <c r="A4" i="6"/>
  <c r="A3" i="6"/>
  <c r="H13" i="20" l="1"/>
  <c r="B13" i="20" s="1"/>
  <c r="C11" i="18"/>
  <c r="G12" i="18"/>
  <c r="A62" i="6"/>
  <c r="H14" i="20" l="1"/>
  <c r="B14" i="20" s="1"/>
  <c r="G13" i="18"/>
  <c r="C12" i="18"/>
  <c r="A63" i="6"/>
  <c r="A64" i="6"/>
  <c r="A65" i="6" s="1"/>
  <c r="A66" i="6" s="1"/>
  <c r="A67" i="6" s="1"/>
  <c r="A68" i="6" s="1"/>
  <c r="A69" i="6" s="1"/>
  <c r="A70" i="6" s="1"/>
  <c r="A71" i="6" s="1"/>
  <c r="A72" i="6" s="1"/>
  <c r="A73" i="6" s="1"/>
  <c r="A103" i="6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H15" i="20" l="1"/>
  <c r="B15" i="20" s="1"/>
  <c r="G14" i="18"/>
  <c r="C13" i="18"/>
  <c r="A91" i="14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J18" i="17"/>
  <c r="H16" i="20" l="1"/>
  <c r="B16" i="20" s="1"/>
  <c r="C14" i="18"/>
  <c r="G15" i="18"/>
  <c r="H17" i="20" l="1"/>
  <c r="B17" i="20" s="1"/>
  <c r="C15" i="18"/>
  <c r="G16" i="18"/>
  <c r="H18" i="20" l="1"/>
  <c r="B18" i="20" s="1"/>
  <c r="G17" i="18"/>
  <c r="C16" i="18"/>
  <c r="H19" i="20" l="1"/>
  <c r="B19" i="20" s="1"/>
  <c r="G18" i="18"/>
  <c r="C17" i="18"/>
  <c r="H20" i="20" l="1"/>
  <c r="B20" i="20" s="1"/>
  <c r="G19" i="18"/>
  <c r="C18" i="18"/>
  <c r="H21" i="20" l="1"/>
  <c r="B21" i="20" s="1"/>
  <c r="C19" i="18"/>
  <c r="G20" i="18"/>
  <c r="H22" i="20" l="1"/>
  <c r="B22" i="20" s="1"/>
  <c r="G21" i="18"/>
  <c r="C20" i="18"/>
  <c r="H23" i="20" l="1"/>
  <c r="B23" i="20" s="1"/>
  <c r="G22" i="18"/>
  <c r="C21" i="18"/>
  <c r="H24" i="20" l="1"/>
  <c r="B24" i="20" s="1"/>
  <c r="G23" i="18"/>
  <c r="C22" i="18"/>
  <c r="H25" i="20" l="1"/>
  <c r="B25" i="20" s="1"/>
  <c r="C23" i="18"/>
  <c r="G24" i="18"/>
  <c r="H26" i="20" l="1"/>
  <c r="B26" i="20" s="1"/>
  <c r="G25" i="18"/>
  <c r="C24" i="18"/>
  <c r="H27" i="20" l="1"/>
  <c r="B27" i="20" s="1"/>
  <c r="G26" i="18"/>
  <c r="C25" i="18"/>
  <c r="H28" i="20" l="1"/>
  <c r="B28" i="20" s="1"/>
  <c r="G27" i="18"/>
  <c r="C26" i="18"/>
  <c r="H29" i="20" l="1"/>
  <c r="B29" i="20" s="1"/>
  <c r="C27" i="18"/>
  <c r="G28" i="18"/>
  <c r="H30" i="20" l="1"/>
  <c r="B30" i="20" s="1"/>
  <c r="G29" i="18"/>
  <c r="C28" i="18"/>
  <c r="H31" i="20" l="1"/>
  <c r="B31" i="20" s="1"/>
  <c r="G30" i="18"/>
  <c r="C29" i="18"/>
  <c r="H32" i="20" l="1"/>
  <c r="B32" i="20" s="1"/>
  <c r="G31" i="18"/>
  <c r="C30" i="18"/>
  <c r="H33" i="20" l="1"/>
  <c r="B33" i="20" s="1"/>
  <c r="C31" i="18"/>
  <c r="G32" i="18"/>
  <c r="H34" i="20" l="1"/>
  <c r="B34" i="20" s="1"/>
  <c r="G33" i="18"/>
  <c r="C32" i="18"/>
  <c r="H35" i="20" l="1"/>
  <c r="B35" i="20" s="1"/>
  <c r="G34" i="18"/>
  <c r="C33" i="18"/>
  <c r="H36" i="20" l="1"/>
  <c r="B36" i="20" s="1"/>
  <c r="G35" i="18"/>
  <c r="C34" i="18"/>
  <c r="H37" i="20" l="1"/>
  <c r="B37" i="20" s="1"/>
  <c r="G36" i="18"/>
  <c r="C35" i="18"/>
  <c r="H38" i="20" l="1"/>
  <c r="B38" i="20" s="1"/>
  <c r="G37" i="18"/>
  <c r="C36" i="18"/>
  <c r="H39" i="20" l="1"/>
  <c r="B39" i="20" s="1"/>
  <c r="G38" i="18"/>
  <c r="C37" i="18"/>
  <c r="H40" i="20" l="1"/>
  <c r="B40" i="20" s="1"/>
  <c r="G39" i="18"/>
  <c r="C38" i="18"/>
  <c r="H41" i="20" l="1"/>
  <c r="B41" i="20" s="1"/>
  <c r="C39" i="18"/>
  <c r="G40" i="18"/>
  <c r="H42" i="20" l="1"/>
  <c r="B42" i="20" s="1"/>
  <c r="G41" i="18"/>
  <c r="C40" i="18"/>
  <c r="H43" i="20" l="1"/>
  <c r="B43" i="20" s="1"/>
  <c r="G42" i="18"/>
  <c r="C41" i="18"/>
  <c r="H44" i="20" l="1"/>
  <c r="B44" i="20" s="1"/>
  <c r="G43" i="18"/>
  <c r="C42" i="18"/>
  <c r="H45" i="20" l="1"/>
  <c r="B45" i="20" s="1"/>
  <c r="C43" i="18"/>
  <c r="G44" i="18"/>
  <c r="H46" i="20" l="1"/>
  <c r="B46" i="20" s="1"/>
  <c r="G45" i="18"/>
  <c r="C44" i="18"/>
  <c r="H47" i="20" l="1"/>
  <c r="B47" i="20" s="1"/>
  <c r="G46" i="18"/>
  <c r="C45" i="18"/>
  <c r="H48" i="20" l="1"/>
  <c r="B48" i="20" s="1"/>
  <c r="G47" i="18"/>
  <c r="C46" i="18"/>
  <c r="H49" i="20" l="1"/>
  <c r="B49" i="20" s="1"/>
  <c r="G48" i="18"/>
  <c r="C47" i="18"/>
  <c r="H50" i="20" l="1"/>
  <c r="B50" i="20" s="1"/>
  <c r="G49" i="18"/>
  <c r="C48" i="18"/>
  <c r="H51" i="20" l="1"/>
  <c r="B51" i="20" s="1"/>
  <c r="G50" i="18"/>
  <c r="C49" i="18"/>
  <c r="H52" i="20" l="1"/>
  <c r="B52" i="20" s="1"/>
  <c r="G51" i="18"/>
  <c r="C50" i="18"/>
  <c r="H53" i="20" l="1"/>
  <c r="B53" i="20" s="1"/>
  <c r="G52" i="18"/>
  <c r="C51" i="18"/>
  <c r="H54" i="20" l="1"/>
  <c r="B54" i="20" s="1"/>
  <c r="G53" i="18"/>
  <c r="C52" i="18"/>
  <c r="H55" i="20" l="1"/>
  <c r="B55" i="20" s="1"/>
  <c r="G54" i="18"/>
  <c r="C53" i="18"/>
  <c r="H56" i="20" l="1"/>
  <c r="B56" i="20" s="1"/>
  <c r="G55" i="18"/>
  <c r="C54" i="18"/>
  <c r="H57" i="20" l="1"/>
  <c r="B57" i="20" s="1"/>
  <c r="C55" i="18"/>
  <c r="G56" i="18"/>
  <c r="H58" i="20" l="1"/>
  <c r="B58" i="20" s="1"/>
  <c r="G57" i="18"/>
  <c r="C56" i="18"/>
  <c r="H59" i="20" l="1"/>
  <c r="B59" i="20" s="1"/>
  <c r="G58" i="18"/>
  <c r="C57" i="18"/>
  <c r="H60" i="20" l="1"/>
  <c r="B60" i="20" s="1"/>
  <c r="G59" i="18"/>
  <c r="C58" i="18"/>
  <c r="H61" i="20" l="1"/>
  <c r="B61" i="20" s="1"/>
  <c r="C59" i="18"/>
  <c r="G60" i="18"/>
  <c r="H62" i="20" l="1"/>
  <c r="B62" i="20" s="1"/>
  <c r="G61" i="18"/>
  <c r="C60" i="18"/>
  <c r="H63" i="20" l="1"/>
  <c r="B63" i="20" s="1"/>
  <c r="G62" i="18"/>
  <c r="C61" i="18"/>
  <c r="H64" i="20" l="1"/>
  <c r="B64" i="20" s="1"/>
  <c r="G63" i="18"/>
  <c r="C62" i="18"/>
  <c r="H65" i="20" l="1"/>
  <c r="B65" i="20" s="1"/>
  <c r="G64" i="18"/>
  <c r="C63" i="18"/>
  <c r="H66" i="20" l="1"/>
  <c r="B66" i="20" s="1"/>
  <c r="G65" i="18"/>
  <c r="C64" i="18"/>
  <c r="H67" i="20" l="1"/>
  <c r="B67" i="20" s="1"/>
  <c r="G66" i="18"/>
  <c r="C65" i="18"/>
  <c r="H68" i="20" l="1"/>
  <c r="B68" i="20" s="1"/>
  <c r="G67" i="18"/>
  <c r="C66" i="18"/>
  <c r="H69" i="20" l="1"/>
  <c r="B69" i="20" s="1"/>
  <c r="G68" i="18"/>
  <c r="C67" i="18"/>
  <c r="H70" i="20" l="1"/>
  <c r="B70" i="20" s="1"/>
  <c r="G69" i="18"/>
  <c r="G70" i="18" s="1"/>
  <c r="C70" i="18" s="1"/>
  <c r="C68" i="18"/>
  <c r="H71" i="20" l="1"/>
  <c r="B71" i="20" s="1"/>
  <c r="C69" i="18"/>
  <c r="H72" i="20" l="1"/>
  <c r="B72" i="20" s="1"/>
  <c r="G71" i="18"/>
  <c r="H73" i="20" l="1"/>
  <c r="B73" i="20" s="1"/>
  <c r="G72" i="18"/>
  <c r="C71" i="18"/>
  <c r="H74" i="20" l="1"/>
  <c r="B74" i="20" s="1"/>
  <c r="G73" i="18"/>
  <c r="C72" i="18"/>
  <c r="H75" i="20" l="1"/>
  <c r="B75" i="20" s="1"/>
  <c r="G74" i="18"/>
  <c r="C73" i="18"/>
  <c r="H76" i="20" l="1"/>
  <c r="B76" i="20" s="1"/>
  <c r="C74" i="18"/>
  <c r="G75" i="18"/>
  <c r="H77" i="20" l="1"/>
  <c r="B77" i="20" s="1"/>
  <c r="G76" i="18"/>
  <c r="C75" i="18"/>
  <c r="H78" i="20" l="1"/>
  <c r="B78" i="20" s="1"/>
  <c r="G77" i="18"/>
  <c r="C76" i="18"/>
  <c r="H79" i="20" l="1"/>
  <c r="B79" i="20" s="1"/>
  <c r="G78" i="18"/>
  <c r="C77" i="18"/>
  <c r="H80" i="20" l="1"/>
  <c r="B80" i="20" s="1"/>
  <c r="G79" i="18"/>
  <c r="C78" i="18"/>
  <c r="H81" i="20" l="1"/>
  <c r="B81" i="20" s="1"/>
  <c r="G80" i="18"/>
  <c r="C79" i="18"/>
  <c r="H82" i="20" l="1"/>
  <c r="B82" i="20" s="1"/>
  <c r="G81" i="18"/>
  <c r="C80" i="18"/>
  <c r="H83" i="20" l="1"/>
  <c r="B83" i="20" s="1"/>
  <c r="G82" i="18"/>
  <c r="C81" i="18"/>
  <c r="H84" i="20" l="1"/>
  <c r="B84" i="20" s="1"/>
  <c r="G83" i="18"/>
  <c r="C82" i="18"/>
  <c r="H85" i="20" l="1"/>
  <c r="B85" i="20" s="1"/>
  <c r="G84" i="18"/>
  <c r="C83" i="18"/>
  <c r="H86" i="20" l="1"/>
  <c r="B86" i="20" s="1"/>
  <c r="G85" i="18"/>
  <c r="C84" i="18"/>
  <c r="H87" i="20" l="1"/>
  <c r="B87" i="20" s="1"/>
  <c r="G86" i="18"/>
  <c r="C85" i="18"/>
  <c r="H88" i="20" l="1"/>
  <c r="B88" i="20" s="1"/>
  <c r="C86" i="18"/>
  <c r="G87" i="18"/>
  <c r="H89" i="20" l="1"/>
  <c r="B89" i="20" s="1"/>
  <c r="G88" i="18"/>
  <c r="C87" i="18"/>
  <c r="H90" i="20" l="1"/>
  <c r="G89" i="18"/>
  <c r="C88" i="18"/>
  <c r="H91" i="20" l="1"/>
  <c r="B91" i="20" s="1"/>
  <c r="B90" i="20"/>
  <c r="H92" i="20"/>
  <c r="B92" i="20" s="1"/>
  <c r="G90" i="18"/>
  <c r="C89" i="18"/>
  <c r="H93" i="20" l="1"/>
  <c r="B93" i="20" s="1"/>
  <c r="C90" i="18"/>
  <c r="G91" i="18"/>
  <c r="H94" i="20" l="1"/>
  <c r="B94" i="20" s="1"/>
  <c r="G92" i="18"/>
  <c r="C91" i="18"/>
  <c r="H95" i="20" l="1"/>
  <c r="B95" i="20" s="1"/>
  <c r="G93" i="18"/>
  <c r="C92" i="18"/>
  <c r="H96" i="20" l="1"/>
  <c r="B96" i="20" s="1"/>
  <c r="G94" i="18"/>
  <c r="C93" i="18"/>
  <c r="H97" i="20" l="1"/>
  <c r="B97" i="20" s="1"/>
  <c r="G95" i="18"/>
  <c r="C94" i="18"/>
  <c r="H98" i="20" l="1"/>
  <c r="B98" i="20" s="1"/>
  <c r="G96" i="18"/>
  <c r="C95" i="18"/>
  <c r="H99" i="20" l="1"/>
  <c r="B99" i="20" s="1"/>
  <c r="G97" i="18"/>
  <c r="C96" i="18"/>
  <c r="H100" i="20" l="1"/>
  <c r="B100" i="20" s="1"/>
  <c r="G98" i="18"/>
  <c r="C97" i="18"/>
  <c r="H101" i="20" l="1"/>
  <c r="B101" i="20" s="1"/>
  <c r="G99" i="18"/>
  <c r="C98" i="18"/>
  <c r="H102" i="20" l="1"/>
  <c r="G100" i="18"/>
  <c r="C99" i="18"/>
  <c r="H103" i="20" l="1"/>
  <c r="B102" i="20"/>
  <c r="G101" i="18"/>
  <c r="C100" i="18"/>
  <c r="B103" i="20" l="1"/>
  <c r="H104" i="20"/>
  <c r="G102" i="18"/>
  <c r="C101" i="18"/>
  <c r="H105" i="20" l="1"/>
  <c r="B104" i="20"/>
  <c r="C102" i="18"/>
  <c r="G103" i="18"/>
  <c r="H106" i="20" l="1"/>
  <c r="B105" i="20"/>
  <c r="G104" i="18"/>
  <c r="G106" i="18" s="1"/>
  <c r="C106" i="18" s="1"/>
  <c r="C103" i="18"/>
  <c r="H107" i="20" l="1"/>
  <c r="B106" i="20"/>
  <c r="G105" i="18"/>
  <c r="C104" i="18"/>
  <c r="B107" i="20" l="1"/>
  <c r="H108" i="20"/>
  <c r="G107" i="18"/>
  <c r="C105" i="18"/>
  <c r="H109" i="20" l="1"/>
  <c r="B108" i="20"/>
  <c r="G108" i="18"/>
  <c r="C107" i="18"/>
  <c r="H110" i="20" l="1"/>
  <c r="B109" i="20"/>
  <c r="G109" i="18"/>
  <c r="C108" i="18"/>
  <c r="H111" i="20" l="1"/>
  <c r="B110" i="20"/>
  <c r="G110" i="18"/>
  <c r="C109" i="18"/>
  <c r="B111" i="20" l="1"/>
  <c r="H112" i="20"/>
  <c r="G111" i="18"/>
  <c r="C110" i="18"/>
  <c r="H113" i="20" l="1"/>
  <c r="B113" i="20" s="1"/>
  <c r="B112" i="20"/>
  <c r="C111" i="18"/>
  <c r="G112" i="18"/>
  <c r="H114" i="20" l="1"/>
  <c r="B114" i="20" s="1"/>
  <c r="G113" i="18"/>
  <c r="C112" i="18"/>
  <c r="H115" i="20" l="1"/>
  <c r="B115" i="20" s="1"/>
  <c r="G114" i="18"/>
  <c r="C113" i="18"/>
  <c r="H116" i="20" l="1"/>
  <c r="B116" i="20" s="1"/>
  <c r="G115" i="18"/>
  <c r="C114" i="18"/>
  <c r="H117" i="20" l="1"/>
  <c r="B117" i="20" s="1"/>
  <c r="C115" i="18"/>
  <c r="G116" i="18"/>
  <c r="H118" i="20" l="1"/>
  <c r="B118" i="20" s="1"/>
  <c r="G117" i="18"/>
  <c r="C116" i="18"/>
  <c r="H119" i="20" l="1"/>
  <c r="B119" i="20" s="1"/>
  <c r="G118" i="18"/>
  <c r="C117" i="18"/>
  <c r="H120" i="20" l="1"/>
  <c r="B120" i="20" s="1"/>
  <c r="G119" i="18"/>
  <c r="C118" i="18"/>
  <c r="H121" i="20" l="1"/>
  <c r="B121" i="20" s="1"/>
  <c r="C119" i="18"/>
  <c r="G120" i="18"/>
  <c r="H122" i="20" l="1"/>
  <c r="B122" i="20" s="1"/>
  <c r="G121" i="18"/>
  <c r="C120" i="18"/>
  <c r="G122" i="18" l="1"/>
  <c r="C122" i="18" s="1"/>
  <c r="C121" i="18"/>
</calcChain>
</file>

<file path=xl/sharedStrings.xml><?xml version="1.0" encoding="utf-8"?>
<sst xmlns="http://schemas.openxmlformats.org/spreadsheetml/2006/main" count="4568" uniqueCount="262">
  <si>
    <t>CONT</t>
  </si>
  <si>
    <t>BAIRRO</t>
  </si>
  <si>
    <t>LAT</t>
  </si>
  <si>
    <t>LON</t>
  </si>
  <si>
    <t>ZONA</t>
  </si>
  <si>
    <t>LOCAL</t>
  </si>
  <si>
    <t>CCOLETOR</t>
  </si>
  <si>
    <t>VOTOS</t>
  </si>
  <si>
    <t>VOTACAO</t>
  </si>
  <si>
    <t>REG</t>
  </si>
  <si>
    <t>SER 2</t>
  </si>
  <si>
    <t>SER 6</t>
  </si>
  <si>
    <t>SER 12</t>
  </si>
  <si>
    <t>SER 7</t>
  </si>
  <si>
    <t>SER 1</t>
  </si>
  <si>
    <t>SER 4</t>
  </si>
  <si>
    <t>SER 9</t>
  </si>
  <si>
    <t>SER 3</t>
  </si>
  <si>
    <t>SER 11</t>
  </si>
  <si>
    <t>SER 10</t>
  </si>
  <si>
    <t>SER 8</t>
  </si>
  <si>
    <t>Sao Gerardo</t>
  </si>
  <si>
    <t>Aldeota</t>
  </si>
  <si>
    <t>Alvaro Weyne</t>
  </si>
  <si>
    <t>Amadeu Furtado</t>
  </si>
  <si>
    <t>Moura Brasil</t>
  </si>
  <si>
    <t>Barra do Ceara</t>
  </si>
  <si>
    <t>Benfica</t>
  </si>
  <si>
    <t>Bom Futuro</t>
  </si>
  <si>
    <t>Carlito Pamplona</t>
  </si>
  <si>
    <t>Centro</t>
  </si>
  <si>
    <t>Cocó</t>
  </si>
  <si>
    <t>Cristo Redentor</t>
  </si>
  <si>
    <t>Damas</t>
  </si>
  <si>
    <t>Dionisio Torres</t>
  </si>
  <si>
    <t>Farias Brito</t>
  </si>
  <si>
    <t>Fatima</t>
  </si>
  <si>
    <t>Floresta</t>
  </si>
  <si>
    <t>Jacarecanga</t>
  </si>
  <si>
    <t>Jardim America</t>
  </si>
  <si>
    <t>Jardim Guanabara</t>
  </si>
  <si>
    <t>Jardim Iracema</t>
  </si>
  <si>
    <t>Joaquim Távora</t>
  </si>
  <si>
    <t>José Bonifácio</t>
  </si>
  <si>
    <t>Meireles</t>
  </si>
  <si>
    <t>Monte Castelo</t>
  </si>
  <si>
    <t>Mucuripe</t>
  </si>
  <si>
    <t>Papicu</t>
  </si>
  <si>
    <t>Parque Araxá</t>
  </si>
  <si>
    <t>Parquelândia</t>
  </si>
  <si>
    <t>Parreão</t>
  </si>
  <si>
    <t>Pirambu</t>
  </si>
  <si>
    <t>Praia de Iracema</t>
  </si>
  <si>
    <t>Presidente Kennedy</t>
  </si>
  <si>
    <t>Rodolfo Teófilo</t>
  </si>
  <si>
    <t>Tauape</t>
  </si>
  <si>
    <t>Varjota</t>
  </si>
  <si>
    <t>Vicente Pinzon</t>
  </si>
  <si>
    <t>Ellery</t>
  </si>
  <si>
    <t>Vila Velha</t>
  </si>
  <si>
    <t>Antônio Bezerra</t>
  </si>
  <si>
    <t>Autran Nunes</t>
  </si>
  <si>
    <t>Conjunto Ceará</t>
  </si>
  <si>
    <t>Dom Lustosa</t>
  </si>
  <si>
    <t>Genibau</t>
  </si>
  <si>
    <t>Henrique Jorge</t>
  </si>
  <si>
    <t>João XXIII</t>
  </si>
  <si>
    <t>Padre Andrade</t>
  </si>
  <si>
    <t>Quitino Cunha</t>
  </si>
  <si>
    <t>José de Alencar</t>
  </si>
  <si>
    <t>Ancuri</t>
  </si>
  <si>
    <t>Barroso</t>
  </si>
  <si>
    <t>Cajazeiras</t>
  </si>
  <si>
    <t>Cambeba</t>
  </si>
  <si>
    <t>Cidade dos
Funcionários</t>
  </si>
  <si>
    <t>Coaçu</t>
  </si>
  <si>
    <t>Curió</t>
  </si>
  <si>
    <t>Edson Queiroz</t>
  </si>
  <si>
    <t>Eng Luciano Cavalcante</t>
  </si>
  <si>
    <t>Guajeru</t>
  </si>
  <si>
    <t>Guararapes</t>
  </si>
  <si>
    <t>Jangurussu</t>
  </si>
  <si>
    <t>Jardim das Oliveiras</t>
  </si>
  <si>
    <t>Lagoa Redonda</t>
  </si>
  <si>
    <t>Sapiranga/Coité</t>
  </si>
  <si>
    <t>Messejana</t>
  </si>
  <si>
    <t>Parque Iracema</t>
  </si>
  <si>
    <t>Parque Manibura</t>
  </si>
  <si>
    <t>Paupina</t>
  </si>
  <si>
    <t>Pedras</t>
  </si>
  <si>
    <t>Sabiaguaba</t>
  </si>
  <si>
    <t>Salinas</t>
  </si>
  <si>
    <t>Bom Jardim</t>
  </si>
  <si>
    <t>Bonsucesso</t>
  </si>
  <si>
    <t>Canindezinho</t>
  </si>
  <si>
    <t>Conjunto Ceará II</t>
  </si>
  <si>
    <t>Conjunto Esperança</t>
  </si>
  <si>
    <t>Dendê / Raquel de Queiroz</t>
  </si>
  <si>
    <t>Granja Lisboa</t>
  </si>
  <si>
    <t>Granja Portugal</t>
  </si>
  <si>
    <t>Jardim Cearense</t>
  </si>
  <si>
    <t>Manoel Sátiro</t>
  </si>
  <si>
    <t>Maraponga</t>
  </si>
  <si>
    <t>Mondubim</t>
  </si>
  <si>
    <t>Parque Dois Irmãos</t>
  </si>
  <si>
    <t>Pq Presidente Vargas</t>
  </si>
  <si>
    <t>Parque São José</t>
  </si>
  <si>
    <t>Parque Santa Rosa</t>
  </si>
  <si>
    <t>Passaré</t>
  </si>
  <si>
    <t>José Walter</t>
  </si>
  <si>
    <t>Siqueira</t>
  </si>
  <si>
    <t>Aerolândia</t>
  </si>
  <si>
    <t>Aeroporto</t>
  </si>
  <si>
    <t>Alto da Balança</t>
  </si>
  <si>
    <t>Bela Vista</t>
  </si>
  <si>
    <t>Couto Fernandes</t>
  </si>
  <si>
    <t>Demócrito Rocha</t>
  </si>
  <si>
    <t>Dias Macedo</t>
  </si>
  <si>
    <t>Itaoca</t>
  </si>
  <si>
    <t>Itaperi</t>
  </si>
  <si>
    <t>Jóquei Clube</t>
  </si>
  <si>
    <t>Montese</t>
  </si>
  <si>
    <t>Panamericano</t>
  </si>
  <si>
    <t>Parangaba</t>
  </si>
  <si>
    <t>Pici</t>
  </si>
  <si>
    <t>Serrinha</t>
  </si>
  <si>
    <t>Vila Peri</t>
  </si>
  <si>
    <t>Vila União</t>
  </si>
  <si>
    <t>Cais do Porto</t>
  </si>
  <si>
    <t>Cidade 2000</t>
  </si>
  <si>
    <t>Manuel Dias Branco</t>
  </si>
  <si>
    <t>Praia do Futuro I</t>
  </si>
  <si>
    <t>Praia do Futuro II</t>
  </si>
  <si>
    <t>De Lourdes</t>
  </si>
  <si>
    <t>Planalto Ayrton Senna</t>
  </si>
  <si>
    <t>Conjunto Palmeiras</t>
  </si>
  <si>
    <t>São Bento</t>
  </si>
  <si>
    <t>Novo Mondubim</t>
  </si>
  <si>
    <t>Olavo Oliveira</t>
  </si>
  <si>
    <t>Aracapé</t>
  </si>
  <si>
    <t>Boa Vista</t>
  </si>
  <si>
    <t>SER 5</t>
  </si>
  <si>
    <t>Santa Maria</t>
  </si>
  <si>
    <t>Votos</t>
  </si>
  <si>
    <t>Bairro</t>
  </si>
  <si>
    <t>ALDEOTA</t>
  </si>
  <si>
    <t>CIDADE 2000</t>
  </si>
  <si>
    <t>CAIS DO PORTO</t>
  </si>
  <si>
    <t>MUCURIPE</t>
  </si>
  <si>
    <t>MEIRELES</t>
  </si>
  <si>
    <t>VICENTE PINZON</t>
  </si>
  <si>
    <t>PAPICU</t>
  </si>
  <si>
    <t>VARJOTA</t>
  </si>
  <si>
    <t>DE LOURDES</t>
  </si>
  <si>
    <t>PRAIA DO FUTURO II</t>
  </si>
  <si>
    <t>MESSEJANA</t>
  </si>
  <si>
    <t>LAGOA REDONDA</t>
  </si>
  <si>
    <t>GUAJERU</t>
  </si>
  <si>
    <t>CAMBEBA</t>
  </si>
  <si>
    <t>PAUPINA</t>
  </si>
  <si>
    <t>CENTRO</t>
  </si>
  <si>
    <t>JACARECANGA</t>
  </si>
  <si>
    <t>MOURA BRASIL</t>
  </si>
  <si>
    <t>PRAIA DE IRACEMA</t>
  </si>
  <si>
    <t>DIONISIO TORRES</t>
  </si>
  <si>
    <t>TAUAPE</t>
  </si>
  <si>
    <t>AEROPORTO</t>
  </si>
  <si>
    <t>CARLITO PAMPLONA</t>
  </si>
  <si>
    <t>CRISTO REDENTOR</t>
  </si>
  <si>
    <t>MONTE CASTELO</t>
  </si>
  <si>
    <t>PIRAMBU</t>
  </si>
  <si>
    <t>ELLERY</t>
  </si>
  <si>
    <t>BELA VISTA</t>
  </si>
  <si>
    <t>MONTESE</t>
  </si>
  <si>
    <t>DEMOCRITO ROCHA</t>
  </si>
  <si>
    <t>HENRIQUE JORGE</t>
  </si>
  <si>
    <t>DOM LUSTOSA</t>
  </si>
  <si>
    <t>PICI</t>
  </si>
  <si>
    <t>PANAMERICANO</t>
  </si>
  <si>
    <t>AUTRAN NUNES</t>
  </si>
  <si>
    <t>MONDUBIM</t>
  </si>
  <si>
    <t>PLANALTO AYRTON SENNA</t>
  </si>
  <si>
    <t>QUINTINO CUNHA</t>
  </si>
  <si>
    <t>VILA VELHA</t>
  </si>
  <si>
    <t>JARDIM GUANABARA</t>
  </si>
  <si>
    <t>JARDIM IRACEMA</t>
  </si>
  <si>
    <t>PADRE ANDRADE</t>
  </si>
  <si>
    <t>BARROSO</t>
  </si>
  <si>
    <t>CONJUNTO PALMEIRAS</t>
  </si>
  <si>
    <t>JANGURUSSU</t>
  </si>
  <si>
    <t>PARQUE SANTA MARIA</t>
  </si>
  <si>
    <t>CAJAZEIRAS</t>
  </si>
  <si>
    <t>PEDRAS</t>
  </si>
  <si>
    <t>ANCURI</t>
  </si>
  <si>
    <t>JARDIM DAS OLIVEIRAS</t>
  </si>
  <si>
    <t>ENGENHEIRO LUCIANO CAVALCANTE</t>
  </si>
  <si>
    <t>PARQUE MANIBURA</t>
  </si>
  <si>
    <t>GUARARAPES</t>
  </si>
  <si>
    <t>EDSON QUEIROZ</t>
  </si>
  <si>
    <t>SABIAGUABA</t>
  </si>
  <si>
    <t>BENFICA</t>
  </si>
  <si>
    <t>DAMAS</t>
  </si>
  <si>
    <t>BOM FUTURO</t>
  </si>
  <si>
    <t>FARIAS BRITO</t>
  </si>
  <si>
    <t>AMADEU FURTADO</t>
  </si>
  <si>
    <t>ITAOCA</t>
  </si>
  <si>
    <t>FLORESTA</t>
  </si>
  <si>
    <t>PRESIDENTE KENNEDY</t>
  </si>
  <si>
    <t>ITAPERI</t>
  </si>
  <si>
    <t>MARAPONGA</t>
  </si>
  <si>
    <t>JARDIM CEARENSE</t>
  </si>
  <si>
    <t>PARANGABA</t>
  </si>
  <si>
    <t>SERRINHA</t>
  </si>
  <si>
    <t>VILA PERI</t>
  </si>
  <si>
    <t>GRANJA LISBOA</t>
  </si>
  <si>
    <t>GRANJA PORTUGAL</t>
  </si>
  <si>
    <t>BOM JARDIM</t>
  </si>
  <si>
    <t>BONSUCESSO</t>
  </si>
  <si>
    <t>SIQUEIRA</t>
  </si>
  <si>
    <t>NOVO MONDUBIM</t>
  </si>
  <si>
    <t>PARQUE PRESIDENTE VARGAS</t>
  </si>
  <si>
    <t>CANINDEZINHO</t>
  </si>
  <si>
    <t>PARQUE SANTA ROSA</t>
  </si>
  <si>
    <t>DIAS MACEDO</t>
  </si>
  <si>
    <t>COCO</t>
  </si>
  <si>
    <t>ALVARO WEYNE</t>
  </si>
  <si>
    <t>AEROLANDIA</t>
  </si>
  <si>
    <t>ALTO DA BALANCA</t>
  </si>
  <si>
    <t>ANTONIO BEZERRA</t>
  </si>
  <si>
    <t>BARRA DO CEARA</t>
  </si>
  <si>
    <t>BOA VISTA</t>
  </si>
  <si>
    <t>CIDADE DOS FUNCIONARIOS</t>
  </si>
  <si>
    <t>COACU</t>
  </si>
  <si>
    <t>CONJUNTO CEARA I</t>
  </si>
  <si>
    <t>CONJUNTO CEARA II</t>
  </si>
  <si>
    <t>CONJUNTO ESPERANCA</t>
  </si>
  <si>
    <t>FATIMA</t>
  </si>
  <si>
    <t>GENIBAU</t>
  </si>
  <si>
    <t>JOQUEI CLUBE</t>
  </si>
  <si>
    <t>JARDIM AMERICA</t>
  </si>
  <si>
    <t>JOAO XXIII</t>
  </si>
  <si>
    <t>JOAQUIM TAVORA</t>
  </si>
  <si>
    <t>JOSE BONIFACIO</t>
  </si>
  <si>
    <t>JOSE DE ALENCAR</t>
  </si>
  <si>
    <t>MANOEL SATIRO</t>
  </si>
  <si>
    <t>PARQUE ARAXA</t>
  </si>
  <si>
    <t>PARQUE DOIS IRMAOS</t>
  </si>
  <si>
    <t>PARQUE SAO JOSE</t>
  </si>
  <si>
    <t>PARQUELANDIA</t>
  </si>
  <si>
    <t>PASSARE</t>
  </si>
  <si>
    <t>PREFEITO JOSE WALTER</t>
  </si>
  <si>
    <t>RODOLFO TEOFILO</t>
  </si>
  <si>
    <t>SAO GERARDO</t>
  </si>
  <si>
    <t>SAPIRANGA</t>
  </si>
  <si>
    <t>VILA UNIAO</t>
  </si>
  <si>
    <t>Bairros</t>
  </si>
  <si>
    <t>Perc</t>
  </si>
  <si>
    <t>Indice</t>
  </si>
  <si>
    <t>Tot-Votos</t>
  </si>
  <si>
    <t>Parque Santa Maria</t>
  </si>
  <si>
    <t>TEXTO</t>
  </si>
  <si>
    <t>NOME_LOCAL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</si>
</sst>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2" borderId="0" xfId="0" applyFill="1"/>
    <xf numFmtId="0" fontId="0" fillId="0" borderId="0" xfId="0" applyAlignment="1"/>
    <xf numFmtId="0" fontId="0" fillId="0" borderId="0" xfId="0" applyFill="1" applyAlignment="1"/>
    <xf numFmtId="0" fontId="0" fillId="3" borderId="0" xfId="0" applyFill="1"/>
    <xf numFmtId="0" fontId="0" fillId="0" borderId="0" xfId="0" applyFill="1"/>
    <xf numFmtId="0" fontId="0" fillId="0" borderId="0" xfId="0" applyNumberFormat="1" applyFill="1"/>
    <xf numFmtId="0" fontId="1" fillId="0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 applyAlignment="1"/>
    <xf numFmtId="0" fontId="0" fillId="3" borderId="0" xfId="0" applyNumberFormat="1" applyFill="1"/>
    <xf numFmtId="0" fontId="1" fillId="4" borderId="0" xfId="0" applyFont="1" applyFill="1"/>
    <xf numFmtId="0" fontId="0" fillId="4" borderId="0" xfId="0" applyFill="1"/>
    <xf numFmtId="0" fontId="0" fillId="4" borderId="0" xfId="0" applyNumberFormat="1" applyFill="1"/>
    <xf numFmtId="0" fontId="2" fillId="2" borderId="0" xfId="0" applyFont="1" applyFill="1"/>
    <xf numFmtId="0" fontId="3" fillId="3" borderId="0" xfId="0" applyFont="1" applyFill="1"/>
    <xf numFmtId="0" fontId="3" fillId="0" borderId="0" xfId="0" applyFont="1" applyFill="1"/>
    <xf numFmtId="0" fontId="2" fillId="0" borderId="0" xfId="0" applyFont="1" applyFill="1"/>
    <xf numFmtId="10" fontId="0" fillId="0" borderId="0" xfId="2" applyNumberFormat="1" applyFont="1" applyFill="1"/>
    <xf numFmtId="1" fontId="0" fillId="0" borderId="0" xfId="0" applyNumberFormat="1" applyFill="1"/>
    <xf numFmtId="2" fontId="0" fillId="0" borderId="0" xfId="1" applyNumberFormat="1" applyFont="1" applyFill="1"/>
    <xf numFmtId="2" fontId="0" fillId="0" borderId="0" xfId="2" applyNumberFormat="1" applyFont="1" applyFill="1"/>
    <xf numFmtId="2" fontId="0" fillId="0" borderId="0" xfId="0" applyNumberForma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abSelected="1" zoomScale="150" zoomScaleNormal="150" workbookViewId="0">
      <selection activeCell="C2" sqref="C2"/>
    </sheetView>
  </sheetViews>
  <sheetFormatPr defaultRowHeight="15" x14ac:dyDescent="0.25"/>
  <cols>
    <col min="3" max="4" width="16.85546875" customWidth="1"/>
    <col min="5" max="5" width="10.85546875" customWidth="1"/>
    <col min="9" max="9" width="15.7109375" customWidth="1"/>
    <col min="10" max="10" width="16.28515625" customWidth="1"/>
  </cols>
  <sheetData>
    <row r="1" spans="1:11" x14ac:dyDescent="0.25">
      <c r="A1" s="7" t="s">
        <v>255</v>
      </c>
      <c r="B1" s="7" t="s">
        <v>256</v>
      </c>
      <c r="C1" s="7" t="s">
        <v>261</v>
      </c>
      <c r="D1" s="7" t="s">
        <v>143</v>
      </c>
      <c r="E1" s="7" t="s">
        <v>257</v>
      </c>
      <c r="F1" s="7" t="s">
        <v>4</v>
      </c>
      <c r="G1" s="7" t="s">
        <v>257</v>
      </c>
      <c r="H1" s="7" t="s">
        <v>258</v>
      </c>
      <c r="I1" s="9" t="s">
        <v>2</v>
      </c>
      <c r="J1" s="9" t="s">
        <v>3</v>
      </c>
      <c r="K1" s="2" t="s">
        <v>260</v>
      </c>
    </row>
    <row r="2" spans="1:11" x14ac:dyDescent="0.25">
      <c r="A2" s="7">
        <v>91</v>
      </c>
      <c r="B2" s="20">
        <f>D2/H2</f>
        <v>2.9926335174953961E-3</v>
      </c>
      <c r="C2" s="5" t="s">
        <v>111</v>
      </c>
      <c r="D2">
        <v>13</v>
      </c>
      <c r="E2">
        <v>0.3</v>
      </c>
      <c r="F2" s="21">
        <v>6</v>
      </c>
      <c r="G2" s="23">
        <v>0.02</v>
      </c>
      <c r="H2" s="7">
        <v>4344</v>
      </c>
      <c r="I2" s="8">
        <v>-3.7731491165125499</v>
      </c>
      <c r="J2" s="8">
        <v>-38.514716985329301</v>
      </c>
      <c r="K2" s="5" t="str">
        <f>C2&amp;"; "&amp;D2&amp;" Votos; "&amp;G2&amp;"%"</f>
        <v>Aerolândia; 13 Votos; 0,02%</v>
      </c>
    </row>
    <row r="3" spans="1:11" x14ac:dyDescent="0.25">
      <c r="A3" s="7">
        <v>92</v>
      </c>
      <c r="B3" s="20">
        <f>D3/H3</f>
        <v>6.9060773480662981E-4</v>
      </c>
      <c r="C3" s="5" t="s">
        <v>112</v>
      </c>
      <c r="D3">
        <v>3</v>
      </c>
      <c r="E3">
        <v>7.0000000000000007E-2</v>
      </c>
      <c r="F3" s="7">
        <v>4</v>
      </c>
      <c r="G3" s="23">
        <v>0</v>
      </c>
      <c r="H3" s="7">
        <f t="shared" ref="H3:H66" si="0">H2</f>
        <v>4344</v>
      </c>
      <c r="I3" s="8">
        <v>-3.78328157008503</v>
      </c>
      <c r="J3" s="8">
        <v>-38.531026819607298</v>
      </c>
      <c r="K3" s="5" t="str">
        <f t="shared" ref="K3:K66" si="1">C3&amp;"; "&amp;D3&amp;" Votos; "&amp;G3&amp;"%"</f>
        <v>Aeroporto; 3 Votos; 0%</v>
      </c>
    </row>
    <row r="4" spans="1:11" x14ac:dyDescent="0.25">
      <c r="A4" s="7">
        <v>2</v>
      </c>
      <c r="B4" s="20">
        <f t="shared" ref="B4:B67" si="2">D4/H4</f>
        <v>1.4042357274401474E-2</v>
      </c>
      <c r="C4" s="7" t="s">
        <v>22</v>
      </c>
      <c r="D4">
        <v>61</v>
      </c>
      <c r="E4">
        <v>1.4</v>
      </c>
      <c r="F4" s="7">
        <v>2</v>
      </c>
      <c r="G4" s="23">
        <v>0.36</v>
      </c>
      <c r="H4" s="7">
        <f t="shared" si="0"/>
        <v>4344</v>
      </c>
      <c r="I4" s="8">
        <v>-3.7339856484838898</v>
      </c>
      <c r="J4" s="8">
        <v>-38.512272533062301</v>
      </c>
      <c r="K4" s="5" t="str">
        <f t="shared" si="1"/>
        <v>Aldeota; 61 Votos; 0,36%</v>
      </c>
    </row>
    <row r="5" spans="1:11" x14ac:dyDescent="0.25">
      <c r="A5" s="7">
        <v>93</v>
      </c>
      <c r="B5" s="20">
        <f t="shared" si="2"/>
        <v>6.675874769797422E-3</v>
      </c>
      <c r="C5" s="5" t="s">
        <v>113</v>
      </c>
      <c r="D5">
        <v>29</v>
      </c>
      <c r="E5">
        <v>0.67</v>
      </c>
      <c r="F5" s="7">
        <v>6</v>
      </c>
      <c r="G5" s="23">
        <v>0.16</v>
      </c>
      <c r="H5" s="7">
        <f t="shared" si="0"/>
        <v>4344</v>
      </c>
      <c r="I5" s="8">
        <v>-3.76511099022437</v>
      </c>
      <c r="J5" s="8">
        <v>-38.514011814644199</v>
      </c>
      <c r="K5" s="5" t="str">
        <f t="shared" si="1"/>
        <v>Alto da Balança; 29 Votos; 0,16%</v>
      </c>
    </row>
    <row r="6" spans="1:11" x14ac:dyDescent="0.25">
      <c r="A6" s="7">
        <v>3</v>
      </c>
      <c r="B6" s="20">
        <f t="shared" si="2"/>
        <v>8.5174953959484354E-3</v>
      </c>
      <c r="C6" s="7" t="s">
        <v>23</v>
      </c>
      <c r="D6">
        <v>37</v>
      </c>
      <c r="E6">
        <v>0.85</v>
      </c>
      <c r="F6" s="7">
        <v>1</v>
      </c>
      <c r="G6" s="23">
        <v>4.3</v>
      </c>
      <c r="H6" s="7">
        <f t="shared" si="0"/>
        <v>4344</v>
      </c>
      <c r="I6" s="8">
        <v>-3.7158519544419502</v>
      </c>
      <c r="J6" s="8">
        <v>-38.572758193784402</v>
      </c>
      <c r="K6" s="5" t="str">
        <f t="shared" si="1"/>
        <v>Alvaro Weyne; 37 Votos; 4,3%</v>
      </c>
    </row>
    <row r="7" spans="1:11" x14ac:dyDescent="0.25">
      <c r="A7" s="7">
        <v>4</v>
      </c>
      <c r="B7" s="20">
        <f t="shared" si="2"/>
        <v>1.6114180478821363E-3</v>
      </c>
      <c r="C7" s="7" t="s">
        <v>24</v>
      </c>
      <c r="D7">
        <v>7</v>
      </c>
      <c r="E7">
        <v>0.16</v>
      </c>
      <c r="F7" s="7">
        <v>3</v>
      </c>
      <c r="G7" s="23">
        <v>0.14000000000000001</v>
      </c>
      <c r="H7" s="7">
        <f t="shared" si="0"/>
        <v>4344</v>
      </c>
      <c r="I7" s="8">
        <v>-3.7444480859003999</v>
      </c>
      <c r="J7" s="8">
        <v>-38.557486657117401</v>
      </c>
      <c r="K7" s="5" t="str">
        <f t="shared" si="1"/>
        <v>Amadeu Furtado; 7 Votos; 0,14%</v>
      </c>
    </row>
    <row r="8" spans="1:11" x14ac:dyDescent="0.25">
      <c r="A8" s="7">
        <v>50</v>
      </c>
      <c r="B8" s="20">
        <f t="shared" si="2"/>
        <v>2.0718232044198894E-3</v>
      </c>
      <c r="C8" s="7" t="s">
        <v>70</v>
      </c>
      <c r="D8">
        <v>9</v>
      </c>
      <c r="E8">
        <v>0.21</v>
      </c>
      <c r="F8" s="7">
        <v>9</v>
      </c>
      <c r="G8" s="23">
        <v>0</v>
      </c>
      <c r="H8" s="7">
        <f t="shared" si="0"/>
        <v>4344</v>
      </c>
      <c r="I8" s="8">
        <v>-3.8648814584649198</v>
      </c>
      <c r="J8" s="8">
        <v>-38.5067770366255</v>
      </c>
      <c r="K8" s="5" t="str">
        <f t="shared" si="1"/>
        <v>Ancuri; 9 Votos; 0%</v>
      </c>
    </row>
    <row r="9" spans="1:11" x14ac:dyDescent="0.25">
      <c r="A9" s="7">
        <v>40</v>
      </c>
      <c r="B9" s="20">
        <f t="shared" si="2"/>
        <v>1.2661141804788214E-2</v>
      </c>
      <c r="C9" s="7" t="s">
        <v>60</v>
      </c>
      <c r="D9">
        <v>55</v>
      </c>
      <c r="E9">
        <v>1.27</v>
      </c>
      <c r="F9" s="7">
        <v>3</v>
      </c>
      <c r="G9" s="23">
        <v>3.02</v>
      </c>
      <c r="H9" s="7">
        <f t="shared" si="0"/>
        <v>4344</v>
      </c>
      <c r="I9" s="8">
        <v>-3.7438599910555701</v>
      </c>
      <c r="J9" s="8">
        <v>-38.594170001002098</v>
      </c>
      <c r="K9" s="5" t="str">
        <f t="shared" si="1"/>
        <v>Antônio Bezerra; 55 Votos; 3,02%</v>
      </c>
    </row>
    <row r="10" spans="1:11" x14ac:dyDescent="0.25">
      <c r="A10" s="7">
        <v>120</v>
      </c>
      <c r="B10" s="20">
        <f t="shared" si="2"/>
        <v>0</v>
      </c>
      <c r="C10" s="7" t="s">
        <v>139</v>
      </c>
      <c r="E10">
        <v>0</v>
      </c>
      <c r="F10" s="7">
        <v>10</v>
      </c>
      <c r="G10" s="23">
        <v>0</v>
      </c>
      <c r="H10" s="7">
        <f t="shared" si="0"/>
        <v>4344</v>
      </c>
      <c r="I10" s="8">
        <v>-3.8318976001179301</v>
      </c>
      <c r="J10" s="8">
        <v>-38.586396530656202</v>
      </c>
      <c r="K10" s="5" t="str">
        <f t="shared" si="1"/>
        <v>Aracapé;  Votos; 0%</v>
      </c>
    </row>
    <row r="11" spans="1:11" x14ac:dyDescent="0.25">
      <c r="A11" s="7">
        <v>41</v>
      </c>
      <c r="B11" s="20">
        <f t="shared" si="2"/>
        <v>3.6832412523020259E-3</v>
      </c>
      <c r="C11" s="7" t="s">
        <v>61</v>
      </c>
      <c r="D11">
        <v>16</v>
      </c>
      <c r="E11">
        <v>0.37</v>
      </c>
      <c r="F11" s="7">
        <v>11</v>
      </c>
      <c r="G11" s="23">
        <v>0.22</v>
      </c>
      <c r="H11" s="7">
        <f t="shared" si="0"/>
        <v>4344</v>
      </c>
      <c r="I11" s="8">
        <v>-3.7518792027974102</v>
      </c>
      <c r="J11" s="8">
        <v>-38.596604923459601</v>
      </c>
      <c r="K11" s="5" t="str">
        <f t="shared" si="1"/>
        <v>Autran Nunes; 16 Votos; 0,22%</v>
      </c>
    </row>
    <row r="12" spans="1:11" x14ac:dyDescent="0.25">
      <c r="A12" s="7">
        <v>6</v>
      </c>
      <c r="B12" s="20">
        <f t="shared" si="2"/>
        <v>1.5193370165745856E-2</v>
      </c>
      <c r="C12" s="7" t="s">
        <v>26</v>
      </c>
      <c r="D12">
        <v>66</v>
      </c>
      <c r="E12">
        <v>1.52</v>
      </c>
      <c r="F12" s="7">
        <v>1</v>
      </c>
      <c r="G12" s="23">
        <v>5.04</v>
      </c>
      <c r="H12" s="7">
        <f t="shared" si="0"/>
        <v>4344</v>
      </c>
      <c r="I12" s="8">
        <v>-3.7044707668351502</v>
      </c>
      <c r="J12" s="8">
        <v>-38.577290647687001</v>
      </c>
      <c r="K12" s="5" t="str">
        <f t="shared" si="1"/>
        <v>Barra do Ceara; 66 Votos; 5,04%</v>
      </c>
    </row>
    <row r="13" spans="1:11" x14ac:dyDescent="0.25">
      <c r="A13" s="7">
        <v>51</v>
      </c>
      <c r="B13" s="20">
        <f t="shared" si="2"/>
        <v>3.4530386740331494E-2</v>
      </c>
      <c r="C13" s="7" t="s">
        <v>71</v>
      </c>
      <c r="D13">
        <v>150</v>
      </c>
      <c r="E13">
        <v>3.45</v>
      </c>
      <c r="F13" s="7">
        <v>9</v>
      </c>
      <c r="G13" s="23">
        <v>0.09</v>
      </c>
      <c r="H13" s="7">
        <f t="shared" si="0"/>
        <v>4344</v>
      </c>
      <c r="I13" s="8">
        <v>-3.8204455093400602</v>
      </c>
      <c r="J13" s="8">
        <v>-38.512645687979401</v>
      </c>
      <c r="K13" s="5" t="str">
        <f t="shared" si="1"/>
        <v>Barroso; 150 Votos; 0,09%</v>
      </c>
    </row>
    <row r="14" spans="1:11" x14ac:dyDescent="0.25">
      <c r="A14" s="7">
        <v>94</v>
      </c>
      <c r="B14" s="20">
        <f t="shared" si="2"/>
        <v>5.7550644567219153E-3</v>
      </c>
      <c r="C14" s="5" t="s">
        <v>114</v>
      </c>
      <c r="D14">
        <v>25</v>
      </c>
      <c r="E14">
        <v>0.57999999999999996</v>
      </c>
      <c r="F14" s="7">
        <v>11</v>
      </c>
      <c r="G14" s="23">
        <v>0.37</v>
      </c>
      <c r="H14" s="7">
        <f t="shared" si="0"/>
        <v>4344</v>
      </c>
      <c r="I14" s="8">
        <v>-3.75227870449759</v>
      </c>
      <c r="J14" s="8">
        <v>-38.561010002875797</v>
      </c>
      <c r="K14" s="5" t="str">
        <f t="shared" si="1"/>
        <v>Bela Vista; 25 Votos; 0,37%</v>
      </c>
    </row>
    <row r="15" spans="1:11" x14ac:dyDescent="0.25">
      <c r="A15" s="7">
        <v>7</v>
      </c>
      <c r="B15" s="20">
        <f t="shared" si="2"/>
        <v>1.0589318600368325E-2</v>
      </c>
      <c r="C15" s="7" t="s">
        <v>27</v>
      </c>
      <c r="D15">
        <v>46</v>
      </c>
      <c r="E15">
        <v>1.06</v>
      </c>
      <c r="F15" s="7">
        <v>4</v>
      </c>
      <c r="G15" s="23">
        <v>0.45</v>
      </c>
      <c r="H15" s="7">
        <f t="shared" si="0"/>
        <v>4344</v>
      </c>
      <c r="I15" s="8">
        <v>-3.7435794004401002</v>
      </c>
      <c r="J15" s="8">
        <v>-38.536164699959699</v>
      </c>
      <c r="K15" s="5" t="str">
        <f t="shared" si="1"/>
        <v>Benfica; 46 Votos; 0,45%</v>
      </c>
    </row>
    <row r="16" spans="1:11" x14ac:dyDescent="0.25">
      <c r="A16" s="7">
        <v>121</v>
      </c>
      <c r="B16" s="20">
        <f t="shared" si="2"/>
        <v>4.1436464088397788E-3</v>
      </c>
      <c r="C16" s="5" t="s">
        <v>140</v>
      </c>
      <c r="D16">
        <v>18</v>
      </c>
      <c r="E16">
        <v>0.41</v>
      </c>
      <c r="F16" s="7">
        <v>8</v>
      </c>
      <c r="G16" s="23">
        <v>0.09</v>
      </c>
      <c r="H16" s="7">
        <f t="shared" si="0"/>
        <v>4344</v>
      </c>
      <c r="I16" s="8">
        <v>-3.7957697992767501</v>
      </c>
      <c r="J16" s="8">
        <v>-38.518971545141397</v>
      </c>
      <c r="K16" s="5" t="str">
        <f t="shared" si="1"/>
        <v>Boa Vista; 18 Votos; 0,09%</v>
      </c>
    </row>
    <row r="17" spans="1:11" x14ac:dyDescent="0.25">
      <c r="A17" s="7">
        <v>8</v>
      </c>
      <c r="B17" s="20">
        <f t="shared" si="2"/>
        <v>3.6832412523020259E-3</v>
      </c>
      <c r="C17" s="7" t="s">
        <v>28</v>
      </c>
      <c r="D17">
        <v>16</v>
      </c>
      <c r="E17">
        <v>0.37</v>
      </c>
      <c r="F17" s="7">
        <v>4</v>
      </c>
      <c r="G17" s="23">
        <v>0.14000000000000001</v>
      </c>
      <c r="H17" s="7">
        <f t="shared" si="0"/>
        <v>4344</v>
      </c>
      <c r="I17" s="8">
        <v>-3.7582086333092199</v>
      </c>
      <c r="J17" s="8">
        <v>-38.546481255969098</v>
      </c>
      <c r="K17" s="5" t="str">
        <f t="shared" si="1"/>
        <v>Bom Futuro; 16 Votos; 0,14%</v>
      </c>
    </row>
    <row r="18" spans="1:11" x14ac:dyDescent="0.25">
      <c r="A18" s="7">
        <v>72</v>
      </c>
      <c r="B18" s="20">
        <f t="shared" si="2"/>
        <v>6.675874769797422E-3</v>
      </c>
      <c r="C18" s="5" t="s">
        <v>92</v>
      </c>
      <c r="D18">
        <v>29</v>
      </c>
      <c r="E18">
        <v>0.67</v>
      </c>
      <c r="F18" s="7">
        <v>5</v>
      </c>
      <c r="G18" s="23">
        <v>0.48</v>
      </c>
      <c r="H18" s="7">
        <f t="shared" si="0"/>
        <v>4344</v>
      </c>
      <c r="I18" s="8">
        <v>-3.79352027480765</v>
      </c>
      <c r="J18" s="8">
        <v>-38.600291665498297</v>
      </c>
      <c r="K18" s="5" t="str">
        <f t="shared" si="1"/>
        <v>Bom Jardim; 29 Votos; 0,48%</v>
      </c>
    </row>
    <row r="19" spans="1:11" x14ac:dyDescent="0.25">
      <c r="A19" s="7">
        <v>73</v>
      </c>
      <c r="B19" s="20">
        <f t="shared" si="2"/>
        <v>4.8342541436464086E-3</v>
      </c>
      <c r="C19" s="5" t="s">
        <v>93</v>
      </c>
      <c r="D19">
        <v>21</v>
      </c>
      <c r="E19">
        <v>0.48</v>
      </c>
      <c r="F19" s="7">
        <v>5</v>
      </c>
      <c r="G19" s="23">
        <v>0.32</v>
      </c>
      <c r="H19" s="7">
        <f t="shared" si="0"/>
        <v>4344</v>
      </c>
      <c r="I19" s="8">
        <v>-3.78040751812869</v>
      </c>
      <c r="J19" s="8">
        <v>-38.588575511233898</v>
      </c>
      <c r="K19" s="5" t="str">
        <f t="shared" si="1"/>
        <v>Bonsucesso; 21 Votos; 0,32%</v>
      </c>
    </row>
    <row r="20" spans="1:11" x14ac:dyDescent="0.25">
      <c r="A20" s="7">
        <v>108</v>
      </c>
      <c r="B20" s="20">
        <f t="shared" si="2"/>
        <v>5.0644567219152855E-3</v>
      </c>
      <c r="C20" s="7" t="s">
        <v>128</v>
      </c>
      <c r="D20">
        <v>22</v>
      </c>
      <c r="E20">
        <v>0.51</v>
      </c>
      <c r="F20" s="7">
        <v>2</v>
      </c>
      <c r="G20" s="23">
        <v>0.11</v>
      </c>
      <c r="H20" s="7">
        <f t="shared" si="0"/>
        <v>4344</v>
      </c>
      <c r="I20" s="8">
        <v>-3.71286380822142</v>
      </c>
      <c r="J20" s="8">
        <v>-38.466078519810999</v>
      </c>
      <c r="K20" s="5" t="str">
        <f t="shared" si="1"/>
        <v>Cais do Porto; 22 Votos; 0,11%</v>
      </c>
    </row>
    <row r="21" spans="1:11" x14ac:dyDescent="0.25">
      <c r="A21" s="7">
        <v>52</v>
      </c>
      <c r="B21" s="20">
        <f t="shared" si="2"/>
        <v>9.4383057090239413E-3</v>
      </c>
      <c r="C21" s="7" t="s">
        <v>72</v>
      </c>
      <c r="D21">
        <v>41</v>
      </c>
      <c r="E21">
        <v>0.94</v>
      </c>
      <c r="F21" s="7">
        <v>9</v>
      </c>
      <c r="G21" s="23">
        <v>0.15</v>
      </c>
      <c r="H21" s="7">
        <f t="shared" si="0"/>
        <v>4344</v>
      </c>
      <c r="I21" s="8">
        <v>-3.8040213185465599</v>
      </c>
      <c r="J21" s="8">
        <v>-38.507955014780698</v>
      </c>
      <c r="K21" s="5" t="str">
        <f t="shared" si="1"/>
        <v>Cajazeiras; 41 Votos; 0,15%</v>
      </c>
    </row>
    <row r="22" spans="1:11" x14ac:dyDescent="0.25">
      <c r="A22" s="7">
        <v>53</v>
      </c>
      <c r="B22" s="20">
        <f t="shared" si="2"/>
        <v>8.7476979742173114E-3</v>
      </c>
      <c r="C22" s="7" t="s">
        <v>73</v>
      </c>
      <c r="D22">
        <v>38</v>
      </c>
      <c r="E22">
        <v>0.87</v>
      </c>
      <c r="F22" s="7">
        <v>6</v>
      </c>
      <c r="G22" s="23">
        <v>0.05</v>
      </c>
      <c r="H22" s="7">
        <f t="shared" si="0"/>
        <v>4344</v>
      </c>
      <c r="I22" s="8">
        <v>-3.8108687886441301</v>
      </c>
      <c r="J22" s="8">
        <v>-38.4881329505724</v>
      </c>
      <c r="K22" s="5" t="str">
        <f t="shared" si="1"/>
        <v>Cambeba; 38 Votos; 0,05%</v>
      </c>
    </row>
    <row r="23" spans="1:11" x14ac:dyDescent="0.25">
      <c r="A23" s="7">
        <v>74</v>
      </c>
      <c r="B23" s="20">
        <f t="shared" si="2"/>
        <v>1.3812154696132596E-3</v>
      </c>
      <c r="C23" s="5" t="s">
        <v>94</v>
      </c>
      <c r="D23">
        <v>6</v>
      </c>
      <c r="E23">
        <v>0.14000000000000001</v>
      </c>
      <c r="F23" s="7">
        <v>10</v>
      </c>
      <c r="G23" s="23">
        <v>0.21</v>
      </c>
      <c r="H23" s="7">
        <f t="shared" si="0"/>
        <v>4344</v>
      </c>
      <c r="I23" s="8">
        <v>-3.8088965401008901</v>
      </c>
      <c r="J23" s="8">
        <v>-38.604129302130701</v>
      </c>
      <c r="K23" s="5" t="str">
        <f t="shared" si="1"/>
        <v>Canindezinho; 6 Votos; 0,21%</v>
      </c>
    </row>
    <row r="24" spans="1:11" x14ac:dyDescent="0.25">
      <c r="A24" s="7">
        <v>9</v>
      </c>
      <c r="B24" s="20">
        <f t="shared" si="2"/>
        <v>6.4456721915285451E-3</v>
      </c>
      <c r="C24" s="7" t="s">
        <v>29</v>
      </c>
      <c r="D24">
        <v>28</v>
      </c>
      <c r="E24">
        <v>0.64</v>
      </c>
      <c r="F24" s="7">
        <v>1</v>
      </c>
      <c r="G24" s="23">
        <v>0.8</v>
      </c>
      <c r="H24" s="7">
        <f t="shared" si="0"/>
        <v>4344</v>
      </c>
      <c r="I24" s="8">
        <v>-3.7183301235653401</v>
      </c>
      <c r="J24" s="8">
        <v>-38.554508707357897</v>
      </c>
      <c r="K24" s="5" t="str">
        <f t="shared" si="1"/>
        <v>Carlito Pamplona; 28 Votos; 0,8%</v>
      </c>
    </row>
    <row r="25" spans="1:11" x14ac:dyDescent="0.25">
      <c r="A25" s="7">
        <v>10</v>
      </c>
      <c r="B25" s="20">
        <f t="shared" si="2"/>
        <v>1.3121546961325966E-2</v>
      </c>
      <c r="C25" s="7" t="s">
        <v>30</v>
      </c>
      <c r="D25">
        <v>57</v>
      </c>
      <c r="E25">
        <v>1.31</v>
      </c>
      <c r="F25" s="7">
        <v>12</v>
      </c>
      <c r="G25" s="23">
        <v>1.77</v>
      </c>
      <c r="H25" s="7">
        <f t="shared" si="0"/>
        <v>4344</v>
      </c>
      <c r="I25" s="8">
        <v>-3.7294072383747801</v>
      </c>
      <c r="J25" s="8">
        <v>-38.529211314780298</v>
      </c>
      <c r="K25" s="5" t="str">
        <f t="shared" si="1"/>
        <v>Centro; 57 Votos; 1,77%</v>
      </c>
    </row>
    <row r="26" spans="1:11" x14ac:dyDescent="0.25">
      <c r="A26" s="7">
        <v>109</v>
      </c>
      <c r="B26" s="20">
        <f t="shared" si="2"/>
        <v>5.7550644567219153E-3</v>
      </c>
      <c r="C26" s="7" t="s">
        <v>129</v>
      </c>
      <c r="D26">
        <v>25</v>
      </c>
      <c r="E26">
        <v>0.57999999999999996</v>
      </c>
      <c r="F26" s="7">
        <v>7</v>
      </c>
      <c r="G26" s="23">
        <v>0.09</v>
      </c>
      <c r="H26" s="7">
        <f t="shared" si="0"/>
        <v>4344</v>
      </c>
      <c r="I26" s="8">
        <v>-3.7515629494479001</v>
      </c>
      <c r="J26" s="8">
        <v>-38.473078900891103</v>
      </c>
      <c r="K26" s="5" t="str">
        <f t="shared" si="1"/>
        <v>Cidade 2000; 25 Votos; 0,09%</v>
      </c>
    </row>
    <row r="27" spans="1:11" x14ac:dyDescent="0.25">
      <c r="A27" s="7">
        <v>54</v>
      </c>
      <c r="B27" s="20">
        <f t="shared" si="2"/>
        <v>1.6114180478821363E-2</v>
      </c>
      <c r="C27" s="5" t="s">
        <v>74</v>
      </c>
      <c r="D27">
        <v>70</v>
      </c>
      <c r="E27">
        <v>1.61</v>
      </c>
      <c r="F27" s="7">
        <v>6</v>
      </c>
      <c r="G27" s="23">
        <v>0.11</v>
      </c>
      <c r="H27" s="7">
        <f t="shared" si="0"/>
        <v>4344</v>
      </c>
      <c r="I27" s="8">
        <v>-3.7940848688483402</v>
      </c>
      <c r="J27" s="8">
        <v>-38.499748705054301</v>
      </c>
      <c r="K27" s="5" t="str">
        <f t="shared" si="1"/>
        <v>Cidade dos
Funcionários; 70 Votos; 0,11%</v>
      </c>
    </row>
    <row r="28" spans="1:11" x14ac:dyDescent="0.25">
      <c r="A28" s="7">
        <v>55</v>
      </c>
      <c r="B28" s="20">
        <f t="shared" si="2"/>
        <v>1.3812154696132596E-3</v>
      </c>
      <c r="C28" s="5" t="s">
        <v>75</v>
      </c>
      <c r="D28">
        <v>6</v>
      </c>
      <c r="E28">
        <v>0.14000000000000001</v>
      </c>
      <c r="F28" s="7">
        <v>6</v>
      </c>
      <c r="G28" s="23">
        <v>0.01</v>
      </c>
      <c r="H28" s="7">
        <f t="shared" si="0"/>
        <v>4344</v>
      </c>
      <c r="I28" s="8">
        <v>-3.8461633464172298</v>
      </c>
      <c r="J28" s="8">
        <v>-38.474517251289797</v>
      </c>
      <c r="K28" s="5" t="str">
        <f t="shared" si="1"/>
        <v>Coaçu; 6 Votos; 0,01%</v>
      </c>
    </row>
    <row r="29" spans="1:11" x14ac:dyDescent="0.25">
      <c r="A29" s="7">
        <v>11</v>
      </c>
      <c r="B29" s="20">
        <f t="shared" si="2"/>
        <v>2.9926335174953961E-3</v>
      </c>
      <c r="C29" s="7" t="s">
        <v>31</v>
      </c>
      <c r="D29">
        <v>13</v>
      </c>
      <c r="E29">
        <v>0.3</v>
      </c>
      <c r="F29" s="7">
        <v>7</v>
      </c>
      <c r="G29" s="23">
        <v>0.12</v>
      </c>
      <c r="H29" s="7">
        <f t="shared" si="0"/>
        <v>4344</v>
      </c>
      <c r="I29" s="8">
        <v>-3.7444528516131901</v>
      </c>
      <c r="J29" s="8">
        <v>-38.4783388321841</v>
      </c>
      <c r="K29" s="5" t="str">
        <f t="shared" si="1"/>
        <v>Cocó; 13 Votos; 0,12%</v>
      </c>
    </row>
    <row r="30" spans="1:11" x14ac:dyDescent="0.25">
      <c r="A30" s="7">
        <v>42</v>
      </c>
      <c r="B30" s="20">
        <f t="shared" si="2"/>
        <v>1.841620626151013E-2</v>
      </c>
      <c r="C30" s="7" t="s">
        <v>62</v>
      </c>
      <c r="D30">
        <v>80</v>
      </c>
      <c r="E30">
        <v>1.84</v>
      </c>
      <c r="F30" s="7">
        <v>11</v>
      </c>
      <c r="G30" s="23">
        <v>0.88</v>
      </c>
      <c r="H30" s="7">
        <f t="shared" si="0"/>
        <v>4344</v>
      </c>
      <c r="I30" s="8">
        <v>-3.76776804633255</v>
      </c>
      <c r="J30" s="8">
        <v>-38.603027639769401</v>
      </c>
      <c r="K30" s="5" t="str">
        <f t="shared" si="1"/>
        <v>Conjunto Ceará; 80 Votos; 0,88%</v>
      </c>
    </row>
    <row r="31" spans="1:11" x14ac:dyDescent="0.25">
      <c r="A31" s="7">
        <v>75</v>
      </c>
      <c r="B31" s="20">
        <f t="shared" si="2"/>
        <v>6.9060773480662981E-4</v>
      </c>
      <c r="C31" s="5" t="s">
        <v>95</v>
      </c>
      <c r="D31">
        <v>3</v>
      </c>
      <c r="E31">
        <v>7.0000000000000007E-2</v>
      </c>
      <c r="F31" s="7">
        <v>11</v>
      </c>
      <c r="G31" s="23">
        <v>0.04</v>
      </c>
      <c r="H31" s="7">
        <f t="shared" si="0"/>
        <v>4344</v>
      </c>
      <c r="I31" s="8">
        <v>-3.772463215528</v>
      </c>
      <c r="J31" s="8">
        <v>-38.611769276788799</v>
      </c>
      <c r="K31" s="5" t="str">
        <f t="shared" si="1"/>
        <v>Conjunto Ceará II; 3 Votos; 0,04%</v>
      </c>
    </row>
    <row r="32" spans="1:11" x14ac:dyDescent="0.25">
      <c r="A32" s="7">
        <v>76</v>
      </c>
      <c r="B32" s="20">
        <f t="shared" si="2"/>
        <v>7.3664825046040518E-3</v>
      </c>
      <c r="C32" s="5" t="s">
        <v>96</v>
      </c>
      <c r="D32">
        <v>32</v>
      </c>
      <c r="E32">
        <v>0.74</v>
      </c>
      <c r="F32" s="7">
        <v>10</v>
      </c>
      <c r="G32" s="23">
        <v>0.52</v>
      </c>
      <c r="H32" s="7">
        <f t="shared" si="0"/>
        <v>4344</v>
      </c>
      <c r="I32" s="8">
        <v>-3.8147710098193799</v>
      </c>
      <c r="J32" s="8">
        <v>-38.588608356705898</v>
      </c>
      <c r="K32" s="5" t="str">
        <f t="shared" si="1"/>
        <v>Conjunto Esperança; 32 Votos; 0,52%</v>
      </c>
    </row>
    <row r="33" spans="1:11" x14ac:dyDescent="0.25">
      <c r="A33" s="7">
        <v>115</v>
      </c>
      <c r="B33" s="20">
        <f t="shared" si="2"/>
        <v>2.1408839779005526E-2</v>
      </c>
      <c r="C33" s="7" t="s">
        <v>135</v>
      </c>
      <c r="D33">
        <v>93</v>
      </c>
      <c r="E33">
        <v>2.14</v>
      </c>
      <c r="F33" s="7">
        <v>9</v>
      </c>
      <c r="G33" s="23">
        <v>0.2</v>
      </c>
      <c r="H33" s="7">
        <f t="shared" si="0"/>
        <v>4344</v>
      </c>
      <c r="I33" s="8">
        <v>-3.8460425416992998</v>
      </c>
      <c r="J33" s="8">
        <v>-38.521461386696998</v>
      </c>
      <c r="K33" s="5" t="str">
        <f t="shared" si="1"/>
        <v>Conjunto Palmeiras; 93 Votos; 0,2%</v>
      </c>
    </row>
    <row r="34" spans="1:11" x14ac:dyDescent="0.25">
      <c r="A34" s="7">
        <v>95</v>
      </c>
      <c r="B34" s="20">
        <f t="shared" si="2"/>
        <v>0</v>
      </c>
      <c r="C34" s="5" t="s">
        <v>115</v>
      </c>
      <c r="E34">
        <v>0</v>
      </c>
      <c r="F34" s="7">
        <v>11</v>
      </c>
      <c r="G34" s="23">
        <v>0</v>
      </c>
      <c r="H34" s="7">
        <f t="shared" si="0"/>
        <v>4344</v>
      </c>
      <c r="I34" s="8">
        <v>-3.76040480634658</v>
      </c>
      <c r="J34" s="8">
        <v>-38.5606115368834</v>
      </c>
      <c r="K34" s="5" t="str">
        <f t="shared" si="1"/>
        <v>Couto Fernandes;  Votos; 0%</v>
      </c>
    </row>
    <row r="35" spans="1:11" x14ac:dyDescent="0.25">
      <c r="A35" s="7">
        <v>12</v>
      </c>
      <c r="B35" s="20">
        <f t="shared" si="2"/>
        <v>5.5248618784530384E-3</v>
      </c>
      <c r="C35" s="7" t="s">
        <v>32</v>
      </c>
      <c r="D35">
        <v>24</v>
      </c>
      <c r="E35">
        <v>0.55000000000000004</v>
      </c>
      <c r="F35" s="7">
        <v>1</v>
      </c>
      <c r="G35" s="23">
        <v>1.87</v>
      </c>
      <c r="H35" s="7">
        <f t="shared" si="0"/>
        <v>4344</v>
      </c>
      <c r="I35" s="8">
        <v>-3.7098733835424098</v>
      </c>
      <c r="J35" s="8">
        <v>-38.5701753140916</v>
      </c>
      <c r="K35" s="5" t="str">
        <f t="shared" si="1"/>
        <v>Cristo Redentor; 24 Votos; 1,87%</v>
      </c>
    </row>
    <row r="36" spans="1:11" x14ac:dyDescent="0.25">
      <c r="A36" s="7">
        <v>56</v>
      </c>
      <c r="B36" s="20">
        <f t="shared" si="2"/>
        <v>0</v>
      </c>
      <c r="C36" s="5" t="s">
        <v>76</v>
      </c>
      <c r="E36">
        <v>0</v>
      </c>
      <c r="F36" s="7">
        <v>6</v>
      </c>
      <c r="G36" s="23">
        <v>0</v>
      </c>
      <c r="H36" s="7">
        <f t="shared" si="0"/>
        <v>4344</v>
      </c>
      <c r="I36" s="8">
        <v>-3.8218427466216398</v>
      </c>
      <c r="J36" s="8">
        <v>-38.476577253157402</v>
      </c>
      <c r="K36" s="5" t="str">
        <f t="shared" si="1"/>
        <v>Curió;  Votos; 0%</v>
      </c>
    </row>
    <row r="37" spans="1:11" x14ac:dyDescent="0.25">
      <c r="A37" s="7">
        <v>13</v>
      </c>
      <c r="B37" s="20">
        <f t="shared" si="2"/>
        <v>3.453038674033149E-3</v>
      </c>
      <c r="C37" s="7" t="s">
        <v>33</v>
      </c>
      <c r="D37">
        <v>15</v>
      </c>
      <c r="E37">
        <v>0.35</v>
      </c>
      <c r="F37" s="7">
        <v>4</v>
      </c>
      <c r="G37" s="23">
        <v>7.0000000000000007E-2</v>
      </c>
      <c r="H37" s="7">
        <f t="shared" si="0"/>
        <v>4344</v>
      </c>
      <c r="I37" s="8">
        <v>-3.7501930615661698</v>
      </c>
      <c r="J37" s="8">
        <v>-38.545942050787801</v>
      </c>
      <c r="K37" s="5" t="str">
        <f t="shared" si="1"/>
        <v>Damas; 15 Votos; 0,07%</v>
      </c>
    </row>
    <row r="38" spans="1:11" x14ac:dyDescent="0.25">
      <c r="A38" s="7">
        <v>113</v>
      </c>
      <c r="B38" s="20">
        <f t="shared" si="2"/>
        <v>2.5322283609576428E-3</v>
      </c>
      <c r="C38" s="7" t="s">
        <v>133</v>
      </c>
      <c r="D38">
        <v>11</v>
      </c>
      <c r="E38">
        <v>0.25</v>
      </c>
      <c r="F38" s="7">
        <v>2</v>
      </c>
      <c r="G38" s="23">
        <v>0.09</v>
      </c>
      <c r="H38" s="7">
        <f t="shared" si="0"/>
        <v>4344</v>
      </c>
      <c r="I38" s="8">
        <v>-3.7397366628463802</v>
      </c>
      <c r="J38" s="8">
        <v>-38.463829494715299</v>
      </c>
      <c r="K38" s="5" t="str">
        <f t="shared" si="1"/>
        <v>De Lourdes; 11 Votos; 0,09%</v>
      </c>
    </row>
    <row r="39" spans="1:11" x14ac:dyDescent="0.25">
      <c r="A39" s="7">
        <v>96</v>
      </c>
      <c r="B39" s="20">
        <f t="shared" si="2"/>
        <v>4.8342541436464086E-3</v>
      </c>
      <c r="C39" s="5" t="s">
        <v>116</v>
      </c>
      <c r="D39">
        <v>21</v>
      </c>
      <c r="E39">
        <v>0.48</v>
      </c>
      <c r="F39" s="7">
        <v>11</v>
      </c>
      <c r="G39" s="23">
        <v>0.16</v>
      </c>
      <c r="H39" s="7">
        <f t="shared" si="0"/>
        <v>4344</v>
      </c>
      <c r="I39" s="8">
        <v>-3.7619043448426002</v>
      </c>
      <c r="J39" s="8">
        <v>-38.564763741306301</v>
      </c>
      <c r="K39" s="5" t="str">
        <f t="shared" si="1"/>
        <v>Demócrito Rocha; 21 Votos; 0,16%</v>
      </c>
    </row>
    <row r="40" spans="1:11" x14ac:dyDescent="0.25">
      <c r="A40" s="7">
        <v>77</v>
      </c>
      <c r="B40" s="20">
        <f t="shared" si="2"/>
        <v>0</v>
      </c>
      <c r="C40" s="5" t="s">
        <v>97</v>
      </c>
      <c r="E40">
        <v>0</v>
      </c>
      <c r="F40" s="7">
        <v>8</v>
      </c>
      <c r="G40" s="23">
        <v>0</v>
      </c>
      <c r="H40" s="7">
        <f t="shared" si="0"/>
        <v>4344</v>
      </c>
      <c r="I40" s="8">
        <v>-3.7956267721391299</v>
      </c>
      <c r="J40" s="8">
        <v>-38.554871755016002</v>
      </c>
      <c r="K40" s="5" t="str">
        <f t="shared" si="1"/>
        <v>Dendê / Raquel de Queiroz;  Votos; 0%</v>
      </c>
    </row>
    <row r="41" spans="1:11" x14ac:dyDescent="0.25">
      <c r="A41" s="7">
        <v>97</v>
      </c>
      <c r="B41" s="20">
        <f t="shared" si="2"/>
        <v>1.6114180478821363E-3</v>
      </c>
      <c r="C41" s="5" t="s">
        <v>117</v>
      </c>
      <c r="D41">
        <v>7</v>
      </c>
      <c r="E41">
        <v>0.16</v>
      </c>
      <c r="F41" s="7">
        <v>8</v>
      </c>
      <c r="G41" s="23">
        <v>0.22</v>
      </c>
      <c r="H41" s="7">
        <f t="shared" si="0"/>
        <v>4344</v>
      </c>
      <c r="I41" s="8">
        <v>-3.7876100124265899</v>
      </c>
      <c r="J41" s="8">
        <v>-38.527414085906003</v>
      </c>
      <c r="K41" s="5" t="str">
        <f t="shared" si="1"/>
        <v>Dias Macedo; 7 Votos; 0,22%</v>
      </c>
    </row>
    <row r="42" spans="1:11" x14ac:dyDescent="0.25">
      <c r="A42" s="7">
        <v>14</v>
      </c>
      <c r="B42" s="20">
        <f t="shared" si="2"/>
        <v>7.8268876611418056E-3</v>
      </c>
      <c r="C42" s="7" t="s">
        <v>34</v>
      </c>
      <c r="D42">
        <v>34</v>
      </c>
      <c r="E42">
        <v>0.78</v>
      </c>
      <c r="F42" s="7">
        <v>2</v>
      </c>
      <c r="G42" s="23">
        <v>0.15</v>
      </c>
      <c r="H42" s="7">
        <f t="shared" si="0"/>
        <v>4344</v>
      </c>
      <c r="I42" s="8">
        <v>-3.7466362407272902</v>
      </c>
      <c r="J42" s="8">
        <v>-38.501641285177101</v>
      </c>
      <c r="K42" s="5" t="str">
        <f t="shared" si="1"/>
        <v>Dionisio Torres; 34 Votos; 0,15%</v>
      </c>
    </row>
    <row r="43" spans="1:11" x14ac:dyDescent="0.25">
      <c r="A43" s="7">
        <v>43</v>
      </c>
      <c r="B43" s="20">
        <f t="shared" si="2"/>
        <v>2.3020257826887663E-3</v>
      </c>
      <c r="C43" s="7" t="s">
        <v>63</v>
      </c>
      <c r="D43">
        <v>10</v>
      </c>
      <c r="E43">
        <v>0.23</v>
      </c>
      <c r="F43" s="7">
        <v>11</v>
      </c>
      <c r="G43" s="23">
        <v>0.16</v>
      </c>
      <c r="H43" s="7">
        <f t="shared" si="0"/>
        <v>4344</v>
      </c>
      <c r="I43" s="8">
        <v>-3.7554394732483001</v>
      </c>
      <c r="J43" s="8">
        <v>-38.589623726028101</v>
      </c>
      <c r="K43" s="5" t="str">
        <f t="shared" si="1"/>
        <v>Dom Lustosa; 10 Votos; 0,16%</v>
      </c>
    </row>
    <row r="44" spans="1:11" x14ac:dyDescent="0.25">
      <c r="A44" s="7">
        <v>57</v>
      </c>
      <c r="B44" s="20">
        <f t="shared" si="2"/>
        <v>1.4502762430939226E-2</v>
      </c>
      <c r="C44" s="5" t="s">
        <v>77</v>
      </c>
      <c r="D44">
        <v>63</v>
      </c>
      <c r="E44">
        <v>1.45</v>
      </c>
      <c r="F44" s="7">
        <v>7</v>
      </c>
      <c r="G44" s="23">
        <v>0.27</v>
      </c>
      <c r="H44" s="7">
        <f t="shared" si="0"/>
        <v>4344</v>
      </c>
      <c r="I44" s="8">
        <v>-3.7734109847680899</v>
      </c>
      <c r="J44" s="8">
        <v>-38.476795027420103</v>
      </c>
      <c r="K44" s="5" t="str">
        <f t="shared" si="1"/>
        <v>Edson Queiroz; 63 Votos; 0,27%</v>
      </c>
    </row>
    <row r="45" spans="1:11" x14ac:dyDescent="0.25">
      <c r="A45" s="7">
        <v>38</v>
      </c>
      <c r="B45" s="20">
        <f t="shared" si="2"/>
        <v>1.1510128913443832E-3</v>
      </c>
      <c r="C45" s="7" t="s">
        <v>58</v>
      </c>
      <c r="D45">
        <v>5</v>
      </c>
      <c r="E45">
        <v>0.12</v>
      </c>
      <c r="F45" s="7">
        <v>3</v>
      </c>
      <c r="G45" s="23">
        <v>0.22</v>
      </c>
      <c r="H45" s="7">
        <f t="shared" si="0"/>
        <v>4344</v>
      </c>
      <c r="I45" s="8">
        <v>-3.72295333117538</v>
      </c>
      <c r="J45" s="8">
        <v>-38.563187015973298</v>
      </c>
      <c r="K45" s="5" t="str">
        <f t="shared" si="1"/>
        <v>Ellery; 5 Votos; 0,22%</v>
      </c>
    </row>
    <row r="46" spans="1:11" x14ac:dyDescent="0.25">
      <c r="A46" s="7">
        <v>58</v>
      </c>
      <c r="B46" s="20">
        <f t="shared" si="2"/>
        <v>8.2872928176795577E-3</v>
      </c>
      <c r="C46" s="5" t="s">
        <v>78</v>
      </c>
      <c r="D46">
        <v>36</v>
      </c>
      <c r="E46">
        <v>0.83</v>
      </c>
      <c r="F46" s="7">
        <v>7</v>
      </c>
      <c r="G46" s="23">
        <v>0.41</v>
      </c>
      <c r="H46" s="7">
        <f t="shared" si="0"/>
        <v>4344</v>
      </c>
      <c r="I46" s="8">
        <v>-3.7702613040788902</v>
      </c>
      <c r="J46" s="8">
        <v>-38.483598983838498</v>
      </c>
      <c r="K46" s="5" t="str">
        <f t="shared" si="1"/>
        <v>Eng Luciano Cavalcante; 36 Votos; 0,41%</v>
      </c>
    </row>
    <row r="47" spans="1:11" x14ac:dyDescent="0.25">
      <c r="A47" s="7">
        <v>15</v>
      </c>
      <c r="B47" s="20">
        <f t="shared" si="2"/>
        <v>3.2228360957642726E-3</v>
      </c>
      <c r="C47" s="7" t="s">
        <v>35</v>
      </c>
      <c r="D47">
        <v>14</v>
      </c>
      <c r="E47">
        <v>0.32</v>
      </c>
      <c r="F47" s="7">
        <v>3</v>
      </c>
      <c r="G47" s="23">
        <v>0.22</v>
      </c>
      <c r="H47" s="7">
        <f t="shared" si="0"/>
        <v>4344</v>
      </c>
      <c r="I47" s="8">
        <v>-3.73209256228118</v>
      </c>
      <c r="J47" s="8">
        <v>-38.541562729521601</v>
      </c>
      <c r="K47" s="5" t="str">
        <f t="shared" si="1"/>
        <v>Farias Brito; 14 Votos; 0,22%</v>
      </c>
    </row>
    <row r="48" spans="1:11" x14ac:dyDescent="0.25">
      <c r="A48" s="7">
        <v>16</v>
      </c>
      <c r="B48" s="20">
        <f t="shared" si="2"/>
        <v>1.0589318600368325E-2</v>
      </c>
      <c r="C48" s="7" t="s">
        <v>36</v>
      </c>
      <c r="D48">
        <v>46</v>
      </c>
      <c r="E48">
        <v>1.06</v>
      </c>
      <c r="F48" s="7">
        <v>4</v>
      </c>
      <c r="G48" s="23">
        <v>0.22</v>
      </c>
      <c r="H48" s="7">
        <f t="shared" si="0"/>
        <v>4344</v>
      </c>
      <c r="I48" s="8">
        <v>-3.7515603030788198</v>
      </c>
      <c r="J48" s="8">
        <v>-38.526676301673398</v>
      </c>
      <c r="K48" s="5" t="str">
        <f t="shared" si="1"/>
        <v>Fatima; 46 Votos; 0,22%</v>
      </c>
    </row>
    <row r="49" spans="1:11" x14ac:dyDescent="0.25">
      <c r="A49" s="7">
        <v>17</v>
      </c>
      <c r="B49" s="20">
        <f t="shared" si="2"/>
        <v>6.9060773480662981E-4</v>
      </c>
      <c r="C49" s="7" t="s">
        <v>37</v>
      </c>
      <c r="D49">
        <v>3</v>
      </c>
      <c r="E49">
        <v>7.0000000000000007E-2</v>
      </c>
      <c r="F49" s="7">
        <v>1</v>
      </c>
      <c r="G49" s="23">
        <v>1.78</v>
      </c>
      <c r="H49" s="7">
        <f t="shared" si="0"/>
        <v>4344</v>
      </c>
      <c r="I49" s="8">
        <v>-3.72619124055575</v>
      </c>
      <c r="J49" s="8">
        <v>-38.576785296760498</v>
      </c>
      <c r="K49" s="5" t="str">
        <f t="shared" si="1"/>
        <v>Floresta; 3 Votos; 1,78%</v>
      </c>
    </row>
    <row r="50" spans="1:11" x14ac:dyDescent="0.25">
      <c r="A50" s="7">
        <v>44</v>
      </c>
      <c r="B50" s="20">
        <f t="shared" si="2"/>
        <v>3.9134438305709028E-3</v>
      </c>
      <c r="C50" s="7" t="s">
        <v>64</v>
      </c>
      <c r="D50">
        <v>17</v>
      </c>
      <c r="E50">
        <v>0.39</v>
      </c>
      <c r="F50" s="7">
        <v>11</v>
      </c>
      <c r="G50" s="23">
        <v>0.12</v>
      </c>
      <c r="H50" s="7">
        <f t="shared" si="0"/>
        <v>4344</v>
      </c>
      <c r="I50" s="8">
        <v>-3.7516470528074999</v>
      </c>
      <c r="J50" s="8">
        <v>-38.600969744826699</v>
      </c>
      <c r="K50" s="5" t="str">
        <f t="shared" si="1"/>
        <v>Genibau; 17 Votos; 0,12%</v>
      </c>
    </row>
    <row r="51" spans="1:11" x14ac:dyDescent="0.25">
      <c r="A51" s="7">
        <v>78</v>
      </c>
      <c r="B51" s="20">
        <f t="shared" si="2"/>
        <v>1.0128913443830571E-2</v>
      </c>
      <c r="C51" s="5" t="s">
        <v>98</v>
      </c>
      <c r="D51">
        <v>44</v>
      </c>
      <c r="E51">
        <v>1.01</v>
      </c>
      <c r="F51" s="7">
        <v>5</v>
      </c>
      <c r="G51" s="23">
        <v>0.75</v>
      </c>
      <c r="H51" s="7">
        <f t="shared" si="0"/>
        <v>4344</v>
      </c>
      <c r="I51" s="8">
        <v>-3.7933731956045</v>
      </c>
      <c r="J51" s="8">
        <v>-38.620273767964399</v>
      </c>
      <c r="K51" s="5" t="str">
        <f t="shared" si="1"/>
        <v>Granja Lisboa; 44 Votos; 0,75%</v>
      </c>
    </row>
    <row r="52" spans="1:11" x14ac:dyDescent="0.25">
      <c r="A52" s="7">
        <v>79</v>
      </c>
      <c r="B52" s="20">
        <f t="shared" si="2"/>
        <v>6.2154696132596682E-3</v>
      </c>
      <c r="C52" s="5" t="s">
        <v>99</v>
      </c>
      <c r="D52">
        <v>27</v>
      </c>
      <c r="E52">
        <v>0.62</v>
      </c>
      <c r="F52" s="7">
        <v>5</v>
      </c>
      <c r="G52" s="23">
        <v>0.63</v>
      </c>
      <c r="H52" s="7">
        <f t="shared" si="0"/>
        <v>4344</v>
      </c>
      <c r="I52" s="8">
        <v>-3.7790253278716199</v>
      </c>
      <c r="J52" s="8">
        <v>-38.601168123088698</v>
      </c>
      <c r="K52" s="5" t="str">
        <f t="shared" si="1"/>
        <v>Granja Portugal; 27 Votos; 0,63%</v>
      </c>
    </row>
    <row r="53" spans="1:11" x14ac:dyDescent="0.25">
      <c r="A53" s="7">
        <v>59</v>
      </c>
      <c r="B53" s="20">
        <f t="shared" si="2"/>
        <v>6.2154696132596682E-3</v>
      </c>
      <c r="C53" s="5" t="s">
        <v>79</v>
      </c>
      <c r="D53">
        <v>27</v>
      </c>
      <c r="E53">
        <v>0.62</v>
      </c>
      <c r="F53" s="7">
        <v>6</v>
      </c>
      <c r="G53" s="23">
        <v>7.0000000000000007E-2</v>
      </c>
      <c r="H53" s="7">
        <f t="shared" si="0"/>
        <v>4344</v>
      </c>
      <c r="I53" s="8">
        <v>-3.8312931400095298</v>
      </c>
      <c r="J53" s="8">
        <v>-38.480253466418297</v>
      </c>
      <c r="K53" s="5" t="str">
        <f t="shared" si="1"/>
        <v>Guajeru; 27 Votos; 0,07%</v>
      </c>
    </row>
    <row r="54" spans="1:11" x14ac:dyDescent="0.25">
      <c r="A54" s="7">
        <v>60</v>
      </c>
      <c r="B54" s="20">
        <f t="shared" si="2"/>
        <v>1.3812154696132596E-3</v>
      </c>
      <c r="C54" s="5" t="s">
        <v>80</v>
      </c>
      <c r="D54">
        <v>6</v>
      </c>
      <c r="E54">
        <v>0.14000000000000001</v>
      </c>
      <c r="F54" s="7">
        <v>7</v>
      </c>
      <c r="G54" s="23">
        <v>0.02</v>
      </c>
      <c r="H54" s="7">
        <f t="shared" si="0"/>
        <v>4344</v>
      </c>
      <c r="I54" s="8">
        <v>-3.7648339675464899</v>
      </c>
      <c r="J54" s="8">
        <v>-38.486628571489</v>
      </c>
      <c r="K54" s="5" t="str">
        <f t="shared" si="1"/>
        <v>Guararapes; 6 Votos; 0,02%</v>
      </c>
    </row>
    <row r="55" spans="1:11" x14ac:dyDescent="0.25">
      <c r="A55" s="7">
        <v>45</v>
      </c>
      <c r="B55" s="20">
        <f t="shared" si="2"/>
        <v>4.6040515653775326E-3</v>
      </c>
      <c r="C55" s="7" t="s">
        <v>65</v>
      </c>
      <c r="D55">
        <v>20</v>
      </c>
      <c r="E55">
        <v>0.46</v>
      </c>
      <c r="F55" s="7">
        <v>11</v>
      </c>
      <c r="G55" s="23">
        <v>0.53</v>
      </c>
      <c r="H55" s="7">
        <f t="shared" si="0"/>
        <v>4344</v>
      </c>
      <c r="I55" s="8">
        <v>-3.7650871411326698</v>
      </c>
      <c r="J55" s="8">
        <v>-38.584909699442299</v>
      </c>
      <c r="K55" s="5" t="str">
        <f t="shared" si="1"/>
        <v>Henrique Jorge; 20 Votos; 0,53%</v>
      </c>
    </row>
    <row r="56" spans="1:11" x14ac:dyDescent="0.25">
      <c r="A56" s="7">
        <v>98</v>
      </c>
      <c r="B56" s="20">
        <f t="shared" si="2"/>
        <v>0</v>
      </c>
      <c r="C56" s="5" t="s">
        <v>118</v>
      </c>
      <c r="E56">
        <v>0</v>
      </c>
      <c r="F56" s="7">
        <v>4</v>
      </c>
      <c r="G56" s="23">
        <v>0.01</v>
      </c>
      <c r="H56" s="7">
        <f t="shared" si="0"/>
        <v>4344</v>
      </c>
      <c r="I56" s="8">
        <v>-3.7712477296372899</v>
      </c>
      <c r="J56" s="8">
        <v>-38.5562904842132</v>
      </c>
      <c r="K56" s="5" t="str">
        <f t="shared" si="1"/>
        <v>Itaoca;  Votos; 0,01%</v>
      </c>
    </row>
    <row r="57" spans="1:11" x14ac:dyDescent="0.25">
      <c r="A57" s="7">
        <v>99</v>
      </c>
      <c r="B57" s="20">
        <f t="shared" si="2"/>
        <v>9.6685082872928173E-3</v>
      </c>
      <c r="C57" s="5" t="s">
        <v>119</v>
      </c>
      <c r="D57">
        <v>42</v>
      </c>
      <c r="E57">
        <v>0.97</v>
      </c>
      <c r="F57" s="7">
        <v>8</v>
      </c>
      <c r="G57" s="23">
        <v>0.39</v>
      </c>
      <c r="H57" s="7">
        <f t="shared" si="0"/>
        <v>4344</v>
      </c>
      <c r="I57" s="8">
        <v>-3.7866840241715898</v>
      </c>
      <c r="J57" s="8">
        <v>-38.553120544833398</v>
      </c>
      <c r="K57" s="5" t="str">
        <f t="shared" si="1"/>
        <v>Itaperi; 42 Votos; 0,39%</v>
      </c>
    </row>
    <row r="58" spans="1:11" x14ac:dyDescent="0.25">
      <c r="A58" s="7">
        <v>18</v>
      </c>
      <c r="B58" s="20">
        <f t="shared" si="2"/>
        <v>5.7550644567219153E-3</v>
      </c>
      <c r="C58" s="7" t="s">
        <v>38</v>
      </c>
      <c r="D58">
        <v>25</v>
      </c>
      <c r="E58">
        <v>0.57999999999999996</v>
      </c>
      <c r="F58" s="7">
        <v>1</v>
      </c>
      <c r="G58" s="23">
        <v>0.66</v>
      </c>
      <c r="H58" s="7">
        <f t="shared" si="0"/>
        <v>4344</v>
      </c>
      <c r="I58" s="8">
        <v>-3.7233636491008499</v>
      </c>
      <c r="J58" s="8">
        <v>-38.543071831764003</v>
      </c>
      <c r="K58" s="5" t="str">
        <f t="shared" si="1"/>
        <v>Jacarecanga; 25 Votos; 0,66%</v>
      </c>
    </row>
    <row r="59" spans="1:11" x14ac:dyDescent="0.25">
      <c r="A59" s="7">
        <v>61</v>
      </c>
      <c r="B59" s="20">
        <f t="shared" si="2"/>
        <v>3.1998158379373851E-2</v>
      </c>
      <c r="C59" s="5" t="s">
        <v>81</v>
      </c>
      <c r="D59">
        <v>139</v>
      </c>
      <c r="E59">
        <v>3.2</v>
      </c>
      <c r="F59" s="7">
        <v>9</v>
      </c>
      <c r="G59" s="23">
        <v>0.27</v>
      </c>
      <c r="H59" s="7">
        <f t="shared" si="0"/>
        <v>4344</v>
      </c>
      <c r="I59" s="8">
        <v>-3.8412091657168799</v>
      </c>
      <c r="J59" s="8">
        <v>-38.512826301051597</v>
      </c>
      <c r="K59" s="5" t="str">
        <f t="shared" si="1"/>
        <v>Jangurussu; 139 Votos; 0,27%</v>
      </c>
    </row>
    <row r="60" spans="1:11" x14ac:dyDescent="0.25">
      <c r="A60" s="7">
        <v>19</v>
      </c>
      <c r="B60" s="20">
        <f t="shared" si="2"/>
        <v>3.9134438305709028E-3</v>
      </c>
      <c r="C60" s="7" t="s">
        <v>39</v>
      </c>
      <c r="D60">
        <v>17</v>
      </c>
      <c r="E60">
        <v>0.39</v>
      </c>
      <c r="F60" s="7">
        <v>4</v>
      </c>
      <c r="G60" s="23">
        <v>0.15</v>
      </c>
      <c r="H60" s="7">
        <f t="shared" si="0"/>
        <v>4344</v>
      </c>
      <c r="I60" s="8">
        <v>-3.7518452293694602</v>
      </c>
      <c r="J60" s="8">
        <v>-38.539152524464903</v>
      </c>
      <c r="K60" s="5" t="str">
        <f t="shared" si="1"/>
        <v>Jardim America; 17 Votos; 0,15%</v>
      </c>
    </row>
    <row r="61" spans="1:11" x14ac:dyDescent="0.25">
      <c r="A61" s="7">
        <v>80</v>
      </c>
      <c r="B61" s="20">
        <f t="shared" si="2"/>
        <v>3.2228360957642726E-3</v>
      </c>
      <c r="C61" s="5" t="s">
        <v>100</v>
      </c>
      <c r="D61">
        <v>14</v>
      </c>
      <c r="E61">
        <v>0.32</v>
      </c>
      <c r="F61" s="7">
        <v>10</v>
      </c>
      <c r="G61" s="23">
        <v>0.14000000000000001</v>
      </c>
      <c r="H61" s="7">
        <f t="shared" si="0"/>
        <v>4344</v>
      </c>
      <c r="I61" s="8">
        <v>-3.80031139104018</v>
      </c>
      <c r="J61" s="8">
        <v>-38.566177251244802</v>
      </c>
      <c r="K61" s="5" t="str">
        <f t="shared" si="1"/>
        <v>Jardim Cearense; 14 Votos; 0,14%</v>
      </c>
    </row>
    <row r="62" spans="1:11" x14ac:dyDescent="0.25">
      <c r="A62" s="7">
        <v>62</v>
      </c>
      <c r="B62" s="20">
        <f t="shared" si="2"/>
        <v>8.0570902394106816E-3</v>
      </c>
      <c r="C62" s="5" t="s">
        <v>82</v>
      </c>
      <c r="D62">
        <v>35</v>
      </c>
      <c r="E62">
        <v>0.81</v>
      </c>
      <c r="F62" s="7">
        <v>6</v>
      </c>
      <c r="G62" s="23">
        <v>0.12</v>
      </c>
      <c r="H62" s="7">
        <f t="shared" si="0"/>
        <v>4344</v>
      </c>
      <c r="I62" s="8">
        <v>-3.7820354926464299</v>
      </c>
      <c r="J62" s="8">
        <v>-38.502048101175497</v>
      </c>
      <c r="K62" s="5" t="str">
        <f t="shared" si="1"/>
        <v>Jardim das Oliveiras; 35 Votos; 0,12%</v>
      </c>
    </row>
    <row r="63" spans="1:11" x14ac:dyDescent="0.25">
      <c r="A63" s="7">
        <v>20</v>
      </c>
      <c r="B63" s="20">
        <f t="shared" si="2"/>
        <v>2.3020257826887663E-3</v>
      </c>
      <c r="C63" s="7" t="s">
        <v>40</v>
      </c>
      <c r="D63">
        <v>10</v>
      </c>
      <c r="E63">
        <v>0.23</v>
      </c>
      <c r="F63" s="7">
        <v>1</v>
      </c>
      <c r="G63" s="23">
        <v>1.78</v>
      </c>
      <c r="H63" s="7">
        <f t="shared" si="0"/>
        <v>4344</v>
      </c>
      <c r="I63" s="8">
        <v>-3.7239391281284799</v>
      </c>
      <c r="J63" s="8">
        <v>-38.589812341226803</v>
      </c>
      <c r="K63" s="5" t="str">
        <f t="shared" si="1"/>
        <v>Jardim Guanabara; 10 Votos; 1,78%</v>
      </c>
    </row>
    <row r="64" spans="1:11" x14ac:dyDescent="0.25">
      <c r="A64" s="7">
        <v>21</v>
      </c>
      <c r="B64" s="20">
        <f t="shared" si="2"/>
        <v>7.3664825046040518E-3</v>
      </c>
      <c r="C64" s="7" t="s">
        <v>41</v>
      </c>
      <c r="D64">
        <v>32</v>
      </c>
      <c r="E64">
        <v>0.74</v>
      </c>
      <c r="F64" s="7">
        <v>1</v>
      </c>
      <c r="G64" s="23">
        <v>25.98</v>
      </c>
      <c r="H64" s="7">
        <f t="shared" si="0"/>
        <v>4344</v>
      </c>
      <c r="I64" s="8">
        <v>-3.7222030360943399</v>
      </c>
      <c r="J64" s="8">
        <v>-38.5836486181475</v>
      </c>
      <c r="K64" s="5" t="str">
        <f t="shared" si="1"/>
        <v>Jardim Iracema; 32 Votos; 25,98%</v>
      </c>
    </row>
    <row r="65" spans="1:11" x14ac:dyDescent="0.25">
      <c r="A65" s="7">
        <v>46</v>
      </c>
      <c r="B65" s="20">
        <f t="shared" si="2"/>
        <v>2.9926335174953961E-3</v>
      </c>
      <c r="C65" s="7" t="s">
        <v>66</v>
      </c>
      <c r="D65">
        <v>13</v>
      </c>
      <c r="E65">
        <v>0.3</v>
      </c>
      <c r="F65" s="7">
        <v>11</v>
      </c>
      <c r="G65" s="23">
        <v>0.38</v>
      </c>
      <c r="H65" s="7">
        <f t="shared" si="0"/>
        <v>4344</v>
      </c>
      <c r="I65" s="8">
        <v>-3.76910219236016</v>
      </c>
      <c r="J65" s="8">
        <v>-38.588708989157197</v>
      </c>
      <c r="K65" s="5" t="str">
        <f t="shared" si="1"/>
        <v>João XXIII; 13 Votos; 0,38%</v>
      </c>
    </row>
    <row r="66" spans="1:11" x14ac:dyDescent="0.25">
      <c r="A66" s="7">
        <v>22</v>
      </c>
      <c r="B66" s="20">
        <f t="shared" si="2"/>
        <v>1.0359116022099447E-2</v>
      </c>
      <c r="C66" s="7" t="s">
        <v>42</v>
      </c>
      <c r="D66">
        <v>45</v>
      </c>
      <c r="E66">
        <v>1.04</v>
      </c>
      <c r="F66" s="7">
        <v>2</v>
      </c>
      <c r="G66" s="23">
        <v>0.26</v>
      </c>
      <c r="H66" s="7">
        <f t="shared" si="0"/>
        <v>4344</v>
      </c>
      <c r="I66" s="8">
        <v>-3.74778232790861</v>
      </c>
      <c r="J66" s="8">
        <v>-38.518867248309697</v>
      </c>
      <c r="K66" s="5" t="str">
        <f t="shared" si="1"/>
        <v>Joaquim Távora; 45 Votos; 0,26%</v>
      </c>
    </row>
    <row r="67" spans="1:11" x14ac:dyDescent="0.25">
      <c r="A67" s="7">
        <v>100</v>
      </c>
      <c r="B67" s="20">
        <f t="shared" si="2"/>
        <v>3.453038674033149E-3</v>
      </c>
      <c r="C67" s="5" t="s">
        <v>120</v>
      </c>
      <c r="D67">
        <v>15</v>
      </c>
      <c r="E67">
        <v>0.35</v>
      </c>
      <c r="F67" s="7">
        <v>11</v>
      </c>
      <c r="G67" s="23">
        <v>0.23</v>
      </c>
      <c r="H67" s="7">
        <f t="shared" ref="H67:H121" si="3">H66</f>
        <v>4344</v>
      </c>
      <c r="I67" s="8">
        <v>-3.7625262833534698</v>
      </c>
      <c r="J67" s="8">
        <v>-38.574086651965402</v>
      </c>
      <c r="K67" s="5" t="str">
        <f t="shared" ref="K67:K122" si="4">C67&amp;"; "&amp;D67&amp;" Votos; "&amp;G67&amp;"%"</f>
        <v>Jóquei Clube; 15 Votos; 0,23%</v>
      </c>
    </row>
    <row r="68" spans="1:11" x14ac:dyDescent="0.25">
      <c r="A68" s="7">
        <v>23</v>
      </c>
      <c r="B68" s="20">
        <f t="shared" ref="B68:B122" si="5">D68/H68</f>
        <v>6.9060773480662981E-3</v>
      </c>
      <c r="C68" s="7" t="s">
        <v>43</v>
      </c>
      <c r="D68">
        <v>30</v>
      </c>
      <c r="E68">
        <v>0.69</v>
      </c>
      <c r="F68" s="7">
        <v>4</v>
      </c>
      <c r="G68" s="23">
        <v>0.16</v>
      </c>
      <c r="H68" s="7">
        <f t="shared" si="3"/>
        <v>4344</v>
      </c>
      <c r="I68" s="8">
        <v>-3.7395261974969398</v>
      </c>
      <c r="J68" s="8">
        <v>-38.5287466981706</v>
      </c>
      <c r="K68" s="5" t="str">
        <f t="shared" si="4"/>
        <v>José Bonifácio; 30 Votos; 0,16%</v>
      </c>
    </row>
    <row r="69" spans="1:11" x14ac:dyDescent="0.25">
      <c r="A69" s="7">
        <v>49</v>
      </c>
      <c r="B69" s="20">
        <f t="shared" si="5"/>
        <v>4.3738489871086557E-3</v>
      </c>
      <c r="C69" s="7" t="s">
        <v>69</v>
      </c>
      <c r="D69">
        <v>19</v>
      </c>
      <c r="E69">
        <v>0.44</v>
      </c>
      <c r="F69" s="7">
        <v>6</v>
      </c>
      <c r="G69" s="23">
        <v>0.06</v>
      </c>
      <c r="H69" s="7">
        <f t="shared" si="3"/>
        <v>4344</v>
      </c>
      <c r="I69" s="8">
        <v>-3.8057596847658401</v>
      </c>
      <c r="J69" s="8">
        <v>-38.471245681105501</v>
      </c>
      <c r="K69" s="5" t="str">
        <f t="shared" si="4"/>
        <v>José de Alencar; 19 Votos; 0,06%</v>
      </c>
    </row>
    <row r="70" spans="1:11" x14ac:dyDescent="0.25">
      <c r="A70" s="7">
        <v>63</v>
      </c>
      <c r="B70" s="20">
        <f t="shared" si="5"/>
        <v>1.1049723756906077E-2</v>
      </c>
      <c r="C70" s="5" t="s">
        <v>83</v>
      </c>
      <c r="D70">
        <v>48</v>
      </c>
      <c r="E70">
        <v>1.1000000000000001</v>
      </c>
      <c r="F70" s="7">
        <v>6</v>
      </c>
      <c r="G70" s="23">
        <v>0.16</v>
      </c>
      <c r="H70" s="7">
        <f t="shared" si="3"/>
        <v>4344</v>
      </c>
      <c r="I70" s="8">
        <v>-3.8246576167324098</v>
      </c>
      <c r="J70" s="8">
        <v>-38.4597607960185</v>
      </c>
      <c r="K70" s="5" t="str">
        <f t="shared" si="4"/>
        <v>Lagoa Redonda; 48 Votos; 0,16%</v>
      </c>
    </row>
    <row r="71" spans="1:11" x14ac:dyDescent="0.25">
      <c r="A71" s="7">
        <v>81</v>
      </c>
      <c r="B71" s="20">
        <f t="shared" si="5"/>
        <v>5.9852670349907922E-3</v>
      </c>
      <c r="C71" s="5" t="s">
        <v>101</v>
      </c>
      <c r="D71">
        <v>26</v>
      </c>
      <c r="E71">
        <v>0.6</v>
      </c>
      <c r="F71" s="7">
        <v>10</v>
      </c>
      <c r="G71" s="23">
        <v>0.39</v>
      </c>
      <c r="H71" s="7">
        <f t="shared" si="3"/>
        <v>4344</v>
      </c>
      <c r="I71" s="8">
        <v>-3.7975320259768401</v>
      </c>
      <c r="J71" s="8">
        <v>-38.580770879845801</v>
      </c>
      <c r="K71" s="5" t="str">
        <f t="shared" si="4"/>
        <v>Manoel Sátiro; 26 Votos; 0,39%</v>
      </c>
    </row>
    <row r="72" spans="1:11" x14ac:dyDescent="0.25">
      <c r="A72" s="7">
        <v>110</v>
      </c>
      <c r="B72" s="20">
        <f t="shared" si="5"/>
        <v>0</v>
      </c>
      <c r="C72" s="7" t="s">
        <v>130</v>
      </c>
      <c r="E72">
        <v>0</v>
      </c>
      <c r="F72" s="7">
        <v>7</v>
      </c>
      <c r="G72" s="23">
        <v>0</v>
      </c>
      <c r="H72" s="7">
        <f t="shared" si="3"/>
        <v>4344</v>
      </c>
      <c r="I72" s="8">
        <v>-3.75642777859143</v>
      </c>
      <c r="J72" s="8">
        <v>-38.456780907749</v>
      </c>
      <c r="K72" s="5" t="str">
        <f t="shared" si="4"/>
        <v>Manuel Dias Branco;  Votos; 0%</v>
      </c>
    </row>
    <row r="73" spans="1:11" x14ac:dyDescent="0.25">
      <c r="A73" s="7">
        <v>82</v>
      </c>
      <c r="B73" s="20">
        <f t="shared" si="5"/>
        <v>6.4456721915285451E-3</v>
      </c>
      <c r="C73" s="5" t="s">
        <v>102</v>
      </c>
      <c r="D73">
        <v>28</v>
      </c>
      <c r="E73">
        <v>0.64</v>
      </c>
      <c r="F73" s="7">
        <v>10</v>
      </c>
      <c r="G73" s="23">
        <v>0.1</v>
      </c>
      <c r="H73" s="7">
        <f t="shared" si="3"/>
        <v>4344</v>
      </c>
      <c r="I73" s="8">
        <v>-3.8001163536715401</v>
      </c>
      <c r="J73" s="8">
        <v>-38.572654338560803</v>
      </c>
      <c r="K73" s="5" t="str">
        <f t="shared" si="4"/>
        <v>Maraponga; 28 Votos; 0,1%</v>
      </c>
    </row>
    <row r="74" spans="1:11" x14ac:dyDescent="0.25">
      <c r="A74" s="7">
        <v>24</v>
      </c>
      <c r="B74" s="20">
        <f t="shared" si="5"/>
        <v>8.5174953959484354E-3</v>
      </c>
      <c r="C74" s="7" t="s">
        <v>44</v>
      </c>
      <c r="D74">
        <v>37</v>
      </c>
      <c r="E74">
        <v>0.85</v>
      </c>
      <c r="F74" s="7">
        <v>2</v>
      </c>
      <c r="G74" s="23">
        <v>0.5</v>
      </c>
      <c r="H74" s="7">
        <f t="shared" si="3"/>
        <v>4344</v>
      </c>
      <c r="I74" s="8">
        <v>-3.7269179692477898</v>
      </c>
      <c r="J74" s="8">
        <v>-38.5046842194972</v>
      </c>
      <c r="K74" s="5" t="str">
        <f t="shared" si="4"/>
        <v>Meireles; 37 Votos; 0,5%</v>
      </c>
    </row>
    <row r="75" spans="1:11" x14ac:dyDescent="0.25">
      <c r="A75" s="7">
        <v>65</v>
      </c>
      <c r="B75" s="20">
        <f t="shared" si="5"/>
        <v>8.6556169429097607E-2</v>
      </c>
      <c r="C75" s="5" t="s">
        <v>85</v>
      </c>
      <c r="D75">
        <v>376</v>
      </c>
      <c r="E75">
        <v>8.66</v>
      </c>
      <c r="F75" s="7">
        <v>6</v>
      </c>
      <c r="G75" s="23">
        <v>0.69</v>
      </c>
      <c r="H75" s="7">
        <f t="shared" si="3"/>
        <v>4344</v>
      </c>
      <c r="I75" s="8">
        <v>-3.8322007892483798</v>
      </c>
      <c r="J75" s="8">
        <v>-38.494053199912997</v>
      </c>
      <c r="K75" s="5" t="str">
        <f t="shared" si="4"/>
        <v>Messejana; 376 Votos; 0,69%</v>
      </c>
    </row>
    <row r="76" spans="1:11" x14ac:dyDescent="0.25">
      <c r="A76" s="7">
        <v>83</v>
      </c>
      <c r="B76" s="20">
        <f t="shared" si="5"/>
        <v>1.0589318600368325E-2</v>
      </c>
      <c r="C76" s="5" t="s">
        <v>103</v>
      </c>
      <c r="D76">
        <v>46</v>
      </c>
      <c r="E76">
        <v>1.06</v>
      </c>
      <c r="F76" s="7">
        <v>10</v>
      </c>
      <c r="G76" s="23">
        <v>0.34</v>
      </c>
      <c r="H76" s="7">
        <f t="shared" si="3"/>
        <v>4344</v>
      </c>
      <c r="I76" s="8">
        <v>-3.8125792178685902</v>
      </c>
      <c r="J76" s="8">
        <v>-38.569573265927303</v>
      </c>
      <c r="K76" s="5" t="str">
        <f t="shared" si="4"/>
        <v>Mondubim; 46 Votos; 0,34%</v>
      </c>
    </row>
    <row r="77" spans="1:11" x14ac:dyDescent="0.25">
      <c r="A77" s="7">
        <v>25</v>
      </c>
      <c r="B77" s="20">
        <f t="shared" si="5"/>
        <v>1.289134438305709E-2</v>
      </c>
      <c r="C77" s="7" t="s">
        <v>45</v>
      </c>
      <c r="D77">
        <v>56</v>
      </c>
      <c r="E77">
        <v>1.29</v>
      </c>
      <c r="F77" s="7">
        <v>3</v>
      </c>
      <c r="G77" s="23">
        <v>1.31</v>
      </c>
      <c r="H77" s="7">
        <f t="shared" si="3"/>
        <v>4344</v>
      </c>
      <c r="I77" s="8">
        <v>-3.7235644516225999</v>
      </c>
      <c r="J77" s="8">
        <v>-38.553350204713297</v>
      </c>
      <c r="K77" s="5" t="str">
        <f t="shared" si="4"/>
        <v>Monte Castelo; 56 Votos; 1,31%</v>
      </c>
    </row>
    <row r="78" spans="1:11" x14ac:dyDescent="0.25">
      <c r="A78" s="7">
        <v>101</v>
      </c>
      <c r="B78" s="20">
        <f t="shared" si="5"/>
        <v>1.4042357274401474E-2</v>
      </c>
      <c r="C78" s="5" t="s">
        <v>121</v>
      </c>
      <c r="D78">
        <v>61</v>
      </c>
      <c r="E78">
        <v>1.4</v>
      </c>
      <c r="F78" s="7">
        <v>4</v>
      </c>
      <c r="G78" s="23">
        <v>0.91</v>
      </c>
      <c r="H78" s="7">
        <f t="shared" si="3"/>
        <v>4344</v>
      </c>
      <c r="I78" s="8">
        <v>-3.7656439850019798</v>
      </c>
      <c r="J78" s="8">
        <v>-38.550650383730598</v>
      </c>
      <c r="K78" s="5" t="str">
        <f t="shared" si="4"/>
        <v>Montese; 61 Votos; 0,91%</v>
      </c>
    </row>
    <row r="79" spans="1:11" x14ac:dyDescent="0.25">
      <c r="A79" s="7">
        <v>5</v>
      </c>
      <c r="B79" s="20">
        <f t="shared" si="5"/>
        <v>0</v>
      </c>
      <c r="C79" s="7" t="s">
        <v>25</v>
      </c>
      <c r="E79">
        <v>0</v>
      </c>
      <c r="F79" s="7">
        <v>12</v>
      </c>
      <c r="G79" s="23">
        <v>1.29</v>
      </c>
      <c r="H79" s="7">
        <f t="shared" si="3"/>
        <v>4344</v>
      </c>
      <c r="I79" s="8">
        <v>-3.7184777140240799</v>
      </c>
      <c r="J79" s="8">
        <v>-38.532559596432002</v>
      </c>
      <c r="K79" s="5" t="str">
        <f t="shared" si="4"/>
        <v>Moura Brasil;  Votos; 1,29%</v>
      </c>
    </row>
    <row r="80" spans="1:11" x14ac:dyDescent="0.25">
      <c r="A80" s="7">
        <v>26</v>
      </c>
      <c r="B80" s="20">
        <f t="shared" si="5"/>
        <v>5.7550644567219153E-3</v>
      </c>
      <c r="C80" s="7" t="s">
        <v>46</v>
      </c>
      <c r="D80">
        <v>25</v>
      </c>
      <c r="E80">
        <v>0.57999999999999996</v>
      </c>
      <c r="F80" s="7">
        <v>2</v>
      </c>
      <c r="G80" s="23">
        <v>0.09</v>
      </c>
      <c r="H80" s="7">
        <f t="shared" si="3"/>
        <v>4344</v>
      </c>
      <c r="I80" s="8">
        <v>-3.7254466302023399</v>
      </c>
      <c r="J80" s="8">
        <v>-38.4838066068139</v>
      </c>
      <c r="K80" s="5" t="str">
        <f t="shared" si="4"/>
        <v>Mucuripe; 25 Votos; 0,09%</v>
      </c>
    </row>
    <row r="81" spans="1:11" x14ac:dyDescent="0.25">
      <c r="A81" s="7">
        <v>117</v>
      </c>
      <c r="B81" s="20">
        <f t="shared" si="5"/>
        <v>6.9060773480662981E-4</v>
      </c>
      <c r="C81" s="7" t="s">
        <v>137</v>
      </c>
      <c r="D81">
        <v>3</v>
      </c>
      <c r="E81">
        <v>7.0000000000000007E-2</v>
      </c>
      <c r="F81" s="7">
        <v>10</v>
      </c>
      <c r="G81" s="23">
        <v>0.06</v>
      </c>
      <c r="H81" s="7">
        <f t="shared" si="3"/>
        <v>4344</v>
      </c>
      <c r="I81" s="8">
        <v>-3.8131898120131198</v>
      </c>
      <c r="J81" s="8">
        <v>-38.586563691754797</v>
      </c>
      <c r="K81" s="5" t="str">
        <f t="shared" si="4"/>
        <v>Novo Mondubim; 3 Votos; 0,06%</v>
      </c>
    </row>
    <row r="82" spans="1:11" x14ac:dyDescent="0.25">
      <c r="A82" s="7">
        <v>118</v>
      </c>
      <c r="B82" s="20">
        <f t="shared" si="5"/>
        <v>0</v>
      </c>
      <c r="C82" s="7" t="s">
        <v>138</v>
      </c>
      <c r="E82">
        <v>0</v>
      </c>
      <c r="F82" s="7">
        <v>3</v>
      </c>
      <c r="G82" s="23">
        <v>0</v>
      </c>
      <c r="H82" s="7">
        <f t="shared" si="3"/>
        <v>4344</v>
      </c>
      <c r="I82" s="8">
        <v>-3.7291007990209999</v>
      </c>
      <c r="J82" s="8">
        <v>-38.589731419797097</v>
      </c>
      <c r="K82" s="5" t="str">
        <f t="shared" si="4"/>
        <v>Olavo Oliveira;  Votos; 0%</v>
      </c>
    </row>
    <row r="83" spans="1:11" x14ac:dyDescent="0.25">
      <c r="A83" s="7">
        <v>47</v>
      </c>
      <c r="B83" s="20">
        <f t="shared" si="5"/>
        <v>2.9926335174953961E-3</v>
      </c>
      <c r="C83" s="7" t="s">
        <v>67</v>
      </c>
      <c r="D83">
        <v>13</v>
      </c>
      <c r="E83">
        <v>0.3</v>
      </c>
      <c r="F83" s="7">
        <v>3</v>
      </c>
      <c r="G83" s="23">
        <v>9.89</v>
      </c>
      <c r="H83" s="7">
        <f t="shared" si="3"/>
        <v>4344</v>
      </c>
      <c r="I83" s="8">
        <v>-3.7315025216373301</v>
      </c>
      <c r="J83" s="8">
        <v>-38.580920308954497</v>
      </c>
      <c r="K83" s="5" t="str">
        <f t="shared" si="4"/>
        <v>Padre Andrade; 13 Votos; 9,89%</v>
      </c>
    </row>
    <row r="84" spans="1:11" x14ac:dyDescent="0.25">
      <c r="A84" s="7">
        <v>102</v>
      </c>
      <c r="B84" s="20">
        <f t="shared" si="5"/>
        <v>2.0718232044198894E-3</v>
      </c>
      <c r="C84" s="5" t="s">
        <v>122</v>
      </c>
      <c r="D84">
        <v>9</v>
      </c>
      <c r="E84">
        <v>0.21</v>
      </c>
      <c r="F84" s="7">
        <v>11</v>
      </c>
      <c r="G84" s="23">
        <v>0.17</v>
      </c>
      <c r="H84" s="7">
        <f t="shared" si="3"/>
        <v>4344</v>
      </c>
      <c r="I84" s="8">
        <v>-3.7573760474097702</v>
      </c>
      <c r="J84" s="8">
        <v>-38.565319377017701</v>
      </c>
      <c r="K84" s="5" t="str">
        <f t="shared" si="4"/>
        <v>Panamericano; 9 Votos; 0,17%</v>
      </c>
    </row>
    <row r="85" spans="1:11" x14ac:dyDescent="0.25">
      <c r="A85" s="7">
        <v>27</v>
      </c>
      <c r="B85" s="20">
        <f t="shared" si="5"/>
        <v>7.1362799263351749E-3</v>
      </c>
      <c r="C85" s="7" t="s">
        <v>47</v>
      </c>
      <c r="D85">
        <v>31</v>
      </c>
      <c r="E85">
        <v>0.71</v>
      </c>
      <c r="F85" s="7">
        <v>2</v>
      </c>
      <c r="G85" s="23">
        <v>0.23</v>
      </c>
      <c r="H85" s="7">
        <f t="shared" si="3"/>
        <v>4344</v>
      </c>
      <c r="I85" s="8">
        <v>-3.7427354585609498</v>
      </c>
      <c r="J85" s="8">
        <v>-38.468499998558499</v>
      </c>
      <c r="K85" s="5" t="str">
        <f t="shared" si="4"/>
        <v>Papicu; 31 Votos; 0,23%</v>
      </c>
    </row>
    <row r="86" spans="1:11" x14ac:dyDescent="0.25">
      <c r="A86" s="7">
        <v>103</v>
      </c>
      <c r="B86" s="20">
        <f t="shared" si="5"/>
        <v>1.220073664825046E-2</v>
      </c>
      <c r="C86" s="7" t="s">
        <v>123</v>
      </c>
      <c r="D86">
        <v>53</v>
      </c>
      <c r="E86">
        <v>1.22</v>
      </c>
      <c r="F86" s="7">
        <v>4</v>
      </c>
      <c r="G86" s="23">
        <v>1.04</v>
      </c>
      <c r="H86" s="7">
        <f t="shared" si="3"/>
        <v>4344</v>
      </c>
      <c r="I86" s="8">
        <v>-3.7785693644720499</v>
      </c>
      <c r="J86" s="8">
        <v>-38.567445612946898</v>
      </c>
      <c r="K86" s="5" t="str">
        <f t="shared" si="4"/>
        <v>Parangaba; 53 Votos; 1,04%</v>
      </c>
    </row>
    <row r="87" spans="1:11" x14ac:dyDescent="0.25">
      <c r="A87" s="7">
        <v>28</v>
      </c>
      <c r="B87" s="20">
        <f t="shared" si="5"/>
        <v>2.3020257826887662E-4</v>
      </c>
      <c r="C87" s="7" t="s">
        <v>48</v>
      </c>
      <c r="D87">
        <v>1</v>
      </c>
      <c r="E87">
        <v>0.02</v>
      </c>
      <c r="F87" s="7">
        <v>3</v>
      </c>
      <c r="G87" s="23">
        <v>0</v>
      </c>
      <c r="H87" s="7">
        <f t="shared" si="3"/>
        <v>4344</v>
      </c>
      <c r="I87" s="8">
        <v>-3.7357330225646401</v>
      </c>
      <c r="J87" s="8">
        <v>-38.547690382851698</v>
      </c>
      <c r="K87" s="5" t="str">
        <f t="shared" si="4"/>
        <v>Parque Araxá; 1 Votos; 0%</v>
      </c>
    </row>
    <row r="88" spans="1:11" x14ac:dyDescent="0.25">
      <c r="A88" s="7">
        <v>84</v>
      </c>
      <c r="B88" s="20">
        <f t="shared" si="5"/>
        <v>1.3812154696132596E-2</v>
      </c>
      <c r="C88" s="5" t="s">
        <v>104</v>
      </c>
      <c r="D88">
        <v>60</v>
      </c>
      <c r="E88">
        <v>1.38</v>
      </c>
      <c r="F88" s="7">
        <v>8</v>
      </c>
      <c r="G88" s="23">
        <v>0.18</v>
      </c>
      <c r="H88" s="7">
        <f t="shared" si="3"/>
        <v>4344</v>
      </c>
      <c r="I88" s="8">
        <v>-3.80317693812944</v>
      </c>
      <c r="J88" s="8">
        <v>-38.551264647704897</v>
      </c>
      <c r="K88" s="5" t="str">
        <f t="shared" si="4"/>
        <v>Parque Dois Irmãos; 60 Votos; 0,18%</v>
      </c>
    </row>
    <row r="89" spans="1:11" x14ac:dyDescent="0.25">
      <c r="A89" s="7">
        <v>66</v>
      </c>
      <c r="B89" s="20">
        <f t="shared" si="5"/>
        <v>0</v>
      </c>
      <c r="C89" s="5" t="s">
        <v>86</v>
      </c>
      <c r="E89">
        <v>0</v>
      </c>
      <c r="F89" s="7">
        <v>6</v>
      </c>
      <c r="G89" s="23">
        <v>0</v>
      </c>
      <c r="H89" s="7">
        <f t="shared" si="3"/>
        <v>4344</v>
      </c>
      <c r="I89" s="8">
        <v>-3.8059223519154899</v>
      </c>
      <c r="J89" s="8">
        <v>-38.497160776157003</v>
      </c>
      <c r="K89" s="5" t="str">
        <f t="shared" si="4"/>
        <v>Parque Iracema;  Votos; 0%</v>
      </c>
    </row>
    <row r="90" spans="1:11" x14ac:dyDescent="0.25">
      <c r="A90" s="7">
        <v>67</v>
      </c>
      <c r="B90" s="20">
        <f t="shared" si="5"/>
        <v>2.3020257826887663E-3</v>
      </c>
      <c r="C90" s="5" t="s">
        <v>87</v>
      </c>
      <c r="D90">
        <v>10</v>
      </c>
      <c r="E90">
        <v>0.23</v>
      </c>
      <c r="F90" s="7">
        <v>6</v>
      </c>
      <c r="G90" s="23">
        <v>0.04</v>
      </c>
      <c r="H90" s="7">
        <f t="shared" si="3"/>
        <v>4344</v>
      </c>
      <c r="I90" s="8">
        <v>-3.79143319504335</v>
      </c>
      <c r="J90" s="8">
        <v>-38.487124584832301</v>
      </c>
      <c r="K90" s="5" t="str">
        <f t="shared" si="4"/>
        <v>Parque Manibura; 10 Votos; 0,04%</v>
      </c>
    </row>
    <row r="91" spans="1:11" x14ac:dyDescent="0.25">
      <c r="A91" s="7">
        <v>85</v>
      </c>
      <c r="B91" s="20">
        <f t="shared" si="5"/>
        <v>9.2081031307550648E-4</v>
      </c>
      <c r="C91" s="5" t="s">
        <v>105</v>
      </c>
      <c r="D91">
        <v>4</v>
      </c>
      <c r="E91">
        <v>0.09</v>
      </c>
      <c r="F91" s="7">
        <v>10</v>
      </c>
      <c r="G91" s="23">
        <v>0.11</v>
      </c>
      <c r="H91" s="7">
        <f t="shared" si="3"/>
        <v>4344</v>
      </c>
      <c r="I91" s="8">
        <v>-3.8213894948300702</v>
      </c>
      <c r="J91" s="8">
        <v>-38.599709975632898</v>
      </c>
      <c r="K91" s="5" t="str">
        <f t="shared" si="4"/>
        <v>Pq Presidente Vargas; 4 Votos; 0,11%</v>
      </c>
    </row>
    <row r="92" spans="1:11" x14ac:dyDescent="0.25">
      <c r="A92" s="7">
        <v>119</v>
      </c>
      <c r="B92" s="20">
        <f t="shared" si="5"/>
        <v>0.10151933701657459</v>
      </c>
      <c r="C92" s="5" t="s">
        <v>259</v>
      </c>
      <c r="D92">
        <v>441</v>
      </c>
      <c r="E92">
        <v>10.15</v>
      </c>
      <c r="F92" s="7">
        <v>9</v>
      </c>
      <c r="G92" s="23">
        <v>0.11</v>
      </c>
      <c r="H92" s="7">
        <f>H90</f>
        <v>4344</v>
      </c>
      <c r="I92" s="8">
        <v>-3.8515016361285799</v>
      </c>
      <c r="J92" s="8">
        <v>-38.501747907480699</v>
      </c>
      <c r="K92" s="5" t="str">
        <f t="shared" si="4"/>
        <v>Parque Santa Maria; 441 Votos; 0,11%</v>
      </c>
    </row>
    <row r="93" spans="1:11" x14ac:dyDescent="0.25">
      <c r="A93" s="7">
        <v>87</v>
      </c>
      <c r="B93" s="20">
        <f t="shared" si="5"/>
        <v>4.6040515653775324E-4</v>
      </c>
      <c r="C93" s="5" t="s">
        <v>107</v>
      </c>
      <c r="D93">
        <v>2</v>
      </c>
      <c r="E93">
        <v>0.05</v>
      </c>
      <c r="F93" s="7">
        <v>10</v>
      </c>
      <c r="G93" s="23">
        <v>0.06</v>
      </c>
      <c r="H93" s="7">
        <f t="shared" si="3"/>
        <v>4344</v>
      </c>
      <c r="I93" s="8">
        <v>-3.8223671671801198</v>
      </c>
      <c r="J93" s="8">
        <v>-38.594584402390701</v>
      </c>
      <c r="K93" s="5" t="str">
        <f t="shared" si="4"/>
        <v>Parque Santa Rosa; 2 Votos; 0,06%</v>
      </c>
    </row>
    <row r="94" spans="1:11" x14ac:dyDescent="0.25">
      <c r="A94" s="7">
        <v>86</v>
      </c>
      <c r="B94" s="20">
        <f t="shared" si="5"/>
        <v>6.9060773480662981E-4</v>
      </c>
      <c r="C94" s="5" t="s">
        <v>106</v>
      </c>
      <c r="D94">
        <v>3</v>
      </c>
      <c r="E94">
        <v>7.0000000000000007E-2</v>
      </c>
      <c r="F94" s="7">
        <v>10</v>
      </c>
      <c r="G94" s="23">
        <v>0.05</v>
      </c>
      <c r="H94" s="7">
        <f t="shared" si="3"/>
        <v>4344</v>
      </c>
      <c r="I94" s="8">
        <v>-3.79783072329964</v>
      </c>
      <c r="J94" s="8">
        <v>-38.590598041131202</v>
      </c>
      <c r="K94" s="5" t="str">
        <f t="shared" si="4"/>
        <v>Parque São José; 3 Votos; 0,05%</v>
      </c>
    </row>
    <row r="95" spans="1:11" x14ac:dyDescent="0.25">
      <c r="A95" s="7">
        <v>29</v>
      </c>
      <c r="B95" s="20">
        <f t="shared" si="5"/>
        <v>1.0359116022099447E-2</v>
      </c>
      <c r="C95" s="7" t="s">
        <v>49</v>
      </c>
      <c r="D95">
        <v>45</v>
      </c>
      <c r="E95">
        <v>1.04</v>
      </c>
      <c r="F95" s="7">
        <v>3</v>
      </c>
      <c r="G95" s="23">
        <v>0.99</v>
      </c>
      <c r="H95" s="7">
        <f t="shared" si="3"/>
        <v>4344</v>
      </c>
      <c r="I95" s="8">
        <v>-3.7347275762507501</v>
      </c>
      <c r="J95" s="8">
        <v>-38.555990528856903</v>
      </c>
      <c r="K95" s="5" t="str">
        <f t="shared" si="4"/>
        <v>Parquelândia; 45 Votos; 0,99%</v>
      </c>
    </row>
    <row r="96" spans="1:11" x14ac:dyDescent="0.25">
      <c r="A96" s="7">
        <v>30</v>
      </c>
      <c r="B96" s="20">
        <f t="shared" si="5"/>
        <v>0</v>
      </c>
      <c r="C96" s="7" t="s">
        <v>50</v>
      </c>
      <c r="E96">
        <v>0</v>
      </c>
      <c r="F96" s="7">
        <v>4</v>
      </c>
      <c r="G96" s="23">
        <v>0</v>
      </c>
      <c r="H96" s="7">
        <f t="shared" si="3"/>
        <v>4344</v>
      </c>
      <c r="I96" s="8">
        <v>-3.7595609354683099</v>
      </c>
      <c r="J96" s="8">
        <v>-38.5394696622281</v>
      </c>
      <c r="K96" s="5" t="str">
        <f t="shared" si="4"/>
        <v>Parreão;  Votos; 0%</v>
      </c>
    </row>
    <row r="97" spans="1:11" x14ac:dyDescent="0.25">
      <c r="A97" s="7">
        <v>88</v>
      </c>
      <c r="B97" s="20">
        <f t="shared" si="5"/>
        <v>3.0616942909760591E-2</v>
      </c>
      <c r="C97" s="5" t="s">
        <v>108</v>
      </c>
      <c r="D97">
        <v>133</v>
      </c>
      <c r="E97">
        <v>3.06</v>
      </c>
      <c r="F97" s="7">
        <v>8</v>
      </c>
      <c r="G97" s="23">
        <v>0.44</v>
      </c>
      <c r="H97" s="7">
        <f t="shared" si="3"/>
        <v>4344</v>
      </c>
      <c r="I97" s="8">
        <v>-3.80941285034221</v>
      </c>
      <c r="J97" s="8">
        <v>-38.533537673745897</v>
      </c>
      <c r="K97" s="5" t="str">
        <f t="shared" si="4"/>
        <v>Passaré; 133 Votos; 0,44%</v>
      </c>
    </row>
    <row r="98" spans="1:11" x14ac:dyDescent="0.25">
      <c r="A98" s="7">
        <v>68</v>
      </c>
      <c r="B98" s="20">
        <f t="shared" si="5"/>
        <v>1.4502762430939226E-2</v>
      </c>
      <c r="C98" s="5" t="s">
        <v>88</v>
      </c>
      <c r="D98">
        <v>63</v>
      </c>
      <c r="E98">
        <v>1.45</v>
      </c>
      <c r="F98" s="7">
        <v>6</v>
      </c>
      <c r="G98" s="23">
        <v>7.0000000000000007E-2</v>
      </c>
      <c r="H98" s="7">
        <f t="shared" si="3"/>
        <v>4344</v>
      </c>
      <c r="I98" s="8">
        <v>-3.8588756786796199</v>
      </c>
      <c r="J98" s="8">
        <v>-38.495192694319599</v>
      </c>
      <c r="K98" s="5" t="str">
        <f t="shared" si="4"/>
        <v>Paupina; 63 Votos; 0,07%</v>
      </c>
    </row>
    <row r="99" spans="1:11" x14ac:dyDescent="0.25">
      <c r="A99" s="7">
        <v>69</v>
      </c>
      <c r="B99" s="20">
        <f t="shared" si="5"/>
        <v>2.6703499079189688E-2</v>
      </c>
      <c r="C99" s="5" t="s">
        <v>89</v>
      </c>
      <c r="D99">
        <v>116</v>
      </c>
      <c r="E99">
        <v>2.67</v>
      </c>
      <c r="F99" s="7">
        <v>9</v>
      </c>
      <c r="G99" s="23">
        <v>0</v>
      </c>
      <c r="H99" s="7">
        <f t="shared" si="3"/>
        <v>4344</v>
      </c>
      <c r="I99" s="8">
        <v>-3.8776924642431698</v>
      </c>
      <c r="J99" s="8">
        <v>-38.514859109158003</v>
      </c>
      <c r="K99" s="5" t="str">
        <f t="shared" si="4"/>
        <v>Pedras; 116 Votos; 0%</v>
      </c>
    </row>
    <row r="100" spans="1:11" x14ac:dyDescent="0.25">
      <c r="A100" s="7">
        <v>104</v>
      </c>
      <c r="B100" s="20">
        <f t="shared" si="5"/>
        <v>4.1436464088397788E-3</v>
      </c>
      <c r="C100" s="5" t="s">
        <v>124</v>
      </c>
      <c r="D100">
        <v>18</v>
      </c>
      <c r="E100">
        <v>0.41</v>
      </c>
      <c r="F100" s="7">
        <v>11</v>
      </c>
      <c r="G100" s="23">
        <v>0.48</v>
      </c>
      <c r="H100" s="7">
        <f t="shared" si="3"/>
        <v>4344</v>
      </c>
      <c r="I100" s="8">
        <v>-3.7448876903495401</v>
      </c>
      <c r="J100" s="8">
        <v>-38.573751950840801</v>
      </c>
      <c r="K100" s="5" t="str">
        <f t="shared" si="4"/>
        <v>Pici; 18 Votos; 0,48%</v>
      </c>
    </row>
    <row r="101" spans="1:11" x14ac:dyDescent="0.25">
      <c r="A101" s="7">
        <v>31</v>
      </c>
      <c r="B101" s="20">
        <f t="shared" si="5"/>
        <v>2.0718232044198894E-3</v>
      </c>
      <c r="C101" s="7" t="s">
        <v>51</v>
      </c>
      <c r="D101">
        <v>9</v>
      </c>
      <c r="E101">
        <v>0.21</v>
      </c>
      <c r="F101" s="7">
        <v>1</v>
      </c>
      <c r="G101" s="23">
        <v>0.79</v>
      </c>
      <c r="H101" s="7">
        <f t="shared" si="3"/>
        <v>4344</v>
      </c>
      <c r="I101" s="8">
        <v>-3.7124091028720398</v>
      </c>
      <c r="J101" s="8">
        <v>-38.551287597929999</v>
      </c>
      <c r="K101" s="5" t="str">
        <f t="shared" si="4"/>
        <v>Pirambu; 9 Votos; 0,79%</v>
      </c>
    </row>
    <row r="102" spans="1:11" x14ac:dyDescent="0.25">
      <c r="A102" s="7">
        <v>114</v>
      </c>
      <c r="B102" s="20">
        <f t="shared" si="5"/>
        <v>2.7624309392265192E-3</v>
      </c>
      <c r="C102" s="7" t="s">
        <v>134</v>
      </c>
      <c r="D102">
        <v>12</v>
      </c>
      <c r="E102">
        <v>0.28000000000000003</v>
      </c>
      <c r="F102" s="7">
        <v>8</v>
      </c>
      <c r="G102" s="23">
        <v>0.15</v>
      </c>
      <c r="H102" s="7">
        <f t="shared" si="3"/>
        <v>4344</v>
      </c>
      <c r="I102" s="8">
        <v>-3.8320958197683002</v>
      </c>
      <c r="J102" s="8">
        <v>-38.569799806885698</v>
      </c>
      <c r="K102" s="5" t="str">
        <f t="shared" si="4"/>
        <v>Planalto Ayrton Senna; 12 Votos; 0,15%</v>
      </c>
    </row>
    <row r="103" spans="1:11" x14ac:dyDescent="0.25">
      <c r="A103" s="7">
        <v>32</v>
      </c>
      <c r="B103" s="20">
        <f t="shared" si="5"/>
        <v>5.0644567219152855E-3</v>
      </c>
      <c r="C103" s="7" t="s">
        <v>52</v>
      </c>
      <c r="D103">
        <v>22</v>
      </c>
      <c r="E103">
        <v>0.51</v>
      </c>
      <c r="F103" s="7">
        <v>12</v>
      </c>
      <c r="G103" s="23">
        <v>0.45</v>
      </c>
      <c r="H103" s="7">
        <f t="shared" si="3"/>
        <v>4344</v>
      </c>
      <c r="I103" s="8">
        <v>-3.7203293827543198</v>
      </c>
      <c r="J103" s="8">
        <v>-38.515681517512398</v>
      </c>
      <c r="K103" s="5" t="str">
        <f t="shared" si="4"/>
        <v>Praia de Iracema; 22 Votos; 0,45%</v>
      </c>
    </row>
    <row r="104" spans="1:11" x14ac:dyDescent="0.25">
      <c r="A104" s="7">
        <v>111</v>
      </c>
      <c r="B104" s="20">
        <f t="shared" si="5"/>
        <v>0</v>
      </c>
      <c r="C104" s="7" t="s">
        <v>131</v>
      </c>
      <c r="E104">
        <v>0</v>
      </c>
      <c r="F104" s="7">
        <v>7</v>
      </c>
      <c r="G104" s="23">
        <v>0</v>
      </c>
      <c r="H104" s="7">
        <f t="shared" si="3"/>
        <v>4344</v>
      </c>
      <c r="I104" s="8">
        <v>-3.7376471571726602</v>
      </c>
      <c r="J104" s="8">
        <v>-38.455514365251801</v>
      </c>
      <c r="K104" s="5" t="str">
        <f t="shared" si="4"/>
        <v>Praia do Futuro I;  Votos; 0%</v>
      </c>
    </row>
    <row r="105" spans="1:11" x14ac:dyDescent="0.25">
      <c r="A105" s="7">
        <v>112</v>
      </c>
      <c r="B105" s="20">
        <f t="shared" si="5"/>
        <v>2.5322283609576428E-3</v>
      </c>
      <c r="C105" s="7" t="s">
        <v>132</v>
      </c>
      <c r="D105">
        <v>11</v>
      </c>
      <c r="E105">
        <v>0.25</v>
      </c>
      <c r="F105" s="7">
        <v>7</v>
      </c>
      <c r="G105" s="23">
        <v>0.05</v>
      </c>
      <c r="H105" s="7">
        <f t="shared" si="3"/>
        <v>4344</v>
      </c>
      <c r="I105" s="8">
        <v>-3.7633037355366801</v>
      </c>
      <c r="J105" s="8">
        <v>-38.442526558033101</v>
      </c>
      <c r="K105" s="5" t="str">
        <f t="shared" si="4"/>
        <v>Praia do Futuro II; 11 Votos; 0,05%</v>
      </c>
    </row>
    <row r="106" spans="1:11" x14ac:dyDescent="0.25">
      <c r="A106" s="7">
        <v>89</v>
      </c>
      <c r="B106" s="20">
        <f t="shared" si="5"/>
        <v>1.8646408839779006E-2</v>
      </c>
      <c r="C106" s="5" t="s">
        <v>109</v>
      </c>
      <c r="D106">
        <v>81</v>
      </c>
      <c r="E106">
        <v>1.86</v>
      </c>
      <c r="F106" s="7">
        <v>8</v>
      </c>
      <c r="G106" s="23">
        <v>0.66</v>
      </c>
      <c r="H106" s="7">
        <f t="shared" si="3"/>
        <v>4344</v>
      </c>
      <c r="I106" s="8">
        <v>-3.8328047835560102</v>
      </c>
      <c r="J106" s="8">
        <v>-38.558117479880401</v>
      </c>
      <c r="K106" s="5" t="str">
        <f t="shared" si="4"/>
        <v>José Walter; 81 Votos; 0,66%</v>
      </c>
    </row>
    <row r="107" spans="1:11" x14ac:dyDescent="0.25">
      <c r="A107" s="7">
        <v>33</v>
      </c>
      <c r="B107" s="20">
        <f t="shared" si="5"/>
        <v>7.5966850828729279E-3</v>
      </c>
      <c r="C107" s="7" t="s">
        <v>53</v>
      </c>
      <c r="D107">
        <v>33</v>
      </c>
      <c r="E107">
        <v>0.76</v>
      </c>
      <c r="F107" s="7">
        <v>3</v>
      </c>
      <c r="G107" s="23">
        <v>4.3</v>
      </c>
      <c r="H107" s="7">
        <f t="shared" si="3"/>
        <v>4344</v>
      </c>
      <c r="I107" s="8">
        <v>-3.7305802901855598</v>
      </c>
      <c r="J107" s="8">
        <v>-38.5707410062736</v>
      </c>
      <c r="K107" s="5" t="str">
        <f t="shared" si="4"/>
        <v>Presidente Kennedy; 33 Votos; 4,3%</v>
      </c>
    </row>
    <row r="108" spans="1:11" x14ac:dyDescent="0.25">
      <c r="A108" s="7">
        <v>48</v>
      </c>
      <c r="B108" s="20">
        <f t="shared" si="5"/>
        <v>7.8268876611418056E-3</v>
      </c>
      <c r="C108" s="7" t="s">
        <v>68</v>
      </c>
      <c r="D108">
        <v>34</v>
      </c>
      <c r="E108">
        <v>0.78</v>
      </c>
      <c r="F108" s="7">
        <v>3</v>
      </c>
      <c r="G108" s="23">
        <v>3.62</v>
      </c>
      <c r="H108" s="7">
        <f t="shared" si="3"/>
        <v>4344</v>
      </c>
      <c r="I108" s="8">
        <v>-3.73185551606004</v>
      </c>
      <c r="J108" s="8">
        <v>-38.5979520737068</v>
      </c>
      <c r="K108" s="5" t="str">
        <f t="shared" si="4"/>
        <v>Quitino Cunha; 34 Votos; 3,62%</v>
      </c>
    </row>
    <row r="109" spans="1:11" x14ac:dyDescent="0.25">
      <c r="A109" s="7">
        <v>34</v>
      </c>
      <c r="B109" s="20">
        <f t="shared" si="5"/>
        <v>5.5248618784530384E-3</v>
      </c>
      <c r="C109" s="7" t="s">
        <v>54</v>
      </c>
      <c r="D109">
        <v>24</v>
      </c>
      <c r="E109">
        <v>0.55000000000000004</v>
      </c>
      <c r="F109" s="7">
        <v>3</v>
      </c>
      <c r="G109" s="23">
        <v>0.63</v>
      </c>
      <c r="H109" s="7">
        <f t="shared" si="3"/>
        <v>4344</v>
      </c>
      <c r="I109" s="8">
        <v>-3.7397021591668298</v>
      </c>
      <c r="J109" s="8">
        <v>-38.547278854358801</v>
      </c>
      <c r="K109" s="5" t="str">
        <f t="shared" si="4"/>
        <v>Rodolfo Teófilo; 24 Votos; 0,63%</v>
      </c>
    </row>
    <row r="110" spans="1:11" x14ac:dyDescent="0.25">
      <c r="A110" s="7">
        <v>70</v>
      </c>
      <c r="B110" s="20">
        <f t="shared" si="5"/>
        <v>6.9060773480662981E-4</v>
      </c>
      <c r="C110" s="5" t="s">
        <v>90</v>
      </c>
      <c r="D110">
        <v>3</v>
      </c>
      <c r="E110">
        <v>7.0000000000000007E-2</v>
      </c>
      <c r="F110" s="7">
        <v>7</v>
      </c>
      <c r="G110" s="23">
        <v>0</v>
      </c>
      <c r="H110" s="7">
        <f t="shared" si="3"/>
        <v>4344</v>
      </c>
      <c r="I110" s="7">
        <v>-3.8066835937607602</v>
      </c>
      <c r="J110" s="7">
        <v>-38.430875729977899</v>
      </c>
      <c r="K110" s="5" t="str">
        <f t="shared" si="4"/>
        <v>Sabiaguaba; 3 Votos; 0%</v>
      </c>
    </row>
    <row r="111" spans="1:11" x14ac:dyDescent="0.25">
      <c r="A111" s="7">
        <v>71</v>
      </c>
      <c r="B111" s="20">
        <f t="shared" si="5"/>
        <v>0</v>
      </c>
      <c r="C111" s="5" t="s">
        <v>91</v>
      </c>
      <c r="E111">
        <v>0</v>
      </c>
      <c r="F111" s="7">
        <v>7</v>
      </c>
      <c r="G111" s="23">
        <v>0</v>
      </c>
      <c r="H111" s="7">
        <f t="shared" si="3"/>
        <v>4344</v>
      </c>
      <c r="I111" s="8">
        <v>-3.7654989866564401</v>
      </c>
      <c r="J111" s="8">
        <v>-38.502101439674298</v>
      </c>
      <c r="K111" s="5" t="str">
        <f t="shared" si="4"/>
        <v>Salinas;  Votos; 0%</v>
      </c>
    </row>
    <row r="112" spans="1:11" x14ac:dyDescent="0.25">
      <c r="A112" s="7">
        <v>116</v>
      </c>
      <c r="B112" s="20">
        <f t="shared" si="5"/>
        <v>0</v>
      </c>
      <c r="C112" s="7" t="s">
        <v>136</v>
      </c>
      <c r="E112">
        <v>0</v>
      </c>
      <c r="F112" s="7">
        <v>6</v>
      </c>
      <c r="G112" s="23">
        <v>0</v>
      </c>
      <c r="H112" s="7">
        <f t="shared" si="3"/>
        <v>4344</v>
      </c>
      <c r="I112" s="8">
        <v>-3.8525791316810198</v>
      </c>
      <c r="J112" s="8">
        <v>-38.479775892303003</v>
      </c>
      <c r="K112" s="5" t="str">
        <f t="shared" si="4"/>
        <v>São Bento;  Votos; 0%</v>
      </c>
    </row>
    <row r="113" spans="1:11" x14ac:dyDescent="0.25">
      <c r="A113" s="7">
        <v>1</v>
      </c>
      <c r="B113" s="20">
        <f t="shared" si="5"/>
        <v>8.5174953959484354E-3</v>
      </c>
      <c r="C113" s="7" t="s">
        <v>21</v>
      </c>
      <c r="D113">
        <v>37</v>
      </c>
      <c r="E113">
        <v>0.85</v>
      </c>
      <c r="F113" s="7">
        <v>3</v>
      </c>
      <c r="G113" s="23">
        <v>0.64</v>
      </c>
      <c r="H113" s="7">
        <f t="shared" si="3"/>
        <v>4344</v>
      </c>
      <c r="I113" s="8">
        <v>-3.7324552353017002</v>
      </c>
      <c r="J113" s="8">
        <v>-38.558090896065302</v>
      </c>
      <c r="K113" s="5" t="str">
        <f t="shared" si="4"/>
        <v>Sao Gerardo; 37 Votos; 0,64%</v>
      </c>
    </row>
    <row r="114" spans="1:11" x14ac:dyDescent="0.25">
      <c r="A114" s="7">
        <v>64</v>
      </c>
      <c r="B114" s="20">
        <f t="shared" si="5"/>
        <v>3.6832412523020259E-3</v>
      </c>
      <c r="C114" s="5" t="s">
        <v>84</v>
      </c>
      <c r="D114">
        <v>16</v>
      </c>
      <c r="E114">
        <v>0.37</v>
      </c>
      <c r="F114" s="7">
        <v>7</v>
      </c>
      <c r="G114" s="23">
        <v>0.02</v>
      </c>
      <c r="H114" s="7">
        <f t="shared" si="3"/>
        <v>4344</v>
      </c>
      <c r="I114" s="8">
        <v>-3.7936789105161002</v>
      </c>
      <c r="J114" s="8">
        <v>-38.475588701150201</v>
      </c>
      <c r="K114" s="5" t="str">
        <f t="shared" si="4"/>
        <v>Sapiranga/Coité; 16 Votos; 0,02%</v>
      </c>
    </row>
    <row r="115" spans="1:11" x14ac:dyDescent="0.25">
      <c r="A115" s="7">
        <v>105</v>
      </c>
      <c r="B115" s="20">
        <f t="shared" si="5"/>
        <v>2.6243093922651933E-2</v>
      </c>
      <c r="C115" s="7" t="s">
        <v>125</v>
      </c>
      <c r="D115">
        <v>114</v>
      </c>
      <c r="E115">
        <v>2.62</v>
      </c>
      <c r="F115" s="7">
        <v>8</v>
      </c>
      <c r="G115" s="23">
        <v>1.2</v>
      </c>
      <c r="H115" s="7">
        <f t="shared" si="3"/>
        <v>4344</v>
      </c>
      <c r="I115" s="8">
        <v>-3.78941196710687</v>
      </c>
      <c r="J115" s="8">
        <v>-38.538973370180202</v>
      </c>
      <c r="K115" s="5" t="str">
        <f t="shared" si="4"/>
        <v>Serrinha; 114 Votos; 1,2%</v>
      </c>
    </row>
    <row r="116" spans="1:11" x14ac:dyDescent="0.25">
      <c r="A116" s="7">
        <v>90</v>
      </c>
      <c r="B116" s="20">
        <f t="shared" si="5"/>
        <v>4.8342541436464086E-3</v>
      </c>
      <c r="C116" s="5" t="s">
        <v>110</v>
      </c>
      <c r="D116">
        <v>21</v>
      </c>
      <c r="E116">
        <v>0.48</v>
      </c>
      <c r="F116" s="7">
        <v>5</v>
      </c>
      <c r="G116" s="23">
        <v>0.26</v>
      </c>
      <c r="H116" s="7">
        <f t="shared" si="3"/>
        <v>4344</v>
      </c>
      <c r="I116" s="8">
        <v>-3.8044344811027799</v>
      </c>
      <c r="J116" s="8">
        <v>-38.611497241120503</v>
      </c>
      <c r="K116" s="5" t="str">
        <f t="shared" si="4"/>
        <v>Siqueira; 21 Votos; 0,26%</v>
      </c>
    </row>
    <row r="117" spans="1:11" x14ac:dyDescent="0.25">
      <c r="A117" s="7">
        <v>35</v>
      </c>
      <c r="B117" s="20">
        <f t="shared" si="5"/>
        <v>9.2081031307550652E-3</v>
      </c>
      <c r="C117" s="7" t="s">
        <v>55</v>
      </c>
      <c r="D117">
        <v>40</v>
      </c>
      <c r="E117">
        <v>0.92</v>
      </c>
      <c r="F117" s="7">
        <v>2</v>
      </c>
      <c r="G117" s="23">
        <v>0.26</v>
      </c>
      <c r="H117" s="7">
        <f t="shared" si="3"/>
        <v>4344</v>
      </c>
      <c r="I117" s="8">
        <v>-3.75511796482381</v>
      </c>
      <c r="J117" s="8">
        <v>-38.506144550304597</v>
      </c>
      <c r="K117" s="5" t="str">
        <f t="shared" si="4"/>
        <v>Tauape; 40 Votos; 0,26%</v>
      </c>
    </row>
    <row r="118" spans="1:11" x14ac:dyDescent="0.25">
      <c r="A118" s="7">
        <v>36</v>
      </c>
      <c r="B118" s="20">
        <f t="shared" si="5"/>
        <v>8.5174953959484354E-3</v>
      </c>
      <c r="C118" s="7" t="s">
        <v>56</v>
      </c>
      <c r="D118">
        <v>37</v>
      </c>
      <c r="E118">
        <v>0.85</v>
      </c>
      <c r="F118" s="7">
        <v>2</v>
      </c>
      <c r="G118" s="23">
        <v>0.1</v>
      </c>
      <c r="H118" s="7">
        <f t="shared" si="3"/>
        <v>4344</v>
      </c>
      <c r="I118" s="8">
        <v>-3.73624865960333</v>
      </c>
      <c r="J118" s="8">
        <v>-38.486586712344597</v>
      </c>
      <c r="K118" s="5" t="str">
        <f t="shared" si="4"/>
        <v>Varjota; 37 Votos; 0,1%</v>
      </c>
    </row>
    <row r="119" spans="1:11" x14ac:dyDescent="0.25">
      <c r="A119" s="7">
        <v>37</v>
      </c>
      <c r="B119" s="20">
        <f t="shared" si="5"/>
        <v>1.6574585635359115E-2</v>
      </c>
      <c r="C119" s="7" t="s">
        <v>57</v>
      </c>
      <c r="D119">
        <v>72</v>
      </c>
      <c r="E119">
        <v>1.66</v>
      </c>
      <c r="F119" s="7">
        <v>2</v>
      </c>
      <c r="G119" s="23">
        <v>0.39</v>
      </c>
      <c r="H119" s="7">
        <f t="shared" si="3"/>
        <v>4344</v>
      </c>
      <c r="I119" s="8">
        <v>-3.72744451567607</v>
      </c>
      <c r="J119" s="8">
        <v>-38.474579864932501</v>
      </c>
      <c r="K119" s="5" t="str">
        <f t="shared" si="4"/>
        <v>Vicente Pinzon; 72 Votos; 0,39%</v>
      </c>
    </row>
    <row r="120" spans="1:11" x14ac:dyDescent="0.25">
      <c r="A120" s="7">
        <v>106</v>
      </c>
      <c r="B120" s="20">
        <f t="shared" si="5"/>
        <v>2.7624309392265192E-3</v>
      </c>
      <c r="C120" s="7" t="s">
        <v>126</v>
      </c>
      <c r="D120">
        <v>12</v>
      </c>
      <c r="E120">
        <v>0.28000000000000003</v>
      </c>
      <c r="F120" s="7">
        <v>4</v>
      </c>
      <c r="G120" s="23">
        <v>0.23</v>
      </c>
      <c r="H120" s="7">
        <f t="shared" si="3"/>
        <v>4344</v>
      </c>
      <c r="I120" s="8">
        <v>-3.7881361536089702</v>
      </c>
      <c r="J120" s="8">
        <v>-38.577604447924003</v>
      </c>
      <c r="K120" s="5" t="str">
        <f t="shared" si="4"/>
        <v>Vila Peri; 12 Votos; 0,23%</v>
      </c>
    </row>
    <row r="121" spans="1:11" x14ac:dyDescent="0.25">
      <c r="A121" s="7">
        <v>107</v>
      </c>
      <c r="B121" s="20">
        <f t="shared" si="5"/>
        <v>3.6832412523020259E-3</v>
      </c>
      <c r="C121" s="7" t="s">
        <v>127</v>
      </c>
      <c r="D121">
        <v>16</v>
      </c>
      <c r="E121">
        <v>0.37</v>
      </c>
      <c r="F121" s="7">
        <v>4</v>
      </c>
      <c r="G121" s="23">
        <v>0.26</v>
      </c>
      <c r="H121" s="7">
        <f t="shared" si="3"/>
        <v>4344</v>
      </c>
      <c r="I121" s="8">
        <v>-3.7712911189301299</v>
      </c>
      <c r="J121" s="8">
        <v>-38.539225010023202</v>
      </c>
      <c r="K121" s="5" t="str">
        <f t="shared" si="4"/>
        <v>Vila União; 16 Votos; 0,26%</v>
      </c>
    </row>
    <row r="122" spans="1:11" x14ac:dyDescent="0.25">
      <c r="A122" s="7">
        <v>39</v>
      </c>
      <c r="B122" s="20">
        <f t="shared" si="5"/>
        <v>1.4042357274401474E-2</v>
      </c>
      <c r="C122" s="7" t="s">
        <v>59</v>
      </c>
      <c r="D122">
        <v>61</v>
      </c>
      <c r="E122">
        <v>1.4</v>
      </c>
      <c r="F122" s="7">
        <v>1</v>
      </c>
      <c r="G122" s="23">
        <v>7.47</v>
      </c>
      <c r="H122" s="7">
        <f>H121</f>
        <v>4344</v>
      </c>
      <c r="I122" s="8">
        <v>-3.7194783884337999</v>
      </c>
      <c r="J122" s="8">
        <v>-38.606361694072497</v>
      </c>
      <c r="K122" s="5" t="str">
        <f t="shared" si="4"/>
        <v>Vila Velha; 61 Votos; 7,47%</v>
      </c>
    </row>
    <row r="123" spans="1:11" x14ac:dyDescent="0.25">
      <c r="A123" s="7"/>
      <c r="B123" s="7"/>
      <c r="C123" s="7"/>
      <c r="D123" s="7"/>
      <c r="E123" s="5"/>
      <c r="F123" s="7"/>
      <c r="G123" s="22"/>
      <c r="H123" s="7"/>
      <c r="I123" s="7"/>
      <c r="J123" s="7"/>
      <c r="K123" s="5"/>
    </row>
    <row r="124" spans="1:11" x14ac:dyDescent="0.25">
      <c r="A124" s="7"/>
      <c r="B124" s="7"/>
      <c r="C124" s="7"/>
      <c r="D124" s="7"/>
      <c r="E124" s="7"/>
      <c r="F124" s="7"/>
      <c r="G124" s="22"/>
      <c r="H124" s="7"/>
      <c r="I124" s="7"/>
      <c r="J124" s="7"/>
      <c r="K124" s="5"/>
    </row>
    <row r="125" spans="1:11" x14ac:dyDescent="0.25">
      <c r="A125" s="7"/>
      <c r="B125" s="7"/>
      <c r="C125" s="7"/>
      <c r="D125" s="7"/>
      <c r="E125" s="7"/>
      <c r="F125" s="7"/>
      <c r="G125" s="22"/>
      <c r="H125" s="7"/>
      <c r="I125" s="7"/>
      <c r="J125" s="7"/>
      <c r="K125" s="7"/>
    </row>
    <row r="126" spans="1:11" x14ac:dyDescent="0.25">
      <c r="A126" s="7"/>
      <c r="B126" s="7"/>
      <c r="C126" s="7"/>
      <c r="D126" s="7"/>
      <c r="E126" s="5"/>
      <c r="F126" s="7"/>
      <c r="G126" s="22"/>
      <c r="H126" s="7"/>
      <c r="I126" s="7"/>
      <c r="J126" s="7"/>
      <c r="K126" s="5"/>
    </row>
    <row r="127" spans="1:11" x14ac:dyDescent="0.25">
      <c r="A127" s="7"/>
      <c r="B127" s="7"/>
      <c r="C127" s="7"/>
      <c r="D127" s="7"/>
      <c r="E127" s="7"/>
      <c r="F127" s="7"/>
      <c r="G127" s="24"/>
      <c r="H127" s="7"/>
      <c r="I127" s="7"/>
      <c r="J127" s="7"/>
      <c r="K127" s="5"/>
    </row>
    <row r="128" spans="1:11" x14ac:dyDescent="0.25">
      <c r="A128" s="7"/>
      <c r="B128" s="7"/>
      <c r="C128" s="7"/>
      <c r="D128" s="7"/>
      <c r="E128" s="5"/>
      <c r="F128" s="7"/>
      <c r="G128" s="24"/>
      <c r="H128" s="7"/>
      <c r="I128" s="7"/>
      <c r="J128" s="7"/>
      <c r="K128" s="5"/>
    </row>
    <row r="129" spans="1:11" x14ac:dyDescent="0.25">
      <c r="A129" s="7"/>
      <c r="B129" s="7"/>
      <c r="C129" s="7"/>
      <c r="D129" s="7"/>
      <c r="E129" s="7"/>
      <c r="F129" s="7"/>
      <c r="G129" s="24"/>
      <c r="H129" s="7"/>
      <c r="I129" s="7"/>
      <c r="J129" s="7"/>
      <c r="K129" s="5"/>
    </row>
    <row r="130" spans="1:11" x14ac:dyDescent="0.25">
      <c r="A130" s="7"/>
      <c r="B130" s="7"/>
      <c r="C130" s="7"/>
      <c r="D130" s="7"/>
      <c r="E130" s="7"/>
      <c r="F130" s="7"/>
      <c r="G130" s="24"/>
      <c r="H130" s="7"/>
      <c r="I130" s="7"/>
      <c r="J130" s="7"/>
      <c r="K130" s="5"/>
    </row>
    <row r="131" spans="1:11" x14ac:dyDescent="0.25">
      <c r="E131" s="7"/>
    </row>
    <row r="132" spans="1:11" x14ac:dyDescent="0.25">
      <c r="E132" s="7"/>
    </row>
    <row r="133" spans="1:11" x14ac:dyDescent="0.25">
      <c r="E133" s="7"/>
    </row>
    <row r="134" spans="1:11" x14ac:dyDescent="0.25">
      <c r="E134" s="7"/>
    </row>
    <row r="135" spans="1:11" x14ac:dyDescent="0.25">
      <c r="E135" s="7"/>
    </row>
    <row r="136" spans="1:11" x14ac:dyDescent="0.25">
      <c r="E136" s="7"/>
    </row>
    <row r="137" spans="1:11" x14ac:dyDescent="0.25">
      <c r="E137" s="7"/>
    </row>
    <row r="138" spans="1:11" x14ac:dyDescent="0.25">
      <c r="E138" s="7"/>
    </row>
    <row r="139" spans="1:11" x14ac:dyDescent="0.25">
      <c r="E139" s="7"/>
    </row>
    <row r="140" spans="1:11" x14ac:dyDescent="0.25">
      <c r="E140" s="7"/>
    </row>
    <row r="141" spans="1:11" x14ac:dyDescent="0.25">
      <c r="E141" s="7"/>
    </row>
    <row r="142" spans="1:11" x14ac:dyDescent="0.25">
      <c r="E142" s="7"/>
    </row>
    <row r="143" spans="1:11" x14ac:dyDescent="0.25">
      <c r="E143" s="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zoomScale="130" zoomScaleNormal="130" workbookViewId="0">
      <selection sqref="A1:XFD1048576"/>
    </sheetView>
  </sheetViews>
  <sheetFormatPr defaultRowHeight="15" x14ac:dyDescent="0.25"/>
  <cols>
    <col min="4" max="4" width="16.85546875" customWidth="1"/>
    <col min="8" max="8" width="15.7109375" customWidth="1"/>
    <col min="9" max="9" width="16.28515625" customWidth="1"/>
  </cols>
  <sheetData>
    <row r="1" spans="1:10" x14ac:dyDescent="0.25">
      <c r="A1" s="7" t="s">
        <v>255</v>
      </c>
      <c r="B1" s="7" t="s">
        <v>143</v>
      </c>
      <c r="C1" s="7" t="s">
        <v>256</v>
      </c>
      <c r="D1" s="7" t="s">
        <v>144</v>
      </c>
      <c r="E1" s="7" t="s">
        <v>4</v>
      </c>
      <c r="F1" s="7" t="s">
        <v>257</v>
      </c>
      <c r="G1" s="7" t="s">
        <v>258</v>
      </c>
      <c r="H1" s="9" t="s">
        <v>2</v>
      </c>
      <c r="I1" s="9" t="s">
        <v>3</v>
      </c>
      <c r="J1" s="2" t="s">
        <v>260</v>
      </c>
    </row>
    <row r="2" spans="1:10" x14ac:dyDescent="0.25">
      <c r="A2" s="7">
        <v>91</v>
      </c>
      <c r="B2">
        <v>49</v>
      </c>
      <c r="C2" s="20">
        <f t="shared" ref="C2:C33" si="0">B2/G2</f>
        <v>2.4152208201892746E-3</v>
      </c>
      <c r="D2" s="5" t="s">
        <v>111</v>
      </c>
      <c r="E2" s="21">
        <v>6</v>
      </c>
      <c r="F2" s="23">
        <v>0.02</v>
      </c>
      <c r="G2" s="7">
        <v>20288</v>
      </c>
      <c r="H2" s="8">
        <v>-3.7731491165125499</v>
      </c>
      <c r="I2" s="8">
        <v>-38.514716985329301</v>
      </c>
      <c r="J2" s="5" t="str">
        <f t="shared" ref="J2:J33" si="1">D2&amp;"; "&amp;B2&amp;" Votos; "&amp;F2&amp;"%"</f>
        <v>Aerolândia; 49 Votos; 0,02%</v>
      </c>
    </row>
    <row r="3" spans="1:10" x14ac:dyDescent="0.25">
      <c r="A3" s="7">
        <v>92</v>
      </c>
      <c r="B3">
        <v>6</v>
      </c>
      <c r="C3" s="20">
        <f t="shared" si="0"/>
        <v>2.9574132492113565E-4</v>
      </c>
      <c r="D3" s="5" t="s">
        <v>112</v>
      </c>
      <c r="E3" s="7">
        <v>4</v>
      </c>
      <c r="F3" s="23">
        <v>0</v>
      </c>
      <c r="G3" s="7">
        <f t="shared" ref="G3:G66" si="2">G2</f>
        <v>20288</v>
      </c>
      <c r="H3" s="8">
        <v>-3.78328157008503</v>
      </c>
      <c r="I3" s="8">
        <v>-38.531026819607298</v>
      </c>
      <c r="J3" s="5" t="str">
        <f t="shared" si="1"/>
        <v>Aeroporto; 6 Votos; 0%</v>
      </c>
    </row>
    <row r="4" spans="1:10" x14ac:dyDescent="0.25">
      <c r="A4" s="7">
        <v>2</v>
      </c>
      <c r="B4">
        <v>132</v>
      </c>
      <c r="C4" s="20">
        <f t="shared" si="0"/>
        <v>6.5063091482649845E-3</v>
      </c>
      <c r="D4" s="7" t="s">
        <v>22</v>
      </c>
      <c r="E4" s="7">
        <v>2</v>
      </c>
      <c r="F4" s="23">
        <v>0.36</v>
      </c>
      <c r="G4" s="7">
        <f t="shared" si="2"/>
        <v>20288</v>
      </c>
      <c r="H4" s="8">
        <v>-3.7339856484838898</v>
      </c>
      <c r="I4" s="8">
        <v>-38.512272533062301</v>
      </c>
      <c r="J4" s="5" t="str">
        <f t="shared" si="1"/>
        <v>Aldeota; 132 Votos; 0,36%</v>
      </c>
    </row>
    <row r="5" spans="1:10" x14ac:dyDescent="0.25">
      <c r="A5" s="7">
        <v>93</v>
      </c>
      <c r="B5">
        <v>178</v>
      </c>
      <c r="C5" s="20">
        <f t="shared" si="0"/>
        <v>8.7736593059936901E-3</v>
      </c>
      <c r="D5" s="5" t="s">
        <v>113</v>
      </c>
      <c r="E5" s="7">
        <v>6</v>
      </c>
      <c r="F5" s="23">
        <v>0.16</v>
      </c>
      <c r="G5" s="7">
        <f t="shared" si="2"/>
        <v>20288</v>
      </c>
      <c r="H5" s="8">
        <v>-3.76511099022437</v>
      </c>
      <c r="I5" s="8">
        <v>-38.514011814644199</v>
      </c>
      <c r="J5" s="5" t="str">
        <f t="shared" si="1"/>
        <v>Alto da Balança; 178 Votos; 0,16%</v>
      </c>
    </row>
    <row r="6" spans="1:10" x14ac:dyDescent="0.25">
      <c r="A6" s="7">
        <v>3</v>
      </c>
      <c r="B6" s="3">
        <v>383</v>
      </c>
      <c r="C6" s="20">
        <f t="shared" si="0"/>
        <v>1.8878154574132493E-2</v>
      </c>
      <c r="D6" s="7" t="s">
        <v>23</v>
      </c>
      <c r="E6" s="7">
        <v>1</v>
      </c>
      <c r="F6" s="23">
        <v>4.3</v>
      </c>
      <c r="G6" s="7">
        <f t="shared" si="2"/>
        <v>20288</v>
      </c>
      <c r="H6" s="8">
        <v>-3.7158519544419502</v>
      </c>
      <c r="I6" s="8">
        <v>-38.572758193784402</v>
      </c>
      <c r="J6" s="5" t="str">
        <f t="shared" si="1"/>
        <v>Alvaro Weyne; 383 Votos; 4,3%</v>
      </c>
    </row>
    <row r="7" spans="1:10" x14ac:dyDescent="0.25">
      <c r="A7" s="7">
        <v>4</v>
      </c>
      <c r="B7" s="3">
        <v>6</v>
      </c>
      <c r="C7" s="20">
        <f t="shared" si="0"/>
        <v>2.9574132492113565E-4</v>
      </c>
      <c r="D7" s="7" t="s">
        <v>24</v>
      </c>
      <c r="E7" s="7">
        <v>3</v>
      </c>
      <c r="F7" s="23">
        <v>0.14000000000000001</v>
      </c>
      <c r="G7" s="7">
        <f t="shared" si="2"/>
        <v>20288</v>
      </c>
      <c r="H7" s="8">
        <v>-3.7444480859003999</v>
      </c>
      <c r="I7" s="8">
        <v>-38.557486657117401</v>
      </c>
      <c r="J7" s="5" t="str">
        <f t="shared" si="1"/>
        <v>Amadeu Furtado; 6 Votos; 0,14%</v>
      </c>
    </row>
    <row r="8" spans="1:10" x14ac:dyDescent="0.25">
      <c r="A8" s="7">
        <v>50</v>
      </c>
      <c r="B8">
        <v>32</v>
      </c>
      <c r="C8" s="20">
        <f t="shared" si="0"/>
        <v>1.5772870662460567E-3</v>
      </c>
      <c r="D8" s="7" t="s">
        <v>70</v>
      </c>
      <c r="E8" s="7">
        <v>9</v>
      </c>
      <c r="F8" s="23">
        <v>0</v>
      </c>
      <c r="G8" s="7">
        <f t="shared" si="2"/>
        <v>20288</v>
      </c>
      <c r="H8" s="8">
        <v>-3.8648814584649198</v>
      </c>
      <c r="I8" s="8">
        <v>-38.5067770366255</v>
      </c>
      <c r="J8" s="5" t="str">
        <f t="shared" si="1"/>
        <v>Ancuri; 32 Votos; 0%</v>
      </c>
    </row>
    <row r="9" spans="1:10" x14ac:dyDescent="0.25">
      <c r="A9" s="7">
        <v>40</v>
      </c>
      <c r="B9" s="3">
        <v>362</v>
      </c>
      <c r="C9" s="20">
        <f t="shared" si="0"/>
        <v>1.7843059936908517E-2</v>
      </c>
      <c r="D9" s="7" t="s">
        <v>60</v>
      </c>
      <c r="E9" s="7">
        <v>3</v>
      </c>
      <c r="F9" s="23">
        <v>3.02</v>
      </c>
      <c r="G9" s="7">
        <f t="shared" si="2"/>
        <v>20288</v>
      </c>
      <c r="H9" s="8">
        <v>-3.7438599910555701</v>
      </c>
      <c r="I9" s="8">
        <v>-38.594170001002098</v>
      </c>
      <c r="J9" s="5" t="str">
        <f t="shared" si="1"/>
        <v>Antônio Bezerra; 362 Votos; 3,02%</v>
      </c>
    </row>
    <row r="10" spans="1:10" x14ac:dyDescent="0.25">
      <c r="A10" s="7">
        <v>120</v>
      </c>
      <c r="C10" s="20">
        <f t="shared" si="0"/>
        <v>0</v>
      </c>
      <c r="D10" s="7" t="s">
        <v>139</v>
      </c>
      <c r="E10" s="7">
        <v>10</v>
      </c>
      <c r="F10" s="23">
        <v>0</v>
      </c>
      <c r="G10" s="7">
        <f t="shared" si="2"/>
        <v>20288</v>
      </c>
      <c r="H10" s="8">
        <v>-3.8318976001179301</v>
      </c>
      <c r="I10" s="8">
        <v>-38.586396530656202</v>
      </c>
      <c r="J10" s="5" t="str">
        <f t="shared" si="1"/>
        <v>Aracapé;  Votos; 0%</v>
      </c>
    </row>
    <row r="11" spans="1:10" x14ac:dyDescent="0.25">
      <c r="A11" s="7">
        <v>41</v>
      </c>
      <c r="B11" s="3">
        <v>232</v>
      </c>
      <c r="C11" s="20">
        <f t="shared" si="0"/>
        <v>1.1435331230283912E-2</v>
      </c>
      <c r="D11" s="7" t="s">
        <v>61</v>
      </c>
      <c r="E11" s="7">
        <v>11</v>
      </c>
      <c r="F11" s="23">
        <v>0.22</v>
      </c>
      <c r="G11" s="7">
        <f t="shared" si="2"/>
        <v>20288</v>
      </c>
      <c r="H11" s="8">
        <v>-3.7518792027974102</v>
      </c>
      <c r="I11" s="8">
        <v>-38.596604923459601</v>
      </c>
      <c r="J11" s="5" t="str">
        <f t="shared" si="1"/>
        <v>Autran Nunes; 232 Votos; 0,22%</v>
      </c>
    </row>
    <row r="12" spans="1:10" x14ac:dyDescent="0.25">
      <c r="A12" s="7">
        <v>6</v>
      </c>
      <c r="B12" s="3">
        <v>731</v>
      </c>
      <c r="C12" s="20">
        <f t="shared" si="0"/>
        <v>3.6031151419558358E-2</v>
      </c>
      <c r="D12" s="7" t="s">
        <v>26</v>
      </c>
      <c r="E12" s="7">
        <v>1</v>
      </c>
      <c r="F12" s="23">
        <v>5.04</v>
      </c>
      <c r="G12" s="7">
        <f t="shared" si="2"/>
        <v>20288</v>
      </c>
      <c r="H12" s="8">
        <v>-3.7044707668351502</v>
      </c>
      <c r="I12" s="8">
        <v>-38.577290647687001</v>
      </c>
      <c r="J12" s="5" t="str">
        <f t="shared" si="1"/>
        <v>Barra do Ceara; 731 Votos; 5,04%</v>
      </c>
    </row>
    <row r="13" spans="1:10" x14ac:dyDescent="0.25">
      <c r="A13" s="7">
        <v>51</v>
      </c>
      <c r="B13">
        <v>464</v>
      </c>
      <c r="C13" s="20">
        <f t="shared" si="0"/>
        <v>2.2870662460567823E-2</v>
      </c>
      <c r="D13" s="7" t="s">
        <v>71</v>
      </c>
      <c r="E13" s="7">
        <v>9</v>
      </c>
      <c r="F13" s="23">
        <v>0.09</v>
      </c>
      <c r="G13" s="7">
        <f t="shared" si="2"/>
        <v>20288</v>
      </c>
      <c r="H13" s="8">
        <v>-3.8204455093400602</v>
      </c>
      <c r="I13" s="8">
        <v>-38.512645687979401</v>
      </c>
      <c r="J13" s="5" t="str">
        <f t="shared" si="1"/>
        <v>Barroso; 464 Votos; 0,09%</v>
      </c>
    </row>
    <row r="14" spans="1:10" x14ac:dyDescent="0.25">
      <c r="A14" s="7">
        <v>94</v>
      </c>
      <c r="B14" s="3">
        <v>70</v>
      </c>
      <c r="C14" s="20">
        <f t="shared" si="0"/>
        <v>3.450315457413249E-3</v>
      </c>
      <c r="D14" s="5" t="s">
        <v>114</v>
      </c>
      <c r="E14" s="7">
        <v>11</v>
      </c>
      <c r="F14" s="23">
        <v>0.37</v>
      </c>
      <c r="G14" s="7">
        <f t="shared" si="2"/>
        <v>20288</v>
      </c>
      <c r="H14" s="8">
        <v>-3.75227870449759</v>
      </c>
      <c r="I14" s="8">
        <v>-38.561010002875797</v>
      </c>
      <c r="J14" s="5" t="str">
        <f t="shared" si="1"/>
        <v>Bela Vista; 70 Votos; 0,37%</v>
      </c>
    </row>
    <row r="15" spans="1:10" x14ac:dyDescent="0.25">
      <c r="A15" s="7">
        <v>7</v>
      </c>
      <c r="B15">
        <v>81</v>
      </c>
      <c r="C15" s="20">
        <f t="shared" si="0"/>
        <v>3.9925078864353316E-3</v>
      </c>
      <c r="D15" s="7" t="s">
        <v>27</v>
      </c>
      <c r="E15" s="7">
        <v>4</v>
      </c>
      <c r="F15" s="23">
        <v>0.45</v>
      </c>
      <c r="G15" s="7">
        <f t="shared" si="2"/>
        <v>20288</v>
      </c>
      <c r="H15" s="8">
        <v>-3.7435794004401002</v>
      </c>
      <c r="I15" s="8">
        <v>-38.536164699959699</v>
      </c>
      <c r="J15" s="5" t="str">
        <f t="shared" si="1"/>
        <v>Benfica; 81 Votos; 0,45%</v>
      </c>
    </row>
    <row r="16" spans="1:10" x14ac:dyDescent="0.25">
      <c r="A16" s="7">
        <v>121</v>
      </c>
      <c r="B16">
        <v>119</v>
      </c>
      <c r="C16" s="20">
        <f t="shared" si="0"/>
        <v>5.8655362776025236E-3</v>
      </c>
      <c r="D16" s="5" t="s">
        <v>140</v>
      </c>
      <c r="E16" s="7">
        <v>8</v>
      </c>
      <c r="F16" s="23">
        <v>0.09</v>
      </c>
      <c r="G16" s="7">
        <f t="shared" si="2"/>
        <v>20288</v>
      </c>
      <c r="H16" s="8">
        <v>-3.7957697992767501</v>
      </c>
      <c r="I16" s="8">
        <v>-38.518971545141397</v>
      </c>
      <c r="J16" s="5" t="str">
        <f t="shared" si="1"/>
        <v>Boa Vista; 119 Votos; 0,09%</v>
      </c>
    </row>
    <row r="17" spans="1:10" x14ac:dyDescent="0.25">
      <c r="A17" s="7">
        <v>8</v>
      </c>
      <c r="B17">
        <v>28</v>
      </c>
      <c r="C17" s="20">
        <f t="shared" si="0"/>
        <v>1.3801261829652998E-3</v>
      </c>
      <c r="D17" s="7" t="s">
        <v>28</v>
      </c>
      <c r="E17" s="7">
        <v>4</v>
      </c>
      <c r="F17" s="23">
        <v>0.14000000000000001</v>
      </c>
      <c r="G17" s="7">
        <f t="shared" si="2"/>
        <v>20288</v>
      </c>
      <c r="H17" s="8">
        <v>-3.7582086333092199</v>
      </c>
      <c r="I17" s="8">
        <v>-38.546481255969098</v>
      </c>
      <c r="J17" s="5" t="str">
        <f t="shared" si="1"/>
        <v>Bom Futuro; 28 Votos; 0,14%</v>
      </c>
    </row>
    <row r="18" spans="1:10" x14ac:dyDescent="0.25">
      <c r="A18" s="7">
        <v>72</v>
      </c>
      <c r="B18" s="3">
        <v>339</v>
      </c>
      <c r="C18" s="20">
        <f t="shared" si="0"/>
        <v>1.6709384858044164E-2</v>
      </c>
      <c r="D18" s="5" t="s">
        <v>92</v>
      </c>
      <c r="E18" s="7">
        <v>5</v>
      </c>
      <c r="F18" s="23">
        <v>0.48</v>
      </c>
      <c r="G18" s="7">
        <f t="shared" si="2"/>
        <v>20288</v>
      </c>
      <c r="H18" s="8">
        <v>-3.78731120388623</v>
      </c>
      <c r="I18" s="8">
        <v>-38.605956606855898</v>
      </c>
      <c r="J18" s="5" t="str">
        <f t="shared" si="1"/>
        <v>Bom Jardim; 339 Votos; 0,48%</v>
      </c>
    </row>
    <row r="19" spans="1:10" x14ac:dyDescent="0.25">
      <c r="A19" s="7">
        <v>73</v>
      </c>
      <c r="B19" s="3">
        <v>280</v>
      </c>
      <c r="C19" s="20">
        <f t="shared" si="0"/>
        <v>1.3801261829652996E-2</v>
      </c>
      <c r="D19" s="5" t="s">
        <v>93</v>
      </c>
      <c r="E19" s="7">
        <v>5</v>
      </c>
      <c r="F19" s="23">
        <v>0.32</v>
      </c>
      <c r="G19" s="7">
        <f t="shared" si="2"/>
        <v>20288</v>
      </c>
      <c r="H19" s="8">
        <v>-3.78040751812869</v>
      </c>
      <c r="I19" s="8">
        <v>-38.588575511233898</v>
      </c>
      <c r="J19" s="5" t="str">
        <f t="shared" si="1"/>
        <v>Bonsucesso; 280 Votos; 0,32%</v>
      </c>
    </row>
    <row r="20" spans="1:10" x14ac:dyDescent="0.25">
      <c r="A20" s="7">
        <v>108</v>
      </c>
      <c r="B20">
        <v>262</v>
      </c>
      <c r="C20" s="20">
        <f t="shared" si="0"/>
        <v>1.2914037854889589E-2</v>
      </c>
      <c r="D20" s="7" t="s">
        <v>128</v>
      </c>
      <c r="E20" s="7">
        <v>2</v>
      </c>
      <c r="F20" s="23">
        <v>0.11</v>
      </c>
      <c r="G20" s="7">
        <f t="shared" si="2"/>
        <v>20288</v>
      </c>
      <c r="H20" s="8">
        <v>-3.71286380822142</v>
      </c>
      <c r="I20" s="8">
        <v>-38.466078519810999</v>
      </c>
      <c r="J20" s="5" t="str">
        <f t="shared" si="1"/>
        <v>Cais do Porto; 262 Votos; 0,11%</v>
      </c>
    </row>
    <row r="21" spans="1:10" x14ac:dyDescent="0.25">
      <c r="A21" s="7">
        <v>52</v>
      </c>
      <c r="B21">
        <v>116</v>
      </c>
      <c r="C21" s="20">
        <f t="shared" si="0"/>
        <v>5.7176656151419558E-3</v>
      </c>
      <c r="D21" s="7" t="s">
        <v>72</v>
      </c>
      <c r="E21" s="7">
        <v>9</v>
      </c>
      <c r="F21" s="23">
        <v>0.15</v>
      </c>
      <c r="G21" s="7">
        <f t="shared" si="2"/>
        <v>20288</v>
      </c>
      <c r="H21" s="8">
        <v>-3.7934683304721299</v>
      </c>
      <c r="I21" s="8">
        <v>-38.508846249037099</v>
      </c>
      <c r="J21" s="5" t="str">
        <f t="shared" si="1"/>
        <v>Cajazeiras; 116 Votos; 0,15%</v>
      </c>
    </row>
    <row r="22" spans="1:10" x14ac:dyDescent="0.25">
      <c r="A22" s="7">
        <v>53</v>
      </c>
      <c r="B22">
        <v>52</v>
      </c>
      <c r="C22" s="20">
        <f t="shared" si="0"/>
        <v>2.5630914826498424E-3</v>
      </c>
      <c r="D22" s="7" t="s">
        <v>73</v>
      </c>
      <c r="E22" s="7">
        <v>6</v>
      </c>
      <c r="F22" s="23">
        <v>0.05</v>
      </c>
      <c r="G22" s="7">
        <f t="shared" si="2"/>
        <v>20288</v>
      </c>
      <c r="H22" s="8">
        <v>-3.8108687886441301</v>
      </c>
      <c r="I22" s="8">
        <v>-38.4881329505724</v>
      </c>
      <c r="J22" s="5" t="str">
        <f t="shared" si="1"/>
        <v>Cambeba; 52 Votos; 0,05%</v>
      </c>
    </row>
    <row r="23" spans="1:10" x14ac:dyDescent="0.25">
      <c r="A23" s="7">
        <v>74</v>
      </c>
      <c r="B23" s="3">
        <v>121</v>
      </c>
      <c r="C23" s="20">
        <f t="shared" si="0"/>
        <v>5.9641167192429024E-3</v>
      </c>
      <c r="D23" s="5" t="s">
        <v>94</v>
      </c>
      <c r="E23" s="7">
        <v>10</v>
      </c>
      <c r="F23" s="23">
        <v>0.21</v>
      </c>
      <c r="G23" s="7">
        <f t="shared" si="2"/>
        <v>20288</v>
      </c>
      <c r="H23" s="8">
        <v>-3.8088965401008901</v>
      </c>
      <c r="I23" s="8">
        <v>-38.604129302130701</v>
      </c>
      <c r="J23" s="5" t="str">
        <f t="shared" si="1"/>
        <v>Canindezinho; 121 Votos; 0,21%</v>
      </c>
    </row>
    <row r="24" spans="1:10" x14ac:dyDescent="0.25">
      <c r="A24" s="7">
        <v>9</v>
      </c>
      <c r="B24" s="3">
        <v>181</v>
      </c>
      <c r="C24" s="20">
        <f t="shared" si="0"/>
        <v>8.9215299684542587E-3</v>
      </c>
      <c r="D24" s="7" t="s">
        <v>29</v>
      </c>
      <c r="E24" s="7">
        <v>1</v>
      </c>
      <c r="F24" s="23">
        <v>0.8</v>
      </c>
      <c r="G24" s="7">
        <f t="shared" si="2"/>
        <v>20288</v>
      </c>
      <c r="H24" s="8">
        <v>-3.7183301235653401</v>
      </c>
      <c r="I24" s="8">
        <v>-38.554508707357897</v>
      </c>
      <c r="J24" s="5" t="str">
        <f t="shared" si="1"/>
        <v>Carlito Pamplona; 181 Votos; 0,8%</v>
      </c>
    </row>
    <row r="25" spans="1:10" x14ac:dyDescent="0.25">
      <c r="A25" s="7">
        <v>10</v>
      </c>
      <c r="B25">
        <v>475</v>
      </c>
      <c r="C25" s="20">
        <f t="shared" si="0"/>
        <v>2.3412854889589906E-2</v>
      </c>
      <c r="D25" s="7" t="s">
        <v>30</v>
      </c>
      <c r="E25" s="7">
        <v>12</v>
      </c>
      <c r="F25" s="23">
        <v>1.77</v>
      </c>
      <c r="G25" s="7">
        <f t="shared" si="2"/>
        <v>20288</v>
      </c>
      <c r="H25" s="8">
        <v>-3.7355947723103302</v>
      </c>
      <c r="I25" s="8">
        <v>-38.5178177041252</v>
      </c>
      <c r="J25" s="5" t="str">
        <f t="shared" si="1"/>
        <v>Centro; 475 Votos; 1,77%</v>
      </c>
    </row>
    <row r="26" spans="1:10" x14ac:dyDescent="0.25">
      <c r="A26" s="7">
        <v>109</v>
      </c>
      <c r="B26">
        <v>76</v>
      </c>
      <c r="C26" s="20">
        <f t="shared" si="0"/>
        <v>3.746056782334385E-3</v>
      </c>
      <c r="D26" s="7" t="s">
        <v>129</v>
      </c>
      <c r="E26" s="7">
        <v>7</v>
      </c>
      <c r="F26" s="23">
        <v>0.09</v>
      </c>
      <c r="G26" s="7">
        <f t="shared" si="2"/>
        <v>20288</v>
      </c>
      <c r="H26" s="8">
        <v>-3.7515629494479001</v>
      </c>
      <c r="I26" s="8">
        <v>-38.473078900891103</v>
      </c>
      <c r="J26" s="5" t="str">
        <f t="shared" si="1"/>
        <v>Cidade 2000; 76 Votos; 0,09%</v>
      </c>
    </row>
    <row r="27" spans="1:10" x14ac:dyDescent="0.25">
      <c r="A27" s="7">
        <v>54</v>
      </c>
      <c r="B27">
        <v>100</v>
      </c>
      <c r="C27" s="20">
        <f t="shared" si="0"/>
        <v>4.9290220820189272E-3</v>
      </c>
      <c r="D27" s="5" t="s">
        <v>74</v>
      </c>
      <c r="E27" s="7">
        <v>6</v>
      </c>
      <c r="F27" s="23">
        <v>0.11</v>
      </c>
      <c r="G27" s="7">
        <f t="shared" si="2"/>
        <v>20288</v>
      </c>
      <c r="H27" s="8">
        <v>-3.7940848688483402</v>
      </c>
      <c r="I27" s="8">
        <v>-38.499748705054301</v>
      </c>
      <c r="J27" s="5" t="str">
        <f t="shared" si="1"/>
        <v>Cidade dos
Funcionários; 100 Votos; 0,11%</v>
      </c>
    </row>
    <row r="28" spans="1:10" x14ac:dyDescent="0.25">
      <c r="A28" s="7">
        <v>55</v>
      </c>
      <c r="B28">
        <v>84</v>
      </c>
      <c r="C28" s="20">
        <f t="shared" si="0"/>
        <v>4.1403785488958993E-3</v>
      </c>
      <c r="D28" s="5" t="s">
        <v>75</v>
      </c>
      <c r="E28" s="7">
        <v>6</v>
      </c>
      <c r="F28" s="23">
        <v>0.01</v>
      </c>
      <c r="G28" s="7">
        <f t="shared" si="2"/>
        <v>20288</v>
      </c>
      <c r="H28" s="8">
        <v>-3.8461633464172298</v>
      </c>
      <c r="I28" s="8">
        <v>-38.474517251289797</v>
      </c>
      <c r="J28" s="5" t="str">
        <f t="shared" si="1"/>
        <v>Coaçu; 84 Votos; 0,01%</v>
      </c>
    </row>
    <row r="29" spans="1:10" x14ac:dyDescent="0.25">
      <c r="A29" s="7">
        <v>11</v>
      </c>
      <c r="B29">
        <v>48</v>
      </c>
      <c r="C29" s="20">
        <f t="shared" si="0"/>
        <v>2.3659305993690852E-3</v>
      </c>
      <c r="D29" s="7" t="s">
        <v>31</v>
      </c>
      <c r="E29" s="7">
        <v>7</v>
      </c>
      <c r="F29" s="23">
        <v>0.12</v>
      </c>
      <c r="G29" s="7">
        <f t="shared" si="2"/>
        <v>20288</v>
      </c>
      <c r="H29" s="8">
        <v>-3.7444528516131901</v>
      </c>
      <c r="I29" s="8">
        <v>-38.4783388321841</v>
      </c>
      <c r="J29" s="5" t="str">
        <f t="shared" si="1"/>
        <v>Cocó; 48 Votos; 0,12%</v>
      </c>
    </row>
    <row r="30" spans="1:10" x14ac:dyDescent="0.25">
      <c r="A30" s="7">
        <v>42</v>
      </c>
      <c r="B30" s="3">
        <v>729</v>
      </c>
      <c r="C30" s="20">
        <f t="shared" si="0"/>
        <v>3.593257097791798E-2</v>
      </c>
      <c r="D30" s="7" t="s">
        <v>62</v>
      </c>
      <c r="E30" s="7">
        <v>11</v>
      </c>
      <c r="F30" s="23">
        <v>0.88</v>
      </c>
      <c r="G30" s="7">
        <f t="shared" si="2"/>
        <v>20288</v>
      </c>
      <c r="H30" s="8">
        <v>-3.76776804633255</v>
      </c>
      <c r="I30" s="8">
        <v>-38.603027639769401</v>
      </c>
      <c r="J30" s="5" t="str">
        <f t="shared" si="1"/>
        <v>Conjunto Ceará; 729 Votos; 0,88%</v>
      </c>
    </row>
    <row r="31" spans="1:10" x14ac:dyDescent="0.25">
      <c r="A31" s="7">
        <v>75</v>
      </c>
      <c r="B31" s="3">
        <v>53</v>
      </c>
      <c r="C31" s="20">
        <f t="shared" si="0"/>
        <v>2.6123817034700314E-3</v>
      </c>
      <c r="D31" s="5" t="s">
        <v>95</v>
      </c>
      <c r="E31" s="7">
        <v>11</v>
      </c>
      <c r="F31" s="23">
        <v>0.04</v>
      </c>
      <c r="G31" s="7">
        <f t="shared" si="2"/>
        <v>20288</v>
      </c>
      <c r="H31" s="8">
        <v>-3.772463215528</v>
      </c>
      <c r="I31" s="8">
        <v>-38.611769276788799</v>
      </c>
      <c r="J31" s="5" t="str">
        <f t="shared" si="1"/>
        <v>Conjunto Ceará II; 53 Votos; 0,04%</v>
      </c>
    </row>
    <row r="32" spans="1:10" x14ac:dyDescent="0.25">
      <c r="A32" s="7">
        <v>76</v>
      </c>
      <c r="B32" s="3">
        <v>328</v>
      </c>
      <c r="C32" s="20">
        <f t="shared" si="0"/>
        <v>1.6167192429022082E-2</v>
      </c>
      <c r="D32" s="5" t="s">
        <v>96</v>
      </c>
      <c r="E32" s="7">
        <v>10</v>
      </c>
      <c r="F32" s="23">
        <v>0.52</v>
      </c>
      <c r="G32" s="7">
        <f t="shared" si="2"/>
        <v>20288</v>
      </c>
      <c r="H32" s="8">
        <v>-3.8147710098193799</v>
      </c>
      <c r="I32" s="8">
        <v>-38.588608356705898</v>
      </c>
      <c r="J32" s="5" t="str">
        <f t="shared" si="1"/>
        <v>Conjunto Esperança; 328 Votos; 0,52%</v>
      </c>
    </row>
    <row r="33" spans="1:10" x14ac:dyDescent="0.25">
      <c r="A33" s="7">
        <v>115</v>
      </c>
      <c r="B33">
        <v>358</v>
      </c>
      <c r="C33" s="20">
        <f t="shared" si="0"/>
        <v>1.7645899053627762E-2</v>
      </c>
      <c r="D33" s="7" t="s">
        <v>135</v>
      </c>
      <c r="E33" s="7">
        <v>9</v>
      </c>
      <c r="F33" s="23">
        <v>0.2</v>
      </c>
      <c r="G33" s="7">
        <f t="shared" si="2"/>
        <v>20288</v>
      </c>
      <c r="H33" s="8">
        <v>-3.8460425416992998</v>
      </c>
      <c r="I33" s="8">
        <v>-38.521461386696998</v>
      </c>
      <c r="J33" s="5" t="str">
        <f t="shared" si="1"/>
        <v>Conjunto Palmeiras; 358 Votos; 0,2%</v>
      </c>
    </row>
    <row r="34" spans="1:10" x14ac:dyDescent="0.25">
      <c r="A34" s="7">
        <v>95</v>
      </c>
      <c r="B34" s="3"/>
      <c r="C34" s="20">
        <f t="shared" ref="C34:C65" si="3">B34/G34</f>
        <v>0</v>
      </c>
      <c r="D34" s="5" t="s">
        <v>115</v>
      </c>
      <c r="E34" s="7">
        <v>11</v>
      </c>
      <c r="F34" s="23">
        <v>0</v>
      </c>
      <c r="G34" s="7">
        <f t="shared" si="2"/>
        <v>20288</v>
      </c>
      <c r="H34" s="8">
        <v>-3.76040480634658</v>
      </c>
      <c r="I34" s="8">
        <v>-38.5606115368834</v>
      </c>
      <c r="J34" s="5" t="str">
        <f t="shared" ref="J34:J65" si="4">D34&amp;"; "&amp;B34&amp;" Votos; "&amp;F34&amp;"%"</f>
        <v>Couto Fernandes;  Votos; 0%</v>
      </c>
    </row>
    <row r="35" spans="1:10" x14ac:dyDescent="0.25">
      <c r="A35" s="7">
        <v>12</v>
      </c>
      <c r="B35" s="3">
        <v>285</v>
      </c>
      <c r="C35" s="20">
        <f t="shared" si="3"/>
        <v>1.4047712933753943E-2</v>
      </c>
      <c r="D35" s="7" t="s">
        <v>32</v>
      </c>
      <c r="E35" s="7">
        <v>1</v>
      </c>
      <c r="F35" s="23">
        <v>1.87</v>
      </c>
      <c r="G35" s="7">
        <f t="shared" si="2"/>
        <v>20288</v>
      </c>
      <c r="H35" s="8">
        <v>-3.7098733835424098</v>
      </c>
      <c r="I35" s="8">
        <v>-38.5701753140916</v>
      </c>
      <c r="J35" s="5" t="str">
        <f t="shared" si="4"/>
        <v>Cristo Redentor; 285 Votos; 1,87%</v>
      </c>
    </row>
    <row r="36" spans="1:10" x14ac:dyDescent="0.25">
      <c r="A36" s="7">
        <v>56</v>
      </c>
      <c r="C36" s="20">
        <f t="shared" si="3"/>
        <v>0</v>
      </c>
      <c r="D36" s="5" t="s">
        <v>76</v>
      </c>
      <c r="E36" s="7">
        <v>6</v>
      </c>
      <c r="F36" s="23">
        <v>0</v>
      </c>
      <c r="G36" s="7">
        <f t="shared" si="2"/>
        <v>20288</v>
      </c>
      <c r="H36" s="8">
        <v>-3.8218427466216398</v>
      </c>
      <c r="I36" s="8">
        <v>-38.476577253157402</v>
      </c>
      <c r="J36" s="5" t="str">
        <f t="shared" si="4"/>
        <v>Curió;  Votos; 0%</v>
      </c>
    </row>
    <row r="37" spans="1:10" x14ac:dyDescent="0.25">
      <c r="A37" s="7">
        <v>13</v>
      </c>
      <c r="B37">
        <v>19</v>
      </c>
      <c r="C37" s="20">
        <f t="shared" si="3"/>
        <v>9.3651419558359625E-4</v>
      </c>
      <c r="D37" s="7" t="s">
        <v>33</v>
      </c>
      <c r="E37" s="7">
        <v>4</v>
      </c>
      <c r="F37" s="23">
        <v>7.0000000000000007E-2</v>
      </c>
      <c r="G37" s="7">
        <f t="shared" si="2"/>
        <v>20288</v>
      </c>
      <c r="H37" s="8">
        <v>-3.7501930615661698</v>
      </c>
      <c r="I37" s="8">
        <v>-38.545942050787801</v>
      </c>
      <c r="J37" s="5" t="str">
        <f t="shared" si="4"/>
        <v>Damas; 19 Votos; 0,07%</v>
      </c>
    </row>
    <row r="38" spans="1:10" x14ac:dyDescent="0.25">
      <c r="A38" s="7">
        <v>113</v>
      </c>
      <c r="B38">
        <v>31</v>
      </c>
      <c r="C38" s="20">
        <f t="shared" si="3"/>
        <v>1.5279968454258675E-3</v>
      </c>
      <c r="D38" s="7" t="s">
        <v>133</v>
      </c>
      <c r="E38" s="7">
        <v>2</v>
      </c>
      <c r="F38" s="23">
        <v>0.09</v>
      </c>
      <c r="G38" s="7">
        <f t="shared" si="2"/>
        <v>20288</v>
      </c>
      <c r="H38" s="8">
        <v>-3.7397366628463802</v>
      </c>
      <c r="I38" s="8">
        <v>-38.463829494715299</v>
      </c>
      <c r="J38" s="5" t="str">
        <f t="shared" si="4"/>
        <v>De Lourdes; 31 Votos; 0,09%</v>
      </c>
    </row>
    <row r="39" spans="1:10" x14ac:dyDescent="0.25">
      <c r="A39" s="7">
        <v>96</v>
      </c>
      <c r="B39" s="3">
        <v>51</v>
      </c>
      <c r="C39" s="20">
        <f t="shared" si="3"/>
        <v>2.513801261829653E-3</v>
      </c>
      <c r="D39" s="5" t="s">
        <v>116</v>
      </c>
      <c r="E39" s="7">
        <v>11</v>
      </c>
      <c r="F39" s="23">
        <v>0.16</v>
      </c>
      <c r="G39" s="7">
        <f t="shared" si="2"/>
        <v>20288</v>
      </c>
      <c r="H39" s="8">
        <v>-3.7619043448426002</v>
      </c>
      <c r="I39" s="8">
        <v>-38.564763741306301</v>
      </c>
      <c r="J39" s="5" t="str">
        <f t="shared" si="4"/>
        <v>Demócrito Rocha; 51 Votos; 0,16%</v>
      </c>
    </row>
    <row r="40" spans="1:10" x14ac:dyDescent="0.25">
      <c r="A40" s="7">
        <v>77</v>
      </c>
      <c r="C40" s="20">
        <f t="shared" si="3"/>
        <v>0</v>
      </c>
      <c r="D40" s="5" t="s">
        <v>97</v>
      </c>
      <c r="E40" s="7">
        <v>8</v>
      </c>
      <c r="F40" s="23">
        <v>0</v>
      </c>
      <c r="G40" s="7">
        <f t="shared" si="2"/>
        <v>20288</v>
      </c>
      <c r="H40" s="8">
        <v>-3.7956267721391299</v>
      </c>
      <c r="I40" s="8">
        <v>-38.554871755016002</v>
      </c>
      <c r="J40" s="5" t="str">
        <f t="shared" si="4"/>
        <v>Dendê / Raquel de Queiroz;  Votos; 0%</v>
      </c>
    </row>
    <row r="41" spans="1:10" x14ac:dyDescent="0.25">
      <c r="A41" s="7">
        <v>97</v>
      </c>
      <c r="B41">
        <v>81</v>
      </c>
      <c r="C41" s="20">
        <f t="shared" si="3"/>
        <v>3.9925078864353316E-3</v>
      </c>
      <c r="D41" s="5" t="s">
        <v>117</v>
      </c>
      <c r="E41" s="7">
        <v>8</v>
      </c>
      <c r="F41" s="23">
        <v>0.22</v>
      </c>
      <c r="G41" s="7">
        <f t="shared" si="2"/>
        <v>20288</v>
      </c>
      <c r="H41" s="8">
        <v>-3.7876100124265899</v>
      </c>
      <c r="I41" s="8">
        <v>-38.527414085906003</v>
      </c>
      <c r="J41" s="5" t="str">
        <f t="shared" si="4"/>
        <v>Dias Macedo; 81 Votos; 0,22%</v>
      </c>
    </row>
    <row r="42" spans="1:10" x14ac:dyDescent="0.25">
      <c r="A42" s="7">
        <v>14</v>
      </c>
      <c r="B42">
        <v>66</v>
      </c>
      <c r="C42" s="20">
        <f t="shared" si="3"/>
        <v>3.2531545741324923E-3</v>
      </c>
      <c r="D42" s="7" t="s">
        <v>34</v>
      </c>
      <c r="E42" s="7">
        <v>2</v>
      </c>
      <c r="F42" s="23">
        <v>0.15</v>
      </c>
      <c r="G42" s="7">
        <f t="shared" si="2"/>
        <v>20288</v>
      </c>
      <c r="H42" s="8">
        <v>-3.7466362407272902</v>
      </c>
      <c r="I42" s="8">
        <v>-38.501641285177101</v>
      </c>
      <c r="J42" s="5" t="str">
        <f t="shared" si="4"/>
        <v>Dionisio Torres; 66 Votos; 0,15%</v>
      </c>
    </row>
    <row r="43" spans="1:10" x14ac:dyDescent="0.25">
      <c r="A43" s="7">
        <v>43</v>
      </c>
      <c r="B43" s="3">
        <v>118</v>
      </c>
      <c r="C43" s="20">
        <f t="shared" si="3"/>
        <v>5.8162460567823347E-3</v>
      </c>
      <c r="D43" s="7" t="s">
        <v>63</v>
      </c>
      <c r="E43" s="7">
        <v>11</v>
      </c>
      <c r="F43" s="23">
        <v>0.16</v>
      </c>
      <c r="G43" s="7">
        <f t="shared" si="2"/>
        <v>20288</v>
      </c>
      <c r="H43" s="8">
        <v>-3.7554394732483001</v>
      </c>
      <c r="I43" s="8">
        <v>-38.589623726028101</v>
      </c>
      <c r="J43" s="5" t="str">
        <f t="shared" si="4"/>
        <v>Dom Lustosa; 118 Votos; 0,16%</v>
      </c>
    </row>
    <row r="44" spans="1:10" x14ac:dyDescent="0.25">
      <c r="A44" s="7">
        <v>57</v>
      </c>
      <c r="B44">
        <v>379</v>
      </c>
      <c r="C44" s="20">
        <f t="shared" si="3"/>
        <v>1.8680993690851733E-2</v>
      </c>
      <c r="D44" s="5" t="s">
        <v>77</v>
      </c>
      <c r="E44" s="7">
        <v>7</v>
      </c>
      <c r="F44" s="23">
        <v>0.27</v>
      </c>
      <c r="G44" s="7">
        <f t="shared" si="2"/>
        <v>20288</v>
      </c>
      <c r="H44" s="8">
        <v>-3.7734109847680899</v>
      </c>
      <c r="I44" s="8">
        <v>-38.476795027420103</v>
      </c>
      <c r="J44" s="5" t="str">
        <f t="shared" si="4"/>
        <v>Edson Queiroz; 379 Votos; 0,27%</v>
      </c>
    </row>
    <row r="45" spans="1:10" x14ac:dyDescent="0.25">
      <c r="A45" s="7">
        <v>38</v>
      </c>
      <c r="B45" s="3">
        <v>20</v>
      </c>
      <c r="C45" s="20">
        <f t="shared" si="3"/>
        <v>9.8580441640378543E-4</v>
      </c>
      <c r="D45" s="7" t="s">
        <v>58</v>
      </c>
      <c r="E45" s="7">
        <v>3</v>
      </c>
      <c r="F45" s="23">
        <v>0.22</v>
      </c>
      <c r="G45" s="7">
        <f t="shared" si="2"/>
        <v>20288</v>
      </c>
      <c r="H45" s="8">
        <v>-3.7232122164096402</v>
      </c>
      <c r="I45" s="8">
        <v>-38.558165735754699</v>
      </c>
      <c r="J45" s="5" t="str">
        <f t="shared" si="4"/>
        <v>Ellery; 20 Votos; 0,22%</v>
      </c>
    </row>
    <row r="46" spans="1:10" x14ac:dyDescent="0.25">
      <c r="A46" s="7">
        <v>58</v>
      </c>
      <c r="B46">
        <v>249</v>
      </c>
      <c r="C46" s="20">
        <f t="shared" si="3"/>
        <v>1.2273264984227129E-2</v>
      </c>
      <c r="D46" s="5" t="s">
        <v>78</v>
      </c>
      <c r="E46" s="7">
        <v>7</v>
      </c>
      <c r="F46" s="23">
        <v>0.41</v>
      </c>
      <c r="G46" s="7">
        <f t="shared" si="2"/>
        <v>20288</v>
      </c>
      <c r="H46" s="8">
        <v>-3.7702613040788902</v>
      </c>
      <c r="I46" s="8">
        <v>-38.483598983838498</v>
      </c>
      <c r="J46" s="5" t="str">
        <f t="shared" si="4"/>
        <v>Eng Luciano Cavalcante; 249 Votos; 0,41%</v>
      </c>
    </row>
    <row r="47" spans="1:10" x14ac:dyDescent="0.25">
      <c r="A47" s="7">
        <v>15</v>
      </c>
      <c r="B47" s="3">
        <v>76</v>
      </c>
      <c r="C47" s="20">
        <f t="shared" si="3"/>
        <v>3.746056782334385E-3</v>
      </c>
      <c r="D47" s="7" t="s">
        <v>35</v>
      </c>
      <c r="E47" s="7">
        <v>3</v>
      </c>
      <c r="F47" s="23">
        <v>0.22</v>
      </c>
      <c r="G47" s="7">
        <f t="shared" si="2"/>
        <v>20288</v>
      </c>
      <c r="H47" s="8">
        <v>-3.73209256228118</v>
      </c>
      <c r="I47" s="8">
        <v>-38.541562729521601</v>
      </c>
      <c r="J47" s="5" t="str">
        <f t="shared" si="4"/>
        <v>Farias Brito; 76 Votos; 0,22%</v>
      </c>
    </row>
    <row r="48" spans="1:10" x14ac:dyDescent="0.25">
      <c r="A48" s="7">
        <v>16</v>
      </c>
      <c r="B48">
        <v>49</v>
      </c>
      <c r="C48" s="20">
        <f t="shared" si="3"/>
        <v>2.4152208201892746E-3</v>
      </c>
      <c r="D48" s="7" t="s">
        <v>36</v>
      </c>
      <c r="E48" s="7">
        <v>4</v>
      </c>
      <c r="F48" s="23">
        <v>0.22</v>
      </c>
      <c r="G48" s="7">
        <f t="shared" si="2"/>
        <v>20288</v>
      </c>
      <c r="H48" s="8">
        <v>-3.7515603030788198</v>
      </c>
      <c r="I48" s="8">
        <v>-38.526676301673398</v>
      </c>
      <c r="J48" s="5" t="str">
        <f t="shared" si="4"/>
        <v>Fatima; 49 Votos; 0,22%</v>
      </c>
    </row>
    <row r="49" spans="1:10" x14ac:dyDescent="0.25">
      <c r="A49" s="7">
        <v>17</v>
      </c>
      <c r="B49" s="3">
        <v>86</v>
      </c>
      <c r="C49" s="20">
        <f t="shared" si="3"/>
        <v>4.2389589905362773E-3</v>
      </c>
      <c r="D49" s="7" t="s">
        <v>37</v>
      </c>
      <c r="E49" s="7">
        <v>1</v>
      </c>
      <c r="F49" s="23">
        <v>1.78</v>
      </c>
      <c r="G49" s="7">
        <f t="shared" si="2"/>
        <v>20288</v>
      </c>
      <c r="H49" s="8">
        <v>-3.72619124055575</v>
      </c>
      <c r="I49" s="8">
        <v>-38.576785296760498</v>
      </c>
      <c r="J49" s="5" t="str">
        <f t="shared" si="4"/>
        <v>Floresta; 86 Votos; 1,78%</v>
      </c>
    </row>
    <row r="50" spans="1:10" x14ac:dyDescent="0.25">
      <c r="A50" s="7">
        <v>44</v>
      </c>
      <c r="B50" s="3">
        <v>343</v>
      </c>
      <c r="C50" s="20">
        <f t="shared" si="3"/>
        <v>1.690654574132492E-2</v>
      </c>
      <c r="D50" s="7" t="s">
        <v>64</v>
      </c>
      <c r="E50" s="7">
        <v>11</v>
      </c>
      <c r="F50" s="23">
        <v>0.12</v>
      </c>
      <c r="G50" s="7">
        <f t="shared" si="2"/>
        <v>20288</v>
      </c>
      <c r="H50" s="8">
        <v>-3.7516470528074999</v>
      </c>
      <c r="I50" s="8">
        <v>-38.600969744826699</v>
      </c>
      <c r="J50" s="5" t="str">
        <f t="shared" si="4"/>
        <v>Genibau; 343 Votos; 0,12%</v>
      </c>
    </row>
    <row r="51" spans="1:10" x14ac:dyDescent="0.25">
      <c r="A51" s="7">
        <v>78</v>
      </c>
      <c r="B51" s="3">
        <v>334</v>
      </c>
      <c r="C51" s="20">
        <f t="shared" si="3"/>
        <v>1.6462933753943219E-2</v>
      </c>
      <c r="D51" s="5" t="s">
        <v>98</v>
      </c>
      <c r="E51" s="7">
        <v>5</v>
      </c>
      <c r="F51" s="23">
        <v>0.75</v>
      </c>
      <c r="G51" s="7">
        <f t="shared" si="2"/>
        <v>20288</v>
      </c>
      <c r="H51" s="8">
        <v>-3.7933731956045</v>
      </c>
      <c r="I51" s="8">
        <v>-38.620273767964399</v>
      </c>
      <c r="J51" s="5" t="str">
        <f t="shared" si="4"/>
        <v>Granja Lisboa; 334 Votos; 0,75%</v>
      </c>
    </row>
    <row r="52" spans="1:10" x14ac:dyDescent="0.25">
      <c r="A52" s="7">
        <v>79</v>
      </c>
      <c r="B52" s="3">
        <v>358</v>
      </c>
      <c r="C52" s="20">
        <f t="shared" si="3"/>
        <v>1.7645899053627762E-2</v>
      </c>
      <c r="D52" s="5" t="s">
        <v>99</v>
      </c>
      <c r="E52" s="7">
        <v>5</v>
      </c>
      <c r="F52" s="23">
        <v>0.63</v>
      </c>
      <c r="G52" s="7">
        <f t="shared" si="2"/>
        <v>20288</v>
      </c>
      <c r="H52" s="8">
        <v>-3.7790253278716199</v>
      </c>
      <c r="I52" s="8">
        <v>-38.601168123088698</v>
      </c>
      <c r="J52" s="5" t="str">
        <f t="shared" si="4"/>
        <v>Granja Portugal; 358 Votos; 0,63%</v>
      </c>
    </row>
    <row r="53" spans="1:10" x14ac:dyDescent="0.25">
      <c r="A53" s="7">
        <v>59</v>
      </c>
      <c r="B53">
        <v>125</v>
      </c>
      <c r="C53" s="20">
        <f t="shared" si="3"/>
        <v>6.1612776025236592E-3</v>
      </c>
      <c r="D53" s="5" t="s">
        <v>79</v>
      </c>
      <c r="E53" s="7">
        <v>6</v>
      </c>
      <c r="F53" s="23">
        <v>7.0000000000000007E-2</v>
      </c>
      <c r="G53" s="7">
        <f t="shared" si="2"/>
        <v>20288</v>
      </c>
      <c r="H53" s="8">
        <v>-3.8312931400095298</v>
      </c>
      <c r="I53" s="8">
        <v>-38.480253466418297</v>
      </c>
      <c r="J53" s="5" t="str">
        <f t="shared" si="4"/>
        <v>Guajeru; 125 Votos; 0,07%</v>
      </c>
    </row>
    <row r="54" spans="1:10" x14ac:dyDescent="0.25">
      <c r="A54" s="7">
        <v>60</v>
      </c>
      <c r="B54">
        <v>13</v>
      </c>
      <c r="C54" s="20">
        <f t="shared" si="3"/>
        <v>6.407728706624606E-4</v>
      </c>
      <c r="D54" s="5" t="s">
        <v>80</v>
      </c>
      <c r="E54" s="7">
        <v>7</v>
      </c>
      <c r="F54" s="23">
        <v>0.02</v>
      </c>
      <c r="G54" s="7">
        <f t="shared" si="2"/>
        <v>20288</v>
      </c>
      <c r="H54" s="8">
        <v>-3.7648339675464899</v>
      </c>
      <c r="I54" s="8">
        <v>-38.486628571489</v>
      </c>
      <c r="J54" s="5" t="str">
        <f t="shared" si="4"/>
        <v>Guararapes; 13 Votos; 0,02%</v>
      </c>
    </row>
    <row r="55" spans="1:10" x14ac:dyDescent="0.25">
      <c r="A55" s="7">
        <v>45</v>
      </c>
      <c r="B55" s="3">
        <v>253</v>
      </c>
      <c r="C55" s="20">
        <f t="shared" si="3"/>
        <v>1.2470425867507887E-2</v>
      </c>
      <c r="D55" s="7" t="s">
        <v>65</v>
      </c>
      <c r="E55" s="7">
        <v>11</v>
      </c>
      <c r="F55" s="23">
        <v>0.53</v>
      </c>
      <c r="G55" s="7">
        <f t="shared" si="2"/>
        <v>20288</v>
      </c>
      <c r="H55" s="8">
        <v>-3.7650871411326698</v>
      </c>
      <c r="I55" s="8">
        <v>-38.584909699442299</v>
      </c>
      <c r="J55" s="5" t="str">
        <f t="shared" si="4"/>
        <v>Henrique Jorge; 253 Votos; 0,53%</v>
      </c>
    </row>
    <row r="56" spans="1:10" x14ac:dyDescent="0.25">
      <c r="A56" s="7">
        <v>98</v>
      </c>
      <c r="B56" s="3"/>
      <c r="C56" s="20">
        <f t="shared" si="3"/>
        <v>0</v>
      </c>
      <c r="D56" s="5" t="s">
        <v>118</v>
      </c>
      <c r="E56" s="7">
        <v>4</v>
      </c>
      <c r="F56" s="23">
        <v>0.01</v>
      </c>
      <c r="G56" s="7">
        <f t="shared" si="2"/>
        <v>20288</v>
      </c>
      <c r="H56" s="8">
        <v>-3.7712477296372899</v>
      </c>
      <c r="I56" s="8">
        <v>-38.5562904842132</v>
      </c>
      <c r="J56" s="5" t="str">
        <f t="shared" si="4"/>
        <v>Itaoca;  Votos; 0,01%</v>
      </c>
    </row>
    <row r="57" spans="1:10" x14ac:dyDescent="0.25">
      <c r="A57" s="7">
        <v>99</v>
      </c>
      <c r="B57">
        <v>117</v>
      </c>
      <c r="C57" s="20">
        <f t="shared" si="3"/>
        <v>5.7669558359621448E-3</v>
      </c>
      <c r="D57" s="5" t="s">
        <v>119</v>
      </c>
      <c r="E57" s="7">
        <v>8</v>
      </c>
      <c r="F57" s="23">
        <v>0.39</v>
      </c>
      <c r="G57" s="7">
        <f t="shared" si="2"/>
        <v>20288</v>
      </c>
      <c r="H57" s="8">
        <v>-3.7866840241715898</v>
      </c>
      <c r="I57" s="8">
        <v>-38.553120544833398</v>
      </c>
      <c r="J57" s="5" t="str">
        <f t="shared" si="4"/>
        <v>Itaperi; 117 Votos; 0,39%</v>
      </c>
    </row>
    <row r="58" spans="1:10" x14ac:dyDescent="0.25">
      <c r="A58" s="7">
        <v>18</v>
      </c>
      <c r="B58" s="3">
        <v>250</v>
      </c>
      <c r="C58" s="20">
        <f t="shared" si="3"/>
        <v>1.2322555205047318E-2</v>
      </c>
      <c r="D58" s="7" t="s">
        <v>38</v>
      </c>
      <c r="E58" s="7">
        <v>1</v>
      </c>
      <c r="F58" s="23">
        <v>0.66</v>
      </c>
      <c r="G58" s="7">
        <f t="shared" si="2"/>
        <v>20288</v>
      </c>
      <c r="H58" s="8">
        <v>-3.7233636491008499</v>
      </c>
      <c r="I58" s="8">
        <v>-38.543071831764003</v>
      </c>
      <c r="J58" s="5" t="str">
        <f t="shared" si="4"/>
        <v>Jacarecanga; 250 Votos; 0,66%</v>
      </c>
    </row>
    <row r="59" spans="1:10" x14ac:dyDescent="0.25">
      <c r="A59" s="7">
        <v>61</v>
      </c>
      <c r="B59">
        <v>636</v>
      </c>
      <c r="C59" s="20">
        <f t="shared" si="3"/>
        <v>3.1348580441640378E-2</v>
      </c>
      <c r="D59" s="5" t="s">
        <v>81</v>
      </c>
      <c r="E59" s="7">
        <v>9</v>
      </c>
      <c r="F59" s="23">
        <v>0.27</v>
      </c>
      <c r="G59" s="7">
        <f t="shared" si="2"/>
        <v>20288</v>
      </c>
      <c r="H59" s="8">
        <v>-3.8293916315480598</v>
      </c>
      <c r="I59" s="8">
        <v>-38.521109009752102</v>
      </c>
      <c r="J59" s="5" t="str">
        <f t="shared" si="4"/>
        <v>Jangurussu; 636 Votos; 0,27%</v>
      </c>
    </row>
    <row r="60" spans="1:10" x14ac:dyDescent="0.25">
      <c r="A60" s="7">
        <v>19</v>
      </c>
      <c r="B60">
        <v>29</v>
      </c>
      <c r="C60" s="20">
        <f t="shared" si="3"/>
        <v>1.429416403785489E-3</v>
      </c>
      <c r="D60" s="7" t="s">
        <v>39</v>
      </c>
      <c r="E60" s="7">
        <v>4</v>
      </c>
      <c r="F60" s="23">
        <v>0.15</v>
      </c>
      <c r="G60" s="7">
        <f t="shared" si="2"/>
        <v>20288</v>
      </c>
      <c r="H60" s="8">
        <v>-3.7518452293694602</v>
      </c>
      <c r="I60" s="8">
        <v>-38.539152524464903</v>
      </c>
      <c r="J60" s="5" t="str">
        <f t="shared" si="4"/>
        <v>Jardim America; 29 Votos; 0,15%</v>
      </c>
    </row>
    <row r="61" spans="1:10" x14ac:dyDescent="0.25">
      <c r="A61" s="7">
        <v>80</v>
      </c>
      <c r="B61" s="3">
        <v>38</v>
      </c>
      <c r="C61" s="20">
        <f t="shared" si="3"/>
        <v>1.8730283911671925E-3</v>
      </c>
      <c r="D61" s="5" t="s">
        <v>100</v>
      </c>
      <c r="E61" s="7">
        <v>10</v>
      </c>
      <c r="F61" s="23">
        <v>0.14000000000000001</v>
      </c>
      <c r="G61" s="7">
        <f t="shared" si="2"/>
        <v>20288</v>
      </c>
      <c r="H61" s="8">
        <v>-3.80031139104018</v>
      </c>
      <c r="I61" s="8">
        <v>-38.566177251244802</v>
      </c>
      <c r="J61" s="5" t="str">
        <f t="shared" si="4"/>
        <v>Jardim Cearense; 38 Votos; 0,14%</v>
      </c>
    </row>
    <row r="62" spans="1:10" x14ac:dyDescent="0.25">
      <c r="A62" s="7">
        <v>62</v>
      </c>
      <c r="B62">
        <v>488</v>
      </c>
      <c r="C62" s="20">
        <f t="shared" si="3"/>
        <v>2.4053627760252366E-2</v>
      </c>
      <c r="D62" s="5" t="s">
        <v>82</v>
      </c>
      <c r="E62" s="7">
        <v>6</v>
      </c>
      <c r="F62" s="23">
        <v>0.12</v>
      </c>
      <c r="G62" s="7">
        <f t="shared" si="2"/>
        <v>20288</v>
      </c>
      <c r="H62" s="8">
        <v>-3.7767846486459402</v>
      </c>
      <c r="I62" s="8">
        <v>-38.5007040130306</v>
      </c>
      <c r="J62" s="5" t="str">
        <f t="shared" si="4"/>
        <v>Jardim das Oliveiras; 488 Votos; 0,12%</v>
      </c>
    </row>
    <row r="63" spans="1:10" x14ac:dyDescent="0.25">
      <c r="A63" s="7">
        <v>20</v>
      </c>
      <c r="B63" s="3">
        <v>143</v>
      </c>
      <c r="C63" s="20">
        <f t="shared" si="3"/>
        <v>7.0485015772870667E-3</v>
      </c>
      <c r="D63" s="7" t="s">
        <v>40</v>
      </c>
      <c r="E63" s="7">
        <v>1</v>
      </c>
      <c r="F63" s="23">
        <v>1.78</v>
      </c>
      <c r="G63" s="7">
        <f t="shared" si="2"/>
        <v>20288</v>
      </c>
      <c r="H63" s="8">
        <v>-3.7239391281284799</v>
      </c>
      <c r="I63" s="8">
        <v>-38.589812341226803</v>
      </c>
      <c r="J63" s="5" t="str">
        <f t="shared" si="4"/>
        <v>Jardim Guanabara; 143 Votos; 1,78%</v>
      </c>
    </row>
    <row r="64" spans="1:10" x14ac:dyDescent="0.25">
      <c r="A64" s="7">
        <v>21</v>
      </c>
      <c r="B64" s="3">
        <v>341</v>
      </c>
      <c r="C64" s="20">
        <f t="shared" si="3"/>
        <v>1.6807965299684542E-2</v>
      </c>
      <c r="D64" s="7" t="s">
        <v>41</v>
      </c>
      <c r="E64" s="7">
        <v>1</v>
      </c>
      <c r="F64" s="23">
        <v>25.98</v>
      </c>
      <c r="G64" s="7">
        <f t="shared" si="2"/>
        <v>20288</v>
      </c>
      <c r="H64" s="8">
        <v>-3.7222030360943399</v>
      </c>
      <c r="I64" s="8">
        <v>-38.5836486181475</v>
      </c>
      <c r="J64" s="5" t="str">
        <f t="shared" si="4"/>
        <v>Jardim Iracema; 341 Votos; 25,98%</v>
      </c>
    </row>
    <row r="65" spans="1:10" x14ac:dyDescent="0.25">
      <c r="A65" s="7">
        <v>46</v>
      </c>
      <c r="B65" s="3">
        <v>165</v>
      </c>
      <c r="C65" s="20">
        <f t="shared" si="3"/>
        <v>8.13288643533123E-3</v>
      </c>
      <c r="D65" s="7" t="s">
        <v>66</v>
      </c>
      <c r="E65" s="7">
        <v>11</v>
      </c>
      <c r="F65" s="23">
        <v>0.38</v>
      </c>
      <c r="G65" s="7">
        <f t="shared" si="2"/>
        <v>20288</v>
      </c>
      <c r="H65" s="8">
        <v>-3.7680084807697298</v>
      </c>
      <c r="I65" s="8">
        <v>-38.5904359970529</v>
      </c>
      <c r="J65" s="5" t="str">
        <f t="shared" si="4"/>
        <v>João XXIII; 165 Votos; 0,38%</v>
      </c>
    </row>
    <row r="66" spans="1:10" x14ac:dyDescent="0.25">
      <c r="A66" s="7">
        <v>22</v>
      </c>
      <c r="B66">
        <v>67</v>
      </c>
      <c r="C66" s="20">
        <f t="shared" ref="C66:C97" si="5">B66/G66</f>
        <v>3.3024447949526812E-3</v>
      </c>
      <c r="D66" s="7" t="s">
        <v>42</v>
      </c>
      <c r="E66" s="7">
        <v>2</v>
      </c>
      <c r="F66" s="23">
        <v>0.26</v>
      </c>
      <c r="G66" s="7">
        <f t="shared" si="2"/>
        <v>20288</v>
      </c>
      <c r="H66" s="8">
        <v>-3.74778232790861</v>
      </c>
      <c r="I66" s="8">
        <v>-38.518867248309697</v>
      </c>
      <c r="J66" s="5" t="str">
        <f t="shared" ref="J66:J97" si="6">D66&amp;"; "&amp;B66&amp;" Votos; "&amp;F66&amp;"%"</f>
        <v>Joaquim Távora; 67 Votos; 0,26%</v>
      </c>
    </row>
    <row r="67" spans="1:10" x14ac:dyDescent="0.25">
      <c r="A67" s="7">
        <v>100</v>
      </c>
      <c r="B67" s="3">
        <v>131</v>
      </c>
      <c r="C67" s="20">
        <f t="shared" si="5"/>
        <v>6.4570189274447947E-3</v>
      </c>
      <c r="D67" s="5" t="s">
        <v>120</v>
      </c>
      <c r="E67" s="7">
        <v>11</v>
      </c>
      <c r="F67" s="23">
        <v>0.23</v>
      </c>
      <c r="G67" s="7">
        <f t="shared" ref="G67:G121" si="7">G66</f>
        <v>20288</v>
      </c>
      <c r="H67" s="8">
        <v>-3.7625262833534698</v>
      </c>
      <c r="I67" s="8">
        <v>-38.574086651965402</v>
      </c>
      <c r="J67" s="5" t="str">
        <f t="shared" si="6"/>
        <v>Jóquei Clube; 131 Votos; 0,23%</v>
      </c>
    </row>
    <row r="68" spans="1:10" x14ac:dyDescent="0.25">
      <c r="A68" s="7">
        <v>23</v>
      </c>
      <c r="B68">
        <v>58</v>
      </c>
      <c r="C68" s="20">
        <f t="shared" si="5"/>
        <v>2.8588328075709779E-3</v>
      </c>
      <c r="D68" s="7" t="s">
        <v>43</v>
      </c>
      <c r="E68" s="7">
        <v>4</v>
      </c>
      <c r="F68" s="23">
        <v>0.16</v>
      </c>
      <c r="G68" s="7">
        <f t="shared" si="7"/>
        <v>20288</v>
      </c>
      <c r="H68" s="8">
        <v>-3.7389948930849402</v>
      </c>
      <c r="I68" s="8">
        <v>-38.523995594970302</v>
      </c>
      <c r="J68" s="5" t="str">
        <f t="shared" si="6"/>
        <v>José Bonifácio; 58 Votos; 0,16%</v>
      </c>
    </row>
    <row r="69" spans="1:10" x14ac:dyDescent="0.25">
      <c r="A69" s="7">
        <v>49</v>
      </c>
      <c r="B69">
        <v>77</v>
      </c>
      <c r="C69" s="20">
        <f t="shared" si="5"/>
        <v>3.795347003154574E-3</v>
      </c>
      <c r="D69" s="7" t="s">
        <v>69</v>
      </c>
      <c r="E69" s="7">
        <v>6</v>
      </c>
      <c r="F69" s="23">
        <v>0.06</v>
      </c>
      <c r="G69" s="7">
        <f t="shared" si="7"/>
        <v>20288</v>
      </c>
      <c r="H69" s="8">
        <v>-3.8057596847658401</v>
      </c>
      <c r="I69" s="8">
        <v>-38.471245681105501</v>
      </c>
      <c r="J69" s="5" t="str">
        <f t="shared" si="6"/>
        <v>José de Alencar; 77 Votos; 0,06%</v>
      </c>
    </row>
    <row r="70" spans="1:10" x14ac:dyDescent="0.25">
      <c r="A70" s="7">
        <v>63</v>
      </c>
      <c r="B70">
        <v>269</v>
      </c>
      <c r="C70" s="20">
        <f t="shared" si="5"/>
        <v>1.3259069400630916E-2</v>
      </c>
      <c r="D70" s="5" t="s">
        <v>83</v>
      </c>
      <c r="E70" s="7">
        <v>6</v>
      </c>
      <c r="F70" s="23">
        <v>0.16</v>
      </c>
      <c r="G70" s="7">
        <f t="shared" si="7"/>
        <v>20288</v>
      </c>
      <c r="H70" s="8">
        <v>-3.8138564978180498</v>
      </c>
      <c r="I70" s="8">
        <v>-38.466000188963399</v>
      </c>
      <c r="J70" s="5" t="str">
        <f t="shared" si="6"/>
        <v>Lagoa Redonda; 269 Votos; 0,16%</v>
      </c>
    </row>
    <row r="71" spans="1:10" x14ac:dyDescent="0.25">
      <c r="A71" s="7">
        <v>81</v>
      </c>
      <c r="B71" s="3">
        <v>99</v>
      </c>
      <c r="C71" s="20">
        <f t="shared" si="5"/>
        <v>4.8797318611987382E-3</v>
      </c>
      <c r="D71" s="5" t="s">
        <v>101</v>
      </c>
      <c r="E71" s="7">
        <v>10</v>
      </c>
      <c r="F71" s="23">
        <v>0.39</v>
      </c>
      <c r="G71" s="7">
        <f t="shared" si="7"/>
        <v>20288</v>
      </c>
      <c r="H71" s="8">
        <v>-3.7975320259768401</v>
      </c>
      <c r="I71" s="8">
        <v>-38.580770879845801</v>
      </c>
      <c r="J71" s="5" t="str">
        <f t="shared" si="6"/>
        <v>Manoel Sátiro; 99 Votos; 0,39%</v>
      </c>
    </row>
    <row r="72" spans="1:10" x14ac:dyDescent="0.25">
      <c r="A72" s="7">
        <v>110</v>
      </c>
      <c r="C72" s="20">
        <f t="shared" si="5"/>
        <v>0</v>
      </c>
      <c r="D72" s="7" t="s">
        <v>130</v>
      </c>
      <c r="E72" s="7">
        <v>7</v>
      </c>
      <c r="F72" s="23">
        <v>0</v>
      </c>
      <c r="G72" s="7">
        <f t="shared" si="7"/>
        <v>20288</v>
      </c>
      <c r="H72" s="8">
        <v>-3.75642777859143</v>
      </c>
      <c r="I72" s="8">
        <v>-38.456780907749</v>
      </c>
      <c r="J72" s="5" t="str">
        <f t="shared" si="6"/>
        <v>Manuel Dias Branco;  Votos; 0%</v>
      </c>
    </row>
    <row r="73" spans="1:10" x14ac:dyDescent="0.25">
      <c r="A73" s="7">
        <v>82</v>
      </c>
      <c r="B73" s="3">
        <v>39</v>
      </c>
      <c r="C73" s="20">
        <f t="shared" si="5"/>
        <v>1.9223186119873817E-3</v>
      </c>
      <c r="D73" s="5" t="s">
        <v>102</v>
      </c>
      <c r="E73" s="7">
        <v>10</v>
      </c>
      <c r="F73" s="23">
        <v>0.1</v>
      </c>
      <c r="G73" s="7">
        <f t="shared" si="7"/>
        <v>20288</v>
      </c>
      <c r="H73" s="8">
        <v>-3.8001163536715401</v>
      </c>
      <c r="I73" s="8">
        <v>-38.572654338560803</v>
      </c>
      <c r="J73" s="5" t="str">
        <f t="shared" si="6"/>
        <v>Maraponga; 39 Votos; 0,1%</v>
      </c>
    </row>
    <row r="74" spans="1:10" x14ac:dyDescent="0.25">
      <c r="A74" s="7">
        <v>24</v>
      </c>
      <c r="B74">
        <v>63</v>
      </c>
      <c r="C74" s="20">
        <f t="shared" si="5"/>
        <v>3.1052839116719245E-3</v>
      </c>
      <c r="D74" s="7" t="s">
        <v>44</v>
      </c>
      <c r="E74" s="7">
        <v>2</v>
      </c>
      <c r="F74" s="23">
        <v>0.5</v>
      </c>
      <c r="G74" s="7">
        <f t="shared" si="7"/>
        <v>20288</v>
      </c>
      <c r="H74" s="8">
        <v>-3.7269179692477898</v>
      </c>
      <c r="I74" s="8">
        <v>-38.5046842194972</v>
      </c>
      <c r="J74" s="5" t="str">
        <f t="shared" si="6"/>
        <v>Meireles; 63 Votos; 0,5%</v>
      </c>
    </row>
    <row r="75" spans="1:10" x14ac:dyDescent="0.25">
      <c r="A75" s="7">
        <v>65</v>
      </c>
      <c r="B75">
        <v>851</v>
      </c>
      <c r="C75" s="20">
        <f t="shared" si="5"/>
        <v>4.1945977917981075E-2</v>
      </c>
      <c r="D75" s="5" t="s">
        <v>85</v>
      </c>
      <c r="E75" s="7">
        <v>6</v>
      </c>
      <c r="F75" s="23">
        <v>0.69</v>
      </c>
      <c r="G75" s="7">
        <f t="shared" si="7"/>
        <v>20288</v>
      </c>
      <c r="H75" s="8">
        <v>-3.8215893626984299</v>
      </c>
      <c r="I75" s="8">
        <v>-38.481614036021597</v>
      </c>
      <c r="J75" s="5" t="str">
        <f t="shared" si="6"/>
        <v>Messejana; 851 Votos; 0,69%</v>
      </c>
    </row>
    <row r="76" spans="1:10" x14ac:dyDescent="0.25">
      <c r="A76" s="7">
        <v>83</v>
      </c>
      <c r="B76">
        <v>402</v>
      </c>
      <c r="C76" s="20">
        <f t="shared" si="5"/>
        <v>1.981466876971609E-2</v>
      </c>
      <c r="D76" s="5" t="s">
        <v>103</v>
      </c>
      <c r="E76" s="7">
        <v>10</v>
      </c>
      <c r="F76" s="23">
        <v>0.34</v>
      </c>
      <c r="G76" s="7">
        <f t="shared" si="7"/>
        <v>20288</v>
      </c>
      <c r="H76" s="8">
        <v>-3.8125792178685902</v>
      </c>
      <c r="I76" s="8">
        <v>-38.569573265927303</v>
      </c>
      <c r="J76" s="5" t="str">
        <f t="shared" si="6"/>
        <v>Mondubim; 402 Votos; 0,34%</v>
      </c>
    </row>
    <row r="77" spans="1:10" x14ac:dyDescent="0.25">
      <c r="A77" s="7">
        <v>25</v>
      </c>
      <c r="B77" s="3">
        <v>291</v>
      </c>
      <c r="C77" s="20">
        <f t="shared" si="5"/>
        <v>1.4343454258675078E-2</v>
      </c>
      <c r="D77" s="7" t="s">
        <v>45</v>
      </c>
      <c r="E77" s="7">
        <v>3</v>
      </c>
      <c r="F77" s="23">
        <v>1.31</v>
      </c>
      <c r="G77" s="7">
        <f t="shared" si="7"/>
        <v>20288</v>
      </c>
      <c r="H77" s="8">
        <v>-3.7271800547323499</v>
      </c>
      <c r="I77" s="8">
        <v>-38.547194970918603</v>
      </c>
      <c r="J77" s="5" t="str">
        <f t="shared" si="6"/>
        <v>Monte Castelo; 291 Votos; 1,31%</v>
      </c>
    </row>
    <row r="78" spans="1:10" x14ac:dyDescent="0.25">
      <c r="A78" s="7">
        <v>101</v>
      </c>
      <c r="B78">
        <v>89</v>
      </c>
      <c r="C78" s="20">
        <f t="shared" si="5"/>
        <v>4.386829652996845E-3</v>
      </c>
      <c r="D78" s="5" t="s">
        <v>121</v>
      </c>
      <c r="E78" s="7">
        <v>4</v>
      </c>
      <c r="F78" s="23">
        <v>0.91</v>
      </c>
      <c r="G78" s="7">
        <f t="shared" si="7"/>
        <v>20288</v>
      </c>
      <c r="H78" s="8">
        <v>-3.75917775823928</v>
      </c>
      <c r="I78" s="8">
        <v>-38.556057834356501</v>
      </c>
      <c r="J78" s="5" t="str">
        <f t="shared" si="6"/>
        <v>Montese; 89 Votos; 0,91%</v>
      </c>
    </row>
    <row r="79" spans="1:10" x14ac:dyDescent="0.25">
      <c r="A79" s="7">
        <v>5</v>
      </c>
      <c r="B79" s="3">
        <v>44</v>
      </c>
      <c r="C79" s="20">
        <f t="shared" si="5"/>
        <v>2.168769716088328E-3</v>
      </c>
      <c r="D79" s="7" t="s">
        <v>25</v>
      </c>
      <c r="E79" s="7">
        <v>12</v>
      </c>
      <c r="F79" s="23">
        <v>1.29</v>
      </c>
      <c r="G79" s="7">
        <f t="shared" si="7"/>
        <v>20288</v>
      </c>
      <c r="H79" s="8">
        <v>-3.7184777140240799</v>
      </c>
      <c r="I79" s="8">
        <v>-38.532559596432002</v>
      </c>
      <c r="J79" s="5" t="str">
        <f t="shared" si="6"/>
        <v>Moura Brasil; 44 Votos; 1,29%</v>
      </c>
    </row>
    <row r="80" spans="1:10" x14ac:dyDescent="0.25">
      <c r="A80" s="7">
        <v>26</v>
      </c>
      <c r="B80">
        <v>249</v>
      </c>
      <c r="C80" s="20">
        <f t="shared" si="5"/>
        <v>1.2273264984227129E-2</v>
      </c>
      <c r="D80" s="7" t="s">
        <v>46</v>
      </c>
      <c r="E80" s="7">
        <v>2</v>
      </c>
      <c r="F80" s="23">
        <v>0.09</v>
      </c>
      <c r="G80" s="7">
        <f t="shared" si="7"/>
        <v>20288</v>
      </c>
      <c r="H80" s="8">
        <v>-3.7254466302023399</v>
      </c>
      <c r="I80" s="8">
        <v>-38.4838066068139</v>
      </c>
      <c r="J80" s="5" t="str">
        <f t="shared" si="6"/>
        <v>Mucuripe; 249 Votos; 0,09%</v>
      </c>
    </row>
    <row r="81" spans="1:10" x14ac:dyDescent="0.25">
      <c r="A81" s="7">
        <v>117</v>
      </c>
      <c r="B81" s="3">
        <v>20</v>
      </c>
      <c r="C81" s="20">
        <f t="shared" si="5"/>
        <v>9.8580441640378543E-4</v>
      </c>
      <c r="D81" s="7" t="s">
        <v>137</v>
      </c>
      <c r="E81" s="7">
        <v>10</v>
      </c>
      <c r="F81" s="23">
        <v>0.06</v>
      </c>
      <c r="G81" s="7">
        <f t="shared" si="7"/>
        <v>20288</v>
      </c>
      <c r="H81" s="8">
        <v>-3.8131898120131198</v>
      </c>
      <c r="I81" s="8">
        <v>-38.586563691754797</v>
      </c>
      <c r="J81" s="5" t="str">
        <f t="shared" si="6"/>
        <v>Novo Mondubim; 20 Votos; 0,06%</v>
      </c>
    </row>
    <row r="82" spans="1:10" x14ac:dyDescent="0.25">
      <c r="A82" s="7">
        <v>118</v>
      </c>
      <c r="B82" s="3"/>
      <c r="C82" s="20">
        <f t="shared" si="5"/>
        <v>0</v>
      </c>
      <c r="D82" s="7" t="s">
        <v>138</v>
      </c>
      <c r="E82" s="7">
        <v>3</v>
      </c>
      <c r="F82" s="23">
        <v>0</v>
      </c>
      <c r="G82" s="7">
        <f t="shared" si="7"/>
        <v>20288</v>
      </c>
      <c r="H82" s="8">
        <v>-3.7291007990209999</v>
      </c>
      <c r="I82" s="8">
        <v>-38.589731419797097</v>
      </c>
      <c r="J82" s="5" t="str">
        <f t="shared" si="6"/>
        <v>Olavo Oliveira;  Votos; 0%</v>
      </c>
    </row>
    <row r="83" spans="1:10" x14ac:dyDescent="0.25">
      <c r="A83" s="7">
        <v>47</v>
      </c>
      <c r="B83" s="3">
        <v>153</v>
      </c>
      <c r="C83" s="20">
        <f t="shared" si="5"/>
        <v>7.5414037854889589E-3</v>
      </c>
      <c r="D83" s="7" t="s">
        <v>67</v>
      </c>
      <c r="E83" s="7">
        <v>3</v>
      </c>
      <c r="F83" s="23">
        <v>9.89</v>
      </c>
      <c r="G83" s="7">
        <f t="shared" si="7"/>
        <v>20288</v>
      </c>
      <c r="H83" s="8">
        <v>-3.7315025216373301</v>
      </c>
      <c r="I83" s="8">
        <v>-38.580920308954497</v>
      </c>
      <c r="J83" s="5" t="str">
        <f t="shared" si="6"/>
        <v>Padre Andrade; 153 Votos; 9,89%</v>
      </c>
    </row>
    <row r="84" spans="1:10" x14ac:dyDescent="0.25">
      <c r="A84" s="7">
        <v>102</v>
      </c>
      <c r="B84" s="3">
        <v>29</v>
      </c>
      <c r="C84" s="20">
        <f t="shared" si="5"/>
        <v>1.429416403785489E-3</v>
      </c>
      <c r="D84" s="5" t="s">
        <v>122</v>
      </c>
      <c r="E84" s="7">
        <v>11</v>
      </c>
      <c r="F84" s="23">
        <v>0.17</v>
      </c>
      <c r="G84" s="7">
        <f t="shared" si="7"/>
        <v>20288</v>
      </c>
      <c r="H84" s="8">
        <v>-3.7573760474097702</v>
      </c>
      <c r="I84" s="8">
        <v>-38.565319377017701</v>
      </c>
      <c r="J84" s="5" t="str">
        <f t="shared" si="6"/>
        <v>Panamericano; 29 Votos; 0,17%</v>
      </c>
    </row>
    <row r="85" spans="1:10" x14ac:dyDescent="0.25">
      <c r="A85" s="7">
        <v>27</v>
      </c>
      <c r="B85">
        <v>179</v>
      </c>
      <c r="C85" s="20">
        <f t="shared" si="5"/>
        <v>8.8229495268138808E-3</v>
      </c>
      <c r="D85" s="7" t="s">
        <v>47</v>
      </c>
      <c r="E85" s="7">
        <v>2</v>
      </c>
      <c r="F85" s="23">
        <v>0.23</v>
      </c>
      <c r="G85" s="7">
        <f t="shared" si="7"/>
        <v>20288</v>
      </c>
      <c r="H85" s="8">
        <v>-3.7427354585609498</v>
      </c>
      <c r="I85" s="8">
        <v>-38.468499998558499</v>
      </c>
      <c r="J85" s="5" t="str">
        <f t="shared" si="6"/>
        <v>Papicu; 179 Votos; 0,23%</v>
      </c>
    </row>
    <row r="86" spans="1:10" x14ac:dyDescent="0.25">
      <c r="A86" s="7">
        <v>103</v>
      </c>
      <c r="B86" s="3">
        <v>178</v>
      </c>
      <c r="C86" s="20">
        <f t="shared" si="5"/>
        <v>8.7736593059936901E-3</v>
      </c>
      <c r="D86" s="7" t="s">
        <v>123</v>
      </c>
      <c r="E86" s="7">
        <v>4</v>
      </c>
      <c r="F86" s="23">
        <v>1.04</v>
      </c>
      <c r="G86" s="7">
        <f t="shared" si="7"/>
        <v>20288</v>
      </c>
      <c r="H86" s="8">
        <v>-3.76812127559056</v>
      </c>
      <c r="I86" s="8">
        <v>-38.560748431647703</v>
      </c>
      <c r="J86" s="5" t="str">
        <f t="shared" si="6"/>
        <v>Parangaba; 178 Votos; 1,04%</v>
      </c>
    </row>
    <row r="87" spans="1:10" x14ac:dyDescent="0.25">
      <c r="A87" s="7">
        <v>28</v>
      </c>
      <c r="B87" s="3">
        <v>1</v>
      </c>
      <c r="C87" s="20">
        <f t="shared" si="5"/>
        <v>4.9290220820189273E-5</v>
      </c>
      <c r="D87" s="7" t="s">
        <v>48</v>
      </c>
      <c r="E87" s="7">
        <v>3</v>
      </c>
      <c r="F87" s="23">
        <v>0</v>
      </c>
      <c r="G87" s="7">
        <f t="shared" si="7"/>
        <v>20288</v>
      </c>
      <c r="H87" s="8">
        <v>-3.7318430325170402</v>
      </c>
      <c r="I87" s="8">
        <v>-38.545285153576103</v>
      </c>
      <c r="J87" s="5" t="str">
        <f t="shared" si="6"/>
        <v>Parque Araxá; 1 Votos; 0%</v>
      </c>
    </row>
    <row r="88" spans="1:10" x14ac:dyDescent="0.25">
      <c r="A88" s="7">
        <v>84</v>
      </c>
      <c r="B88">
        <v>120</v>
      </c>
      <c r="C88" s="20">
        <f t="shared" si="5"/>
        <v>5.9148264984227126E-3</v>
      </c>
      <c r="D88" s="5" t="s">
        <v>104</v>
      </c>
      <c r="E88" s="7">
        <v>8</v>
      </c>
      <c r="F88" s="23">
        <v>0.18</v>
      </c>
      <c r="G88" s="7">
        <f t="shared" si="7"/>
        <v>20288</v>
      </c>
      <c r="H88" s="8">
        <v>-3.80317693812944</v>
      </c>
      <c r="I88" s="8">
        <v>-38.551264647704897</v>
      </c>
      <c r="J88" s="5" t="str">
        <f t="shared" si="6"/>
        <v>Parque Dois Irmãos; 120 Votos; 0,18%</v>
      </c>
    </row>
    <row r="89" spans="1:10" x14ac:dyDescent="0.25">
      <c r="A89" s="7">
        <v>66</v>
      </c>
      <c r="C89" s="20">
        <f t="shared" si="5"/>
        <v>0</v>
      </c>
      <c r="D89" s="5" t="s">
        <v>86</v>
      </c>
      <c r="E89" s="7">
        <v>6</v>
      </c>
      <c r="F89" s="23">
        <v>0</v>
      </c>
      <c r="G89" s="7">
        <f t="shared" si="7"/>
        <v>20288</v>
      </c>
      <c r="H89" s="8">
        <v>-3.8004820224838798</v>
      </c>
      <c r="I89" s="8">
        <v>-38.497777334654103</v>
      </c>
      <c r="J89" s="5" t="str">
        <f t="shared" si="6"/>
        <v>Parque Iracema;  Votos; 0%</v>
      </c>
    </row>
    <row r="90" spans="1:10" x14ac:dyDescent="0.25">
      <c r="A90" s="7">
        <v>67</v>
      </c>
      <c r="B90">
        <v>24</v>
      </c>
      <c r="C90" s="20">
        <f t="shared" si="5"/>
        <v>1.1829652996845426E-3</v>
      </c>
      <c r="D90" s="5" t="s">
        <v>87</v>
      </c>
      <c r="E90" s="7">
        <v>6</v>
      </c>
      <c r="F90" s="23">
        <v>0.04</v>
      </c>
      <c r="G90" s="7">
        <f t="shared" si="7"/>
        <v>20288</v>
      </c>
      <c r="H90" s="8">
        <v>-3.7881357501423598</v>
      </c>
      <c r="I90" s="8">
        <v>-38.4797857719646</v>
      </c>
      <c r="J90" s="5" t="str">
        <f t="shared" si="6"/>
        <v>Parque Manibura; 24 Votos; 0,04%</v>
      </c>
    </row>
    <row r="91" spans="1:10" x14ac:dyDescent="0.25">
      <c r="A91" s="7">
        <v>119</v>
      </c>
      <c r="B91">
        <v>183</v>
      </c>
      <c r="C91" s="20">
        <f t="shared" si="5"/>
        <v>9.0201104100946367E-3</v>
      </c>
      <c r="D91" s="5" t="s">
        <v>259</v>
      </c>
      <c r="E91" s="7">
        <v>9</v>
      </c>
      <c r="F91" s="23">
        <v>0.11</v>
      </c>
      <c r="G91" s="7">
        <f t="shared" si="7"/>
        <v>20288</v>
      </c>
      <c r="H91" s="8">
        <v>-3.8515016361285799</v>
      </c>
      <c r="I91" s="8">
        <v>-38.501747907480699</v>
      </c>
      <c r="J91" s="5" t="str">
        <f t="shared" si="6"/>
        <v>Parque Santa Maria; 183 Votos; 0,11%</v>
      </c>
    </row>
    <row r="92" spans="1:10" x14ac:dyDescent="0.25">
      <c r="A92" s="7">
        <v>87</v>
      </c>
      <c r="B92" s="3">
        <v>37</v>
      </c>
      <c r="C92" s="20">
        <f t="shared" si="5"/>
        <v>1.8237381703470031E-3</v>
      </c>
      <c r="D92" s="5" t="s">
        <v>107</v>
      </c>
      <c r="E92" s="7">
        <v>10</v>
      </c>
      <c r="F92" s="23">
        <v>0.06</v>
      </c>
      <c r="G92" s="7">
        <f t="shared" si="7"/>
        <v>20288</v>
      </c>
      <c r="H92" s="8">
        <v>-3.8223671671801198</v>
      </c>
      <c r="I92" s="8">
        <v>-38.594584402390701</v>
      </c>
      <c r="J92" s="5" t="str">
        <f t="shared" si="6"/>
        <v>Parque Santa Rosa; 37 Votos; 0,06%</v>
      </c>
    </row>
    <row r="93" spans="1:10" x14ac:dyDescent="0.25">
      <c r="A93" s="7">
        <v>86</v>
      </c>
      <c r="B93" s="3">
        <v>24</v>
      </c>
      <c r="C93" s="20">
        <f t="shared" si="5"/>
        <v>1.1829652996845426E-3</v>
      </c>
      <c r="D93" s="5" t="s">
        <v>106</v>
      </c>
      <c r="E93" s="7">
        <v>10</v>
      </c>
      <c r="F93" s="23">
        <v>0.05</v>
      </c>
      <c r="G93" s="7">
        <f t="shared" si="7"/>
        <v>20288</v>
      </c>
      <c r="H93" s="8">
        <v>-3.79783072329964</v>
      </c>
      <c r="I93" s="8">
        <v>-38.590598041131202</v>
      </c>
      <c r="J93" s="5" t="str">
        <f t="shared" si="6"/>
        <v>Parque São José; 24 Votos; 0,05%</v>
      </c>
    </row>
    <row r="94" spans="1:10" x14ac:dyDescent="0.25">
      <c r="A94" s="7">
        <v>29</v>
      </c>
      <c r="B94" s="3">
        <v>93</v>
      </c>
      <c r="C94" s="20">
        <f t="shared" si="5"/>
        <v>4.5839905362776026E-3</v>
      </c>
      <c r="D94" s="7" t="s">
        <v>49</v>
      </c>
      <c r="E94" s="7">
        <v>3</v>
      </c>
      <c r="F94" s="23">
        <v>0.99</v>
      </c>
      <c r="G94" s="7">
        <f t="shared" si="7"/>
        <v>20288</v>
      </c>
      <c r="H94" s="8">
        <v>-3.7347275762507501</v>
      </c>
      <c r="I94" s="8">
        <v>-38.555990528856903</v>
      </c>
      <c r="J94" s="5" t="str">
        <f t="shared" si="6"/>
        <v>Parquelândia; 93 Votos; 0,99%</v>
      </c>
    </row>
    <row r="95" spans="1:10" x14ac:dyDescent="0.25">
      <c r="A95" s="7">
        <v>30</v>
      </c>
      <c r="C95" s="20">
        <f t="shared" si="5"/>
        <v>0</v>
      </c>
      <c r="D95" s="7" t="s">
        <v>50</v>
      </c>
      <c r="E95" s="7">
        <v>4</v>
      </c>
      <c r="F95" s="23">
        <v>0</v>
      </c>
      <c r="G95" s="7">
        <f t="shared" si="7"/>
        <v>20288</v>
      </c>
      <c r="H95" s="8">
        <v>-3.7558570492956802</v>
      </c>
      <c r="I95" s="8">
        <v>-38.535462921719599</v>
      </c>
      <c r="J95" s="5" t="str">
        <f t="shared" si="6"/>
        <v>Parreão;  Votos; 0%</v>
      </c>
    </row>
    <row r="96" spans="1:10" x14ac:dyDescent="0.25">
      <c r="A96" s="7">
        <v>88</v>
      </c>
      <c r="B96">
        <v>448</v>
      </c>
      <c r="C96" s="20">
        <f t="shared" si="5"/>
        <v>2.2082018927444796E-2</v>
      </c>
      <c r="D96" s="5" t="s">
        <v>108</v>
      </c>
      <c r="E96" s="7">
        <v>8</v>
      </c>
      <c r="F96" s="23">
        <v>0.44</v>
      </c>
      <c r="G96" s="7">
        <f t="shared" si="7"/>
        <v>20288</v>
      </c>
      <c r="H96" s="8">
        <v>-3.80941285034221</v>
      </c>
      <c r="I96" s="8">
        <v>-38.533537673745897</v>
      </c>
      <c r="J96" s="5" t="str">
        <f t="shared" si="6"/>
        <v>Passaré; 448 Votos; 0,44%</v>
      </c>
    </row>
    <row r="97" spans="1:10" x14ac:dyDescent="0.25">
      <c r="A97" s="7">
        <v>68</v>
      </c>
      <c r="B97">
        <v>110</v>
      </c>
      <c r="C97" s="20">
        <f t="shared" si="5"/>
        <v>5.4219242902208203E-3</v>
      </c>
      <c r="D97" s="5" t="s">
        <v>88</v>
      </c>
      <c r="E97" s="7">
        <v>6</v>
      </c>
      <c r="F97" s="23">
        <v>7.0000000000000007E-2</v>
      </c>
      <c r="G97" s="7">
        <f t="shared" si="7"/>
        <v>20288</v>
      </c>
      <c r="H97" s="8">
        <v>-3.8415735059676401</v>
      </c>
      <c r="I97" s="8">
        <v>-38.486575454319798</v>
      </c>
      <c r="J97" s="5" t="str">
        <f t="shared" si="6"/>
        <v>Paupina; 110 Votos; 0,07%</v>
      </c>
    </row>
    <row r="98" spans="1:10" x14ac:dyDescent="0.25">
      <c r="A98" s="7">
        <v>69</v>
      </c>
      <c r="B98">
        <v>86</v>
      </c>
      <c r="C98" s="20">
        <f t="shared" ref="C98:C122" si="8">B98/G98</f>
        <v>4.2389589905362773E-3</v>
      </c>
      <c r="D98" s="5" t="s">
        <v>89</v>
      </c>
      <c r="E98" s="7">
        <v>9</v>
      </c>
      <c r="F98" s="23">
        <v>0</v>
      </c>
      <c r="G98" s="7">
        <f t="shared" si="7"/>
        <v>20288</v>
      </c>
      <c r="H98" s="8">
        <v>-3.8776924642431698</v>
      </c>
      <c r="I98" s="8">
        <v>-38.514859109158003</v>
      </c>
      <c r="J98" s="5" t="str">
        <f t="shared" ref="J98:J122" si="9">D98&amp;"; "&amp;B98&amp;" Votos; "&amp;F98&amp;"%"</f>
        <v>Pedras; 86 Votos; 0%</v>
      </c>
    </row>
    <row r="99" spans="1:10" x14ac:dyDescent="0.25">
      <c r="A99" s="7">
        <v>104</v>
      </c>
      <c r="B99" s="3">
        <v>58</v>
      </c>
      <c r="C99" s="20">
        <f t="shared" si="8"/>
        <v>2.8588328075709779E-3</v>
      </c>
      <c r="D99" s="5" t="s">
        <v>124</v>
      </c>
      <c r="E99" s="7">
        <v>11</v>
      </c>
      <c r="F99" s="23">
        <v>0.48</v>
      </c>
      <c r="G99" s="7">
        <f t="shared" si="7"/>
        <v>20288</v>
      </c>
      <c r="H99" s="8">
        <v>-3.7448876903495401</v>
      </c>
      <c r="I99" s="8">
        <v>-38.573751950840801</v>
      </c>
      <c r="J99" s="5" t="str">
        <f t="shared" si="9"/>
        <v>Pici; 58 Votos; 0,48%</v>
      </c>
    </row>
    <row r="100" spans="1:10" x14ac:dyDescent="0.25">
      <c r="A100" s="7">
        <v>31</v>
      </c>
      <c r="B100" s="3">
        <v>228</v>
      </c>
      <c r="C100" s="20">
        <f t="shared" si="8"/>
        <v>1.1238170347003154E-2</v>
      </c>
      <c r="D100" s="7" t="s">
        <v>51</v>
      </c>
      <c r="E100" s="7">
        <v>1</v>
      </c>
      <c r="F100" s="23">
        <v>0.79</v>
      </c>
      <c r="G100" s="7">
        <f t="shared" si="7"/>
        <v>20288</v>
      </c>
      <c r="H100" s="8">
        <v>-3.7124091028720398</v>
      </c>
      <c r="I100" s="8">
        <v>-38.551287597929999</v>
      </c>
      <c r="J100" s="5" t="str">
        <f t="shared" si="9"/>
        <v>Pirambu; 228 Votos; 0,79%</v>
      </c>
    </row>
    <row r="101" spans="1:10" x14ac:dyDescent="0.25">
      <c r="A101" s="7">
        <v>114</v>
      </c>
      <c r="B101">
        <v>377</v>
      </c>
      <c r="C101" s="20">
        <f t="shared" si="8"/>
        <v>1.8582413249211355E-2</v>
      </c>
      <c r="D101" s="7" t="s">
        <v>134</v>
      </c>
      <c r="E101" s="7">
        <v>8</v>
      </c>
      <c r="F101" s="23">
        <v>0.15</v>
      </c>
      <c r="G101" s="7">
        <f t="shared" si="7"/>
        <v>20288</v>
      </c>
      <c r="H101" s="8">
        <v>-3.8320958197683002</v>
      </c>
      <c r="I101" s="8">
        <v>-38.569799806885698</v>
      </c>
      <c r="J101" s="5" t="str">
        <f t="shared" si="9"/>
        <v>Planalto Ayrton Senna; 377 Votos; 0,15%</v>
      </c>
    </row>
    <row r="102" spans="1:10" x14ac:dyDescent="0.25">
      <c r="A102" s="7">
        <v>85</v>
      </c>
      <c r="B102" s="3">
        <v>112</v>
      </c>
      <c r="C102" s="20">
        <f t="shared" si="8"/>
        <v>5.5205047318611991E-3</v>
      </c>
      <c r="D102" s="5" t="s">
        <v>105</v>
      </c>
      <c r="E102" s="7">
        <v>10</v>
      </c>
      <c r="F102" s="23">
        <v>0.11</v>
      </c>
      <c r="G102" s="7">
        <f t="shared" si="7"/>
        <v>20288</v>
      </c>
      <c r="H102" s="8">
        <v>-3.8213894948300702</v>
      </c>
      <c r="I102" s="8">
        <v>-38.599709975632898</v>
      </c>
      <c r="J102" s="5" t="str">
        <f t="shared" si="9"/>
        <v>Pq Presidente Vargas; 112 Votos; 0,11%</v>
      </c>
    </row>
    <row r="103" spans="1:10" x14ac:dyDescent="0.25">
      <c r="A103" s="7">
        <v>32</v>
      </c>
      <c r="B103">
        <v>139</v>
      </c>
      <c r="C103" s="20">
        <f t="shared" si="8"/>
        <v>6.8513406940063091E-3</v>
      </c>
      <c r="D103" s="7" t="s">
        <v>52</v>
      </c>
      <c r="E103" s="7">
        <v>12</v>
      </c>
      <c r="F103" s="23">
        <v>0.45</v>
      </c>
      <c r="G103" s="7">
        <f t="shared" si="7"/>
        <v>20288</v>
      </c>
      <c r="H103" s="8">
        <v>-3.7200552037859902</v>
      </c>
      <c r="I103" s="8">
        <v>-38.519751439686502</v>
      </c>
      <c r="J103" s="5" t="str">
        <f t="shared" si="9"/>
        <v>Praia de Iracema; 139 Votos; 0,45%</v>
      </c>
    </row>
    <row r="104" spans="1:10" x14ac:dyDescent="0.25">
      <c r="A104" s="7">
        <v>111</v>
      </c>
      <c r="C104" s="20">
        <f t="shared" si="8"/>
        <v>0</v>
      </c>
      <c r="D104" s="7" t="s">
        <v>131</v>
      </c>
      <c r="E104" s="7">
        <v>7</v>
      </c>
      <c r="F104" s="23">
        <v>0</v>
      </c>
      <c r="G104" s="7">
        <f t="shared" si="7"/>
        <v>20288</v>
      </c>
      <c r="H104" s="8">
        <v>-3.73118536223354</v>
      </c>
      <c r="I104" s="8">
        <v>-38.4619773055717</v>
      </c>
      <c r="J104" s="5" t="str">
        <f t="shared" si="9"/>
        <v>Praia do Futuro I;  Votos; 0%</v>
      </c>
    </row>
    <row r="105" spans="1:10" x14ac:dyDescent="0.25">
      <c r="A105" s="7">
        <v>112</v>
      </c>
      <c r="B105">
        <v>54</v>
      </c>
      <c r="C105" s="20">
        <f t="shared" si="8"/>
        <v>2.6616719242902208E-3</v>
      </c>
      <c r="D105" s="7" t="s">
        <v>132</v>
      </c>
      <c r="E105" s="7">
        <v>7</v>
      </c>
      <c r="F105" s="23">
        <v>0.05</v>
      </c>
      <c r="G105" s="7">
        <f t="shared" si="7"/>
        <v>20288</v>
      </c>
      <c r="H105" s="8">
        <v>-3.7633037355366801</v>
      </c>
      <c r="I105" s="8">
        <v>-38.442526558033101</v>
      </c>
      <c r="J105" s="5" t="str">
        <f t="shared" si="9"/>
        <v>Praia do Futuro II; 54 Votos; 0,05%</v>
      </c>
    </row>
    <row r="106" spans="1:10" x14ac:dyDescent="0.25">
      <c r="A106" s="7">
        <v>89</v>
      </c>
      <c r="B106">
        <v>674</v>
      </c>
      <c r="C106" s="20">
        <f t="shared" si="8"/>
        <v>3.3221608832807573E-2</v>
      </c>
      <c r="D106" s="5" t="s">
        <v>109</v>
      </c>
      <c r="E106" s="7">
        <v>8</v>
      </c>
      <c r="F106" s="23">
        <v>0.66</v>
      </c>
      <c r="G106" s="7">
        <f>G104</f>
        <v>20288</v>
      </c>
      <c r="H106" s="8">
        <v>-3.8328047835560102</v>
      </c>
      <c r="I106" s="8">
        <v>-38.558117479880401</v>
      </c>
      <c r="J106" s="5" t="str">
        <f t="shared" si="9"/>
        <v>José Walter; 674 Votos; 0,66%</v>
      </c>
    </row>
    <row r="107" spans="1:10" x14ac:dyDescent="0.25">
      <c r="A107" s="7">
        <v>33</v>
      </c>
      <c r="B107" s="3">
        <v>179</v>
      </c>
      <c r="C107" s="20">
        <f t="shared" si="8"/>
        <v>8.8229495268138808E-3</v>
      </c>
      <c r="D107" s="7" t="s">
        <v>53</v>
      </c>
      <c r="E107" s="7">
        <v>3</v>
      </c>
      <c r="F107" s="23">
        <v>4.3</v>
      </c>
      <c r="G107" s="7">
        <f>G105</f>
        <v>20288</v>
      </c>
      <c r="H107" s="8">
        <v>-3.7305802901855598</v>
      </c>
      <c r="I107" s="8">
        <v>-38.5707410062736</v>
      </c>
      <c r="J107" s="5" t="str">
        <f t="shared" si="9"/>
        <v>Presidente Kennedy; 179 Votos; 4,3%</v>
      </c>
    </row>
    <row r="108" spans="1:10" x14ac:dyDescent="0.25">
      <c r="A108" s="7">
        <v>48</v>
      </c>
      <c r="B108" s="3">
        <v>392</v>
      </c>
      <c r="C108" s="20">
        <f t="shared" si="8"/>
        <v>1.9321766561514197E-2</v>
      </c>
      <c r="D108" s="7" t="s">
        <v>68</v>
      </c>
      <c r="E108" s="7">
        <v>3</v>
      </c>
      <c r="F108" s="23">
        <v>3.62</v>
      </c>
      <c r="G108" s="7">
        <f t="shared" si="7"/>
        <v>20288</v>
      </c>
      <c r="H108" s="8">
        <v>-3.73185551606004</v>
      </c>
      <c r="I108" s="8">
        <v>-38.5979520737068</v>
      </c>
      <c r="J108" s="5" t="str">
        <f t="shared" si="9"/>
        <v>Quitino Cunha; 392 Votos; 3,62%</v>
      </c>
    </row>
    <row r="109" spans="1:10" x14ac:dyDescent="0.25">
      <c r="A109" s="7">
        <v>34</v>
      </c>
      <c r="B109" s="3">
        <v>53</v>
      </c>
      <c r="C109" s="20">
        <f t="shared" si="8"/>
        <v>2.6123817034700314E-3</v>
      </c>
      <c r="D109" s="7" t="s">
        <v>54</v>
      </c>
      <c r="E109" s="7">
        <v>3</v>
      </c>
      <c r="F109" s="23">
        <v>0.63</v>
      </c>
      <c r="G109" s="7">
        <f t="shared" si="7"/>
        <v>20288</v>
      </c>
      <c r="H109" s="8">
        <v>-3.7397021591668298</v>
      </c>
      <c r="I109" s="8">
        <v>-38.547278854358801</v>
      </c>
      <c r="J109" s="5" t="str">
        <f t="shared" si="9"/>
        <v>Rodolfo Teófilo; 53 Votos; 0,63%</v>
      </c>
    </row>
    <row r="110" spans="1:10" x14ac:dyDescent="0.25">
      <c r="A110" s="7">
        <v>70</v>
      </c>
      <c r="B110">
        <v>17</v>
      </c>
      <c r="C110" s="20">
        <f t="shared" si="8"/>
        <v>8.3793375394321766E-4</v>
      </c>
      <c r="D110" s="5" t="s">
        <v>90</v>
      </c>
      <c r="E110" s="7">
        <v>7</v>
      </c>
      <c r="F110" s="23">
        <v>0</v>
      </c>
      <c r="G110" s="7">
        <f t="shared" si="7"/>
        <v>20288</v>
      </c>
      <c r="H110" s="7">
        <v>-3.8066835937607602</v>
      </c>
      <c r="I110" s="7">
        <v>-38.430875729977899</v>
      </c>
      <c r="J110" s="5" t="str">
        <f t="shared" si="9"/>
        <v>Sabiaguaba; 17 Votos; 0%</v>
      </c>
    </row>
    <row r="111" spans="1:10" x14ac:dyDescent="0.25">
      <c r="A111" s="7">
        <v>71</v>
      </c>
      <c r="C111" s="20">
        <f t="shared" si="8"/>
        <v>0</v>
      </c>
      <c r="D111" s="5" t="s">
        <v>91</v>
      </c>
      <c r="E111" s="7">
        <v>7</v>
      </c>
      <c r="F111" s="23">
        <v>0</v>
      </c>
      <c r="G111" s="7">
        <f t="shared" si="7"/>
        <v>20288</v>
      </c>
      <c r="H111" s="8">
        <v>-3.7676015324571699</v>
      </c>
      <c r="I111" s="8">
        <v>-38.496229971678297</v>
      </c>
      <c r="J111" s="5" t="str">
        <f t="shared" si="9"/>
        <v>Salinas;  Votos; 0%</v>
      </c>
    </row>
    <row r="112" spans="1:10" x14ac:dyDescent="0.25">
      <c r="A112" s="7">
        <v>116</v>
      </c>
      <c r="C112" s="20">
        <f t="shared" si="8"/>
        <v>0</v>
      </c>
      <c r="D112" s="7" t="s">
        <v>136</v>
      </c>
      <c r="E112" s="7">
        <v>6</v>
      </c>
      <c r="F112" s="23">
        <v>0</v>
      </c>
      <c r="G112" s="7">
        <f t="shared" si="7"/>
        <v>20288</v>
      </c>
      <c r="H112" s="8">
        <v>-3.8525791316810198</v>
      </c>
      <c r="I112" s="8">
        <v>-38.479775892303003</v>
      </c>
      <c r="J112" s="5" t="str">
        <f t="shared" si="9"/>
        <v>São Bento;  Votos; 0%</v>
      </c>
    </row>
    <row r="113" spans="1:10" x14ac:dyDescent="0.25">
      <c r="A113" s="7">
        <v>1</v>
      </c>
      <c r="B113" s="3">
        <v>60</v>
      </c>
      <c r="C113" s="20">
        <f t="shared" si="8"/>
        <v>2.9574132492113563E-3</v>
      </c>
      <c r="D113" s="7" t="s">
        <v>21</v>
      </c>
      <c r="E113" s="7">
        <v>3</v>
      </c>
      <c r="F113" s="23">
        <v>0.64</v>
      </c>
      <c r="G113" s="7">
        <f t="shared" si="7"/>
        <v>20288</v>
      </c>
      <c r="H113" s="8">
        <v>-3.7324552353017002</v>
      </c>
      <c r="I113" s="8">
        <v>-38.558090896065302</v>
      </c>
      <c r="J113" s="5" t="str">
        <f t="shared" si="9"/>
        <v>Sao Gerardo; 60 Votos; 0,64%</v>
      </c>
    </row>
    <row r="114" spans="1:10" x14ac:dyDescent="0.25">
      <c r="A114" s="7">
        <v>64</v>
      </c>
      <c r="B114">
        <v>232</v>
      </c>
      <c r="C114" s="20">
        <f t="shared" si="8"/>
        <v>1.1435331230283912E-2</v>
      </c>
      <c r="D114" s="5" t="s">
        <v>84</v>
      </c>
      <c r="E114" s="7">
        <v>7</v>
      </c>
      <c r="F114" s="23">
        <v>0.02</v>
      </c>
      <c r="G114" s="7">
        <f t="shared" si="7"/>
        <v>20288</v>
      </c>
      <c r="H114" s="8">
        <v>-3.7936789105161002</v>
      </c>
      <c r="I114" s="8">
        <v>-38.475588701150201</v>
      </c>
      <c r="J114" s="5" t="str">
        <f t="shared" si="9"/>
        <v>Sapiranga/Coité; 232 Votos; 0,02%</v>
      </c>
    </row>
    <row r="115" spans="1:10" x14ac:dyDescent="0.25">
      <c r="A115" s="7">
        <v>105</v>
      </c>
      <c r="B115">
        <v>108</v>
      </c>
      <c r="C115" s="20">
        <f t="shared" si="8"/>
        <v>5.3233438485804415E-3</v>
      </c>
      <c r="D115" s="7" t="s">
        <v>125</v>
      </c>
      <c r="E115" s="7">
        <v>8</v>
      </c>
      <c r="F115" s="23">
        <v>1.2</v>
      </c>
      <c r="G115" s="7">
        <f t="shared" si="7"/>
        <v>20288</v>
      </c>
      <c r="H115" s="8">
        <v>-3.78941196710687</v>
      </c>
      <c r="I115" s="8">
        <v>-38.538973370180202</v>
      </c>
      <c r="J115" s="5" t="str">
        <f t="shared" si="9"/>
        <v>Serrinha; 108 Votos; 1,2%</v>
      </c>
    </row>
    <row r="116" spans="1:10" x14ac:dyDescent="0.25">
      <c r="A116" s="7">
        <v>90</v>
      </c>
      <c r="B116" s="3">
        <v>167</v>
      </c>
      <c r="C116" s="20">
        <f t="shared" si="8"/>
        <v>8.2314668769716097E-3</v>
      </c>
      <c r="D116" s="5" t="s">
        <v>110</v>
      </c>
      <c r="E116" s="7">
        <v>5</v>
      </c>
      <c r="F116" s="23">
        <v>0.26</v>
      </c>
      <c r="G116" s="7">
        <f t="shared" si="7"/>
        <v>20288</v>
      </c>
      <c r="H116" s="8">
        <v>-3.8044344811027799</v>
      </c>
      <c r="I116" s="8">
        <v>-38.611497241120503</v>
      </c>
      <c r="J116" s="5" t="str">
        <f t="shared" si="9"/>
        <v>Siqueira; 167 Votos; 0,26%</v>
      </c>
    </row>
    <row r="117" spans="1:10" x14ac:dyDescent="0.25">
      <c r="A117" s="7">
        <v>35</v>
      </c>
      <c r="B117">
        <v>210</v>
      </c>
      <c r="C117" s="20">
        <f t="shared" si="8"/>
        <v>1.0350946372239747E-2</v>
      </c>
      <c r="D117" s="7" t="s">
        <v>55</v>
      </c>
      <c r="E117" s="7">
        <v>2</v>
      </c>
      <c r="F117" s="23">
        <v>0.26</v>
      </c>
      <c r="G117" s="7">
        <f t="shared" si="7"/>
        <v>20288</v>
      </c>
      <c r="H117" s="8">
        <v>-3.75511796482381</v>
      </c>
      <c r="I117" s="8">
        <v>-38.506144550304597</v>
      </c>
      <c r="J117" s="5" t="str">
        <f t="shared" si="9"/>
        <v>Tauape; 210 Votos; 0,26%</v>
      </c>
    </row>
    <row r="118" spans="1:10" x14ac:dyDescent="0.25">
      <c r="A118" s="7">
        <v>36</v>
      </c>
      <c r="B118">
        <v>117</v>
      </c>
      <c r="C118" s="20">
        <f t="shared" si="8"/>
        <v>5.7669558359621448E-3</v>
      </c>
      <c r="D118" s="7" t="s">
        <v>56</v>
      </c>
      <c r="E118" s="7">
        <v>2</v>
      </c>
      <c r="F118" s="23">
        <v>0.1</v>
      </c>
      <c r="G118" s="7">
        <f t="shared" si="7"/>
        <v>20288</v>
      </c>
      <c r="H118" s="8">
        <v>-3.73624865960333</v>
      </c>
      <c r="I118" s="8">
        <v>-38.486586712344597</v>
      </c>
      <c r="J118" s="5" t="str">
        <f t="shared" si="9"/>
        <v>Varjota; 117 Votos; 0,1%</v>
      </c>
    </row>
    <row r="119" spans="1:10" x14ac:dyDescent="0.25">
      <c r="A119" s="7">
        <v>37</v>
      </c>
      <c r="B119">
        <v>370</v>
      </c>
      <c r="C119" s="20">
        <f t="shared" si="8"/>
        <v>1.8237381703470033E-2</v>
      </c>
      <c r="D119" s="7" t="s">
        <v>57</v>
      </c>
      <c r="E119" s="7">
        <v>2</v>
      </c>
      <c r="F119" s="23">
        <v>0.39</v>
      </c>
      <c r="G119" s="7">
        <f t="shared" si="7"/>
        <v>20288</v>
      </c>
      <c r="H119" s="8">
        <v>-3.72744451567607</v>
      </c>
      <c r="I119" s="8">
        <v>-38.474579864932501</v>
      </c>
      <c r="J119" s="5" t="str">
        <f t="shared" si="9"/>
        <v>Vicente Pinzon; 370 Votos; 0,39%</v>
      </c>
    </row>
    <row r="120" spans="1:10" x14ac:dyDescent="0.25">
      <c r="A120" s="7">
        <v>106</v>
      </c>
      <c r="B120" s="3">
        <v>101</v>
      </c>
      <c r="C120" s="20">
        <f t="shared" si="8"/>
        <v>4.978312302839117E-3</v>
      </c>
      <c r="D120" s="7" t="s">
        <v>126</v>
      </c>
      <c r="E120" s="7">
        <v>4</v>
      </c>
      <c r="F120" s="23">
        <v>0.23</v>
      </c>
      <c r="G120" s="7">
        <f t="shared" si="7"/>
        <v>20288</v>
      </c>
      <c r="H120" s="8">
        <v>-3.7881361536089702</v>
      </c>
      <c r="I120" s="8">
        <v>-38.577604447924003</v>
      </c>
      <c r="J120" s="5" t="str">
        <f t="shared" si="9"/>
        <v>Vila Peri; 101 Votos; 0,23%</v>
      </c>
    </row>
    <row r="121" spans="1:10" x14ac:dyDescent="0.25">
      <c r="A121" s="7">
        <v>107</v>
      </c>
      <c r="B121">
        <v>25</v>
      </c>
      <c r="C121" s="20">
        <f t="shared" si="8"/>
        <v>1.2322555205047318E-3</v>
      </c>
      <c r="D121" s="7" t="s">
        <v>127</v>
      </c>
      <c r="E121" s="7">
        <v>4</v>
      </c>
      <c r="F121" s="23">
        <v>0.26</v>
      </c>
      <c r="G121" s="7">
        <f t="shared" si="7"/>
        <v>20288</v>
      </c>
      <c r="H121" s="8">
        <v>-3.7712911189301299</v>
      </c>
      <c r="I121" s="8">
        <v>-38.539225010023202</v>
      </c>
      <c r="J121" s="5" t="str">
        <f t="shared" si="9"/>
        <v>Vila União; 25 Votos; 0,26%</v>
      </c>
    </row>
    <row r="122" spans="1:10" x14ac:dyDescent="0.25">
      <c r="A122" s="7">
        <v>39</v>
      </c>
      <c r="B122" s="3">
        <v>583</v>
      </c>
      <c r="C122" s="20">
        <f t="shared" si="8"/>
        <v>2.8736198738170345E-2</v>
      </c>
      <c r="D122" s="7" t="s">
        <v>59</v>
      </c>
      <c r="E122" s="7">
        <v>1</v>
      </c>
      <c r="F122" s="23">
        <v>7.47</v>
      </c>
      <c r="G122" s="7">
        <f>G121</f>
        <v>20288</v>
      </c>
      <c r="H122" s="8">
        <v>-3.7194783884337999</v>
      </c>
      <c r="I122" s="8">
        <v>-38.606361694072497</v>
      </c>
      <c r="J122" s="5" t="str">
        <f t="shared" si="9"/>
        <v>Vila Velha; 583 Votos; 7,47%</v>
      </c>
    </row>
    <row r="123" spans="1:10" x14ac:dyDescent="0.25">
      <c r="A123" s="7"/>
      <c r="B123" s="5"/>
      <c r="C123" s="7"/>
      <c r="D123" s="7"/>
      <c r="E123" s="7"/>
      <c r="F123" s="24"/>
      <c r="G123" s="7"/>
      <c r="H123" s="7"/>
      <c r="I123" s="7"/>
      <c r="J123" s="5"/>
    </row>
    <row r="124" spans="1:10" x14ac:dyDescent="0.25">
      <c r="A124" s="7"/>
      <c r="B124" s="7"/>
      <c r="C124" s="7"/>
      <c r="D124" s="7"/>
      <c r="E124" s="7"/>
      <c r="F124" s="22"/>
      <c r="G124" s="7"/>
      <c r="H124" s="7"/>
      <c r="I124" s="7"/>
      <c r="J124" s="5"/>
    </row>
    <row r="125" spans="1:10" x14ac:dyDescent="0.25">
      <c r="A125" s="7"/>
      <c r="B125" s="7"/>
      <c r="C125" s="7"/>
      <c r="D125" s="7"/>
      <c r="E125" s="7"/>
      <c r="F125" s="22"/>
      <c r="G125" s="7"/>
      <c r="H125" s="7"/>
      <c r="I125" s="7"/>
      <c r="J125" s="5"/>
    </row>
    <row r="126" spans="1:10" x14ac:dyDescent="0.25">
      <c r="A126" s="7"/>
      <c r="B126" s="7"/>
      <c r="C126" s="7"/>
      <c r="D126" s="7"/>
      <c r="E126" s="7"/>
      <c r="F126" s="22"/>
      <c r="G126" s="7"/>
      <c r="H126" s="7"/>
      <c r="I126" s="7"/>
      <c r="J126" s="7"/>
    </row>
    <row r="127" spans="1:10" x14ac:dyDescent="0.25">
      <c r="A127" s="7"/>
      <c r="B127" s="7"/>
      <c r="C127" s="7"/>
      <c r="D127" s="7"/>
      <c r="E127" s="7"/>
      <c r="F127" s="22"/>
      <c r="G127" s="7"/>
      <c r="H127" s="7"/>
      <c r="I127" s="7"/>
      <c r="J127" s="5"/>
    </row>
    <row r="128" spans="1:10" x14ac:dyDescent="0.25">
      <c r="A128" s="7"/>
      <c r="B128" s="7"/>
      <c r="C128" s="7"/>
      <c r="D128" s="7"/>
      <c r="E128" s="7"/>
      <c r="F128" s="24"/>
      <c r="G128" s="7"/>
      <c r="H128" s="7"/>
      <c r="I128" s="7"/>
      <c r="J128" s="5"/>
    </row>
    <row r="129" spans="1:10" x14ac:dyDescent="0.25">
      <c r="A129" s="7"/>
      <c r="B129" s="7"/>
      <c r="C129" s="7"/>
      <c r="D129" s="7"/>
      <c r="E129" s="7"/>
      <c r="F129" s="24"/>
      <c r="G129" s="7"/>
      <c r="H129" s="7"/>
      <c r="I129" s="7"/>
      <c r="J129" s="5"/>
    </row>
    <row r="130" spans="1:10" x14ac:dyDescent="0.25">
      <c r="A130" s="7"/>
      <c r="B130" s="7"/>
      <c r="C130" s="7"/>
      <c r="D130" s="7"/>
      <c r="E130" s="7"/>
      <c r="F130" s="24"/>
      <c r="G130" s="7"/>
      <c r="H130" s="7"/>
      <c r="I130" s="7"/>
      <c r="J130" s="5"/>
    </row>
    <row r="131" spans="1:10" x14ac:dyDescent="0.25">
      <c r="A131" s="7"/>
      <c r="B131" s="7"/>
      <c r="C131" s="7"/>
      <c r="D131" s="7"/>
      <c r="E131" s="7"/>
      <c r="F131" s="24"/>
      <c r="G131" s="7"/>
      <c r="H131" s="7"/>
      <c r="I131" s="7"/>
      <c r="J131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9"/>
  <sheetViews>
    <sheetView topLeftCell="E131" zoomScale="180" zoomScaleNormal="180" workbookViewId="0">
      <selection sqref="A1:J131"/>
    </sheetView>
  </sheetViews>
  <sheetFormatPr defaultRowHeight="15" x14ac:dyDescent="0.25"/>
  <cols>
    <col min="1" max="1" width="6.7109375" style="7" customWidth="1"/>
    <col min="2" max="2" width="5.7109375" style="7" customWidth="1"/>
    <col min="3" max="3" width="8.140625" style="7" customWidth="1"/>
    <col min="4" max="4" width="16" style="7" customWidth="1"/>
    <col min="5" max="5" width="4.5703125" style="7" customWidth="1"/>
    <col min="6" max="6" width="8" style="7" customWidth="1"/>
    <col min="7" max="7" width="9.140625" style="7"/>
    <col min="8" max="8" width="13.5703125" style="2" customWidth="1"/>
    <col min="9" max="9" width="13.7109375" style="2" customWidth="1"/>
    <col min="10" max="10" width="33.5703125" style="2" customWidth="1"/>
    <col min="11" max="16384" width="9.140625" style="7"/>
  </cols>
  <sheetData>
    <row r="1" spans="1:10" x14ac:dyDescent="0.25">
      <c r="A1" s="7" t="s">
        <v>255</v>
      </c>
      <c r="B1" s="7" t="s">
        <v>143</v>
      </c>
      <c r="C1" s="7" t="s">
        <v>256</v>
      </c>
      <c r="D1" s="7" t="s">
        <v>144</v>
      </c>
      <c r="E1" s="7" t="s">
        <v>9</v>
      </c>
      <c r="F1" s="7" t="s">
        <v>257</v>
      </c>
      <c r="G1" s="7" t="s">
        <v>258</v>
      </c>
      <c r="H1" s="9" t="s">
        <v>2</v>
      </c>
      <c r="I1" s="9" t="s">
        <v>3</v>
      </c>
      <c r="J1" s="2" t="s">
        <v>260</v>
      </c>
    </row>
    <row r="2" spans="1:10" x14ac:dyDescent="0.25">
      <c r="A2" s="7">
        <v>91</v>
      </c>
      <c r="B2">
        <v>2</v>
      </c>
      <c r="C2" s="20">
        <f t="shared" ref="C2:C33" si="0">B2/G2</f>
        <v>2.4567006510256724E-4</v>
      </c>
      <c r="D2" s="5" t="s">
        <v>111</v>
      </c>
      <c r="E2" s="21">
        <v>6</v>
      </c>
      <c r="F2" s="23">
        <v>0.02</v>
      </c>
      <c r="G2" s="7">
        <v>8141</v>
      </c>
      <c r="H2" s="8">
        <v>-3.7731491165125499</v>
      </c>
      <c r="I2" s="8">
        <v>-38.514716985329301</v>
      </c>
      <c r="J2" s="5" t="str">
        <f t="shared" ref="J2:J33" si="1">D2&amp;"; "&amp;B2&amp;" Votos; "&amp;F2&amp;"%"</f>
        <v>Aerolândia; 2 Votos; 0,02%</v>
      </c>
    </row>
    <row r="3" spans="1:10" x14ac:dyDescent="0.25">
      <c r="A3" s="7">
        <v>92</v>
      </c>
      <c r="B3"/>
      <c r="C3" s="20">
        <f t="shared" si="0"/>
        <v>0</v>
      </c>
      <c r="D3" s="5" t="s">
        <v>112</v>
      </c>
      <c r="E3" s="7">
        <v>4</v>
      </c>
      <c r="F3" s="23">
        <v>0</v>
      </c>
      <c r="G3" s="7">
        <f t="shared" ref="G3:G34" si="2">G2</f>
        <v>8141</v>
      </c>
      <c r="H3" s="8">
        <v>-3.78328157008503</v>
      </c>
      <c r="I3" s="8">
        <v>-38.531026819607298</v>
      </c>
      <c r="J3" s="5" t="str">
        <f t="shared" si="1"/>
        <v>Aeroporto;  Votos; 0%</v>
      </c>
    </row>
    <row r="4" spans="1:10" x14ac:dyDescent="0.25">
      <c r="A4" s="7">
        <v>2</v>
      </c>
      <c r="B4">
        <v>29</v>
      </c>
      <c r="C4" s="20">
        <f t="shared" si="0"/>
        <v>3.5622159439872253E-3</v>
      </c>
      <c r="D4" s="7" t="s">
        <v>22</v>
      </c>
      <c r="E4" s="7">
        <v>2</v>
      </c>
      <c r="F4" s="23">
        <v>0.36</v>
      </c>
      <c r="G4" s="7">
        <f t="shared" si="2"/>
        <v>8141</v>
      </c>
      <c r="H4" s="8">
        <v>-3.7339856484838898</v>
      </c>
      <c r="I4" s="8">
        <v>-38.512272533062301</v>
      </c>
      <c r="J4" s="5" t="str">
        <f t="shared" si="1"/>
        <v>Aldeota; 29 Votos; 0,36%</v>
      </c>
    </row>
    <row r="5" spans="1:10" x14ac:dyDescent="0.25">
      <c r="A5" s="7">
        <v>93</v>
      </c>
      <c r="B5">
        <v>13</v>
      </c>
      <c r="C5" s="20">
        <f t="shared" si="0"/>
        <v>1.5968554231666871E-3</v>
      </c>
      <c r="D5" s="5" t="s">
        <v>113</v>
      </c>
      <c r="E5" s="7">
        <v>6</v>
      </c>
      <c r="F5" s="23">
        <v>0.16</v>
      </c>
      <c r="G5" s="7">
        <f t="shared" si="2"/>
        <v>8141</v>
      </c>
      <c r="H5" s="8">
        <v>-3.76511099022437</v>
      </c>
      <c r="I5" s="8">
        <v>-38.514011814644199</v>
      </c>
      <c r="J5" s="5" t="str">
        <f t="shared" si="1"/>
        <v>Alto da Balança; 13 Votos; 0,16%</v>
      </c>
    </row>
    <row r="6" spans="1:10" x14ac:dyDescent="0.25">
      <c r="A6" s="7">
        <v>3</v>
      </c>
      <c r="B6">
        <v>350</v>
      </c>
      <c r="C6" s="20">
        <f t="shared" si="0"/>
        <v>4.2992261392949267E-2</v>
      </c>
      <c r="D6" s="7" t="s">
        <v>23</v>
      </c>
      <c r="E6" s="7">
        <v>1</v>
      </c>
      <c r="F6" s="23">
        <v>4.3</v>
      </c>
      <c r="G6" s="7">
        <f t="shared" si="2"/>
        <v>8141</v>
      </c>
      <c r="H6" s="8">
        <v>-3.7158519544419502</v>
      </c>
      <c r="I6" s="8">
        <v>-38.572758193784402</v>
      </c>
      <c r="J6" s="5" t="str">
        <f t="shared" si="1"/>
        <v>Alvaro Weyne; 350 Votos; 4,3%</v>
      </c>
    </row>
    <row r="7" spans="1:10" x14ac:dyDescent="0.25">
      <c r="A7" s="7">
        <v>4</v>
      </c>
      <c r="B7">
        <v>11</v>
      </c>
      <c r="C7" s="20">
        <f t="shared" si="0"/>
        <v>1.35118535806412E-3</v>
      </c>
      <c r="D7" s="7" t="s">
        <v>24</v>
      </c>
      <c r="E7" s="7">
        <v>3</v>
      </c>
      <c r="F7" s="23">
        <v>0.14000000000000001</v>
      </c>
      <c r="G7" s="7">
        <f t="shared" si="2"/>
        <v>8141</v>
      </c>
      <c r="H7" s="8">
        <v>-3.7444480859003999</v>
      </c>
      <c r="I7" s="8">
        <v>-38.557486657117401</v>
      </c>
      <c r="J7" s="5" t="str">
        <f t="shared" si="1"/>
        <v>Amadeu Furtado; 11 Votos; 0,14%</v>
      </c>
    </row>
    <row r="8" spans="1:10" x14ac:dyDescent="0.25">
      <c r="A8" s="7">
        <v>50</v>
      </c>
      <c r="B8"/>
      <c r="C8" s="20">
        <f t="shared" si="0"/>
        <v>0</v>
      </c>
      <c r="D8" s="7" t="s">
        <v>70</v>
      </c>
      <c r="E8" s="7">
        <v>9</v>
      </c>
      <c r="F8" s="23">
        <v>0</v>
      </c>
      <c r="G8" s="7">
        <f t="shared" si="2"/>
        <v>8141</v>
      </c>
      <c r="H8" s="8">
        <v>-3.8648814584649198</v>
      </c>
      <c r="I8" s="8">
        <v>-38.5067770366255</v>
      </c>
      <c r="J8" s="5" t="str">
        <f t="shared" si="1"/>
        <v>Ancuri;  Votos; 0%</v>
      </c>
    </row>
    <row r="9" spans="1:10" x14ac:dyDescent="0.25">
      <c r="A9" s="7">
        <v>40</v>
      </c>
      <c r="B9">
        <v>246</v>
      </c>
      <c r="C9" s="20">
        <f t="shared" si="0"/>
        <v>3.0217418007615772E-2</v>
      </c>
      <c r="D9" s="7" t="s">
        <v>60</v>
      </c>
      <c r="E9" s="7">
        <v>3</v>
      </c>
      <c r="F9" s="23">
        <v>3.02</v>
      </c>
      <c r="G9" s="7">
        <f t="shared" si="2"/>
        <v>8141</v>
      </c>
      <c r="H9" s="8">
        <v>-3.7438599910555701</v>
      </c>
      <c r="I9" s="8">
        <v>-38.594170001002098</v>
      </c>
      <c r="J9" s="5" t="str">
        <f t="shared" si="1"/>
        <v>Antônio Bezerra; 246 Votos; 3,02%</v>
      </c>
    </row>
    <row r="10" spans="1:10" x14ac:dyDescent="0.25">
      <c r="A10" s="7">
        <v>120</v>
      </c>
      <c r="B10"/>
      <c r="C10" s="20">
        <f t="shared" si="0"/>
        <v>0</v>
      </c>
      <c r="D10" s="7" t="s">
        <v>139</v>
      </c>
      <c r="E10" s="7">
        <v>10</v>
      </c>
      <c r="F10" s="23">
        <v>0</v>
      </c>
      <c r="G10" s="7">
        <f t="shared" si="2"/>
        <v>8141</v>
      </c>
      <c r="H10" s="8">
        <v>-3.8318976001179301</v>
      </c>
      <c r="I10" s="8">
        <v>-38.586396530656202</v>
      </c>
      <c r="J10" s="5" t="str">
        <f t="shared" si="1"/>
        <v>Aracapé;  Votos; 0%</v>
      </c>
    </row>
    <row r="11" spans="1:10" x14ac:dyDescent="0.25">
      <c r="A11" s="7">
        <v>41</v>
      </c>
      <c r="B11">
        <v>18</v>
      </c>
      <c r="C11" s="20">
        <f t="shared" si="0"/>
        <v>2.2110305859231053E-3</v>
      </c>
      <c r="D11" s="7" t="s">
        <v>61</v>
      </c>
      <c r="E11" s="7">
        <v>11</v>
      </c>
      <c r="F11" s="23">
        <v>0.22</v>
      </c>
      <c r="G11" s="7">
        <f t="shared" si="2"/>
        <v>8141</v>
      </c>
      <c r="H11" s="8">
        <v>-3.7518792027974102</v>
      </c>
      <c r="I11" s="8">
        <v>-38.596604923459601</v>
      </c>
      <c r="J11" s="5" t="str">
        <f t="shared" si="1"/>
        <v>Autran Nunes; 18 Votos; 0,22%</v>
      </c>
    </row>
    <row r="12" spans="1:10" x14ac:dyDescent="0.25">
      <c r="A12" s="7">
        <v>6</v>
      </c>
      <c r="B12">
        <v>410</v>
      </c>
      <c r="C12" s="20">
        <f t="shared" si="0"/>
        <v>5.0362363346026284E-2</v>
      </c>
      <c r="D12" s="7" t="s">
        <v>26</v>
      </c>
      <c r="E12" s="7">
        <v>1</v>
      </c>
      <c r="F12" s="23">
        <v>5.04</v>
      </c>
      <c r="G12" s="7">
        <f t="shared" si="2"/>
        <v>8141</v>
      </c>
      <c r="H12" s="8">
        <v>-3.7044707668351502</v>
      </c>
      <c r="I12" s="8">
        <v>-38.577290647687001</v>
      </c>
      <c r="J12" s="5" t="str">
        <f t="shared" si="1"/>
        <v>Barra do Ceara; 410 Votos; 5,04%</v>
      </c>
    </row>
    <row r="13" spans="1:10" x14ac:dyDescent="0.25">
      <c r="A13" s="7">
        <v>51</v>
      </c>
      <c r="B13">
        <v>7</v>
      </c>
      <c r="C13" s="20">
        <f t="shared" si="0"/>
        <v>8.598452278589854E-4</v>
      </c>
      <c r="D13" s="7" t="s">
        <v>71</v>
      </c>
      <c r="E13" s="7">
        <v>9</v>
      </c>
      <c r="F13" s="23">
        <v>0.09</v>
      </c>
      <c r="G13" s="7">
        <f t="shared" si="2"/>
        <v>8141</v>
      </c>
      <c r="H13" s="8">
        <v>-3.8204455093400602</v>
      </c>
      <c r="I13" s="8">
        <v>-38.512645687979401</v>
      </c>
      <c r="J13" s="5" t="str">
        <f t="shared" si="1"/>
        <v>Barroso; 7 Votos; 0,09%</v>
      </c>
    </row>
    <row r="14" spans="1:10" x14ac:dyDescent="0.25">
      <c r="A14" s="7">
        <v>94</v>
      </c>
      <c r="B14">
        <v>30</v>
      </c>
      <c r="C14" s="20">
        <f t="shared" si="0"/>
        <v>3.685050976538509E-3</v>
      </c>
      <c r="D14" s="5" t="s">
        <v>114</v>
      </c>
      <c r="E14" s="7">
        <v>11</v>
      </c>
      <c r="F14" s="23">
        <v>0.37</v>
      </c>
      <c r="G14" s="7">
        <f t="shared" si="2"/>
        <v>8141</v>
      </c>
      <c r="H14" s="8">
        <v>-3.75227870449759</v>
      </c>
      <c r="I14" s="8">
        <v>-38.561010002875797</v>
      </c>
      <c r="J14" s="5" t="str">
        <f t="shared" si="1"/>
        <v>Bela Vista; 30 Votos; 0,37%</v>
      </c>
    </row>
    <row r="15" spans="1:10" x14ac:dyDescent="0.25">
      <c r="A15" s="7">
        <v>7</v>
      </c>
      <c r="B15">
        <v>37</v>
      </c>
      <c r="C15" s="20">
        <f t="shared" si="0"/>
        <v>4.5448962043974942E-3</v>
      </c>
      <c r="D15" s="7" t="s">
        <v>27</v>
      </c>
      <c r="E15" s="7">
        <v>4</v>
      </c>
      <c r="F15" s="23">
        <v>0.45</v>
      </c>
      <c r="G15" s="7">
        <f t="shared" si="2"/>
        <v>8141</v>
      </c>
      <c r="H15" s="8">
        <v>-3.7435794004401002</v>
      </c>
      <c r="I15" s="8">
        <v>-38.536164699959699</v>
      </c>
      <c r="J15" s="5" t="str">
        <f t="shared" si="1"/>
        <v>Benfica; 37 Votos; 0,45%</v>
      </c>
    </row>
    <row r="16" spans="1:10" x14ac:dyDescent="0.25">
      <c r="A16" s="7">
        <v>121</v>
      </c>
      <c r="B16">
        <v>7</v>
      </c>
      <c r="C16" s="20">
        <f t="shared" si="0"/>
        <v>8.598452278589854E-4</v>
      </c>
      <c r="D16" s="5" t="s">
        <v>140</v>
      </c>
      <c r="E16" s="7">
        <v>8</v>
      </c>
      <c r="F16" s="23">
        <v>0.09</v>
      </c>
      <c r="G16" s="7">
        <f t="shared" si="2"/>
        <v>8141</v>
      </c>
      <c r="H16" s="8">
        <v>-3.7957697992767501</v>
      </c>
      <c r="I16" s="8">
        <v>-38.518971545141397</v>
      </c>
      <c r="J16" s="5" t="str">
        <f t="shared" si="1"/>
        <v>Boa Vista; 7 Votos; 0,09%</v>
      </c>
    </row>
    <row r="17" spans="1:10" x14ac:dyDescent="0.25">
      <c r="A17" s="7">
        <v>8</v>
      </c>
      <c r="B17">
        <v>11</v>
      </c>
      <c r="C17" s="20">
        <f t="shared" si="0"/>
        <v>1.35118535806412E-3</v>
      </c>
      <c r="D17" s="7" t="s">
        <v>28</v>
      </c>
      <c r="E17" s="7">
        <v>4</v>
      </c>
      <c r="F17" s="23">
        <v>0.14000000000000001</v>
      </c>
      <c r="G17" s="7">
        <f t="shared" si="2"/>
        <v>8141</v>
      </c>
      <c r="H17" s="8">
        <v>-3.7582086333092199</v>
      </c>
      <c r="I17" s="8">
        <v>-38.546481255969098</v>
      </c>
      <c r="J17" s="5" t="str">
        <f t="shared" si="1"/>
        <v>Bom Futuro; 11 Votos; 0,14%</v>
      </c>
    </row>
    <row r="18" spans="1:10" x14ac:dyDescent="0.25">
      <c r="A18" s="7">
        <v>72</v>
      </c>
      <c r="B18">
        <v>39</v>
      </c>
      <c r="C18" s="20">
        <f t="shared" si="0"/>
        <v>4.7905662695000616E-3</v>
      </c>
      <c r="D18" s="5" t="s">
        <v>92</v>
      </c>
      <c r="E18" s="7">
        <v>5</v>
      </c>
      <c r="F18" s="23">
        <v>0.48</v>
      </c>
      <c r="G18" s="7">
        <f t="shared" si="2"/>
        <v>8141</v>
      </c>
      <c r="H18" s="8">
        <v>-3.78731120388623</v>
      </c>
      <c r="I18" s="8">
        <v>-38.605956606855898</v>
      </c>
      <c r="J18" s="5" t="str">
        <f t="shared" si="1"/>
        <v>Bom Jardim; 39 Votos; 0,48%</v>
      </c>
    </row>
    <row r="19" spans="1:10" x14ac:dyDescent="0.25">
      <c r="A19" s="7">
        <v>73</v>
      </c>
      <c r="B19">
        <v>26</v>
      </c>
      <c r="C19" s="20">
        <f t="shared" si="0"/>
        <v>3.1937108463333743E-3</v>
      </c>
      <c r="D19" s="5" t="s">
        <v>93</v>
      </c>
      <c r="E19" s="7">
        <v>5</v>
      </c>
      <c r="F19" s="23">
        <v>0.32</v>
      </c>
      <c r="G19" s="7">
        <f t="shared" si="2"/>
        <v>8141</v>
      </c>
      <c r="H19" s="8">
        <v>-3.78040751812869</v>
      </c>
      <c r="I19" s="8">
        <v>-38.588575511233898</v>
      </c>
      <c r="J19" s="5" t="str">
        <f t="shared" si="1"/>
        <v>Bonsucesso; 26 Votos; 0,32%</v>
      </c>
    </row>
    <row r="20" spans="1:10" x14ac:dyDescent="0.25">
      <c r="A20" s="7">
        <v>108</v>
      </c>
      <c r="B20">
        <v>9</v>
      </c>
      <c r="C20" s="20">
        <f t="shared" si="0"/>
        <v>1.1055152929615526E-3</v>
      </c>
      <c r="D20" s="7" t="s">
        <v>128</v>
      </c>
      <c r="E20" s="7">
        <v>2</v>
      </c>
      <c r="F20" s="23">
        <v>0.11</v>
      </c>
      <c r="G20" s="7">
        <f t="shared" si="2"/>
        <v>8141</v>
      </c>
      <c r="H20" s="8">
        <v>-3.71286380822142</v>
      </c>
      <c r="I20" s="8">
        <v>-38.466078519810999</v>
      </c>
      <c r="J20" s="5" t="str">
        <f t="shared" si="1"/>
        <v>Cais do Porto; 9 Votos; 0,11%</v>
      </c>
    </row>
    <row r="21" spans="1:10" x14ac:dyDescent="0.25">
      <c r="A21" s="7">
        <v>52</v>
      </c>
      <c r="B21">
        <v>12</v>
      </c>
      <c r="C21" s="20">
        <f t="shared" si="0"/>
        <v>1.4740203906154035E-3</v>
      </c>
      <c r="D21" s="7" t="s">
        <v>72</v>
      </c>
      <c r="E21" s="7">
        <v>9</v>
      </c>
      <c r="F21" s="23">
        <v>0.15</v>
      </c>
      <c r="G21" s="7">
        <f t="shared" si="2"/>
        <v>8141</v>
      </c>
      <c r="H21" s="8">
        <v>-3.7934683304721299</v>
      </c>
      <c r="I21" s="8">
        <v>-38.508846249037099</v>
      </c>
      <c r="J21" s="5" t="str">
        <f t="shared" si="1"/>
        <v>Cajazeiras; 12 Votos; 0,15%</v>
      </c>
    </row>
    <row r="22" spans="1:10" x14ac:dyDescent="0.25">
      <c r="A22" s="7">
        <v>53</v>
      </c>
      <c r="B22">
        <v>4</v>
      </c>
      <c r="C22" s="20">
        <f t="shared" si="0"/>
        <v>4.9134013020513448E-4</v>
      </c>
      <c r="D22" s="7" t="s">
        <v>73</v>
      </c>
      <c r="E22" s="7">
        <v>6</v>
      </c>
      <c r="F22" s="23">
        <v>0.05</v>
      </c>
      <c r="G22" s="7">
        <f t="shared" si="2"/>
        <v>8141</v>
      </c>
      <c r="H22" s="8">
        <v>-3.8108687886441301</v>
      </c>
      <c r="I22" s="8">
        <v>-38.4881329505724</v>
      </c>
      <c r="J22" s="5" t="str">
        <f t="shared" si="1"/>
        <v>Cambeba; 4 Votos; 0,05%</v>
      </c>
    </row>
    <row r="23" spans="1:10" x14ac:dyDescent="0.25">
      <c r="A23" s="7">
        <v>74</v>
      </c>
      <c r="B23">
        <v>17</v>
      </c>
      <c r="C23" s="20">
        <f t="shared" si="0"/>
        <v>2.0881955533718216E-3</v>
      </c>
      <c r="D23" s="5" t="s">
        <v>94</v>
      </c>
      <c r="E23" s="7">
        <v>10</v>
      </c>
      <c r="F23" s="23">
        <v>0.21</v>
      </c>
      <c r="G23" s="7">
        <f t="shared" si="2"/>
        <v>8141</v>
      </c>
      <c r="H23" s="8">
        <v>-3.8088965401008901</v>
      </c>
      <c r="I23" s="8">
        <v>-38.604129302130701</v>
      </c>
      <c r="J23" s="5" t="str">
        <f t="shared" si="1"/>
        <v>Canindezinho; 17 Votos; 0,21%</v>
      </c>
    </row>
    <row r="24" spans="1:10" x14ac:dyDescent="0.25">
      <c r="A24" s="7">
        <v>9</v>
      </c>
      <c r="B24">
        <v>65</v>
      </c>
      <c r="C24" s="20">
        <f t="shared" si="0"/>
        <v>7.9842771158334363E-3</v>
      </c>
      <c r="D24" s="7" t="s">
        <v>29</v>
      </c>
      <c r="E24" s="7">
        <v>1</v>
      </c>
      <c r="F24" s="23">
        <v>0.8</v>
      </c>
      <c r="G24" s="7">
        <f t="shared" si="2"/>
        <v>8141</v>
      </c>
      <c r="H24" s="8">
        <v>-3.7183301235653401</v>
      </c>
      <c r="I24" s="8">
        <v>-38.554508707357897</v>
      </c>
      <c r="J24" s="5" t="str">
        <f t="shared" si="1"/>
        <v>Carlito Pamplona; 65 Votos; 0,8%</v>
      </c>
    </row>
    <row r="25" spans="1:10" x14ac:dyDescent="0.25">
      <c r="A25" s="7">
        <v>10</v>
      </c>
      <c r="B25">
        <v>144</v>
      </c>
      <c r="C25" s="20">
        <f t="shared" si="0"/>
        <v>1.7688244687384842E-2</v>
      </c>
      <c r="D25" s="7" t="s">
        <v>30</v>
      </c>
      <c r="E25" s="7">
        <v>12</v>
      </c>
      <c r="F25" s="23">
        <v>1.77</v>
      </c>
      <c r="G25" s="7">
        <f t="shared" si="2"/>
        <v>8141</v>
      </c>
      <c r="H25" s="8">
        <v>-3.7355947723103302</v>
      </c>
      <c r="I25" s="8">
        <v>-38.5178177041252</v>
      </c>
      <c r="J25" s="5" t="str">
        <f t="shared" si="1"/>
        <v>Centro; 144 Votos; 1,77%</v>
      </c>
    </row>
    <row r="26" spans="1:10" x14ac:dyDescent="0.25">
      <c r="A26" s="7">
        <v>109</v>
      </c>
      <c r="B26">
        <v>7</v>
      </c>
      <c r="C26" s="20">
        <f t="shared" si="0"/>
        <v>8.598452278589854E-4</v>
      </c>
      <c r="D26" s="7" t="s">
        <v>129</v>
      </c>
      <c r="E26" s="7">
        <v>7</v>
      </c>
      <c r="F26" s="23">
        <v>0.09</v>
      </c>
      <c r="G26" s="7">
        <f t="shared" si="2"/>
        <v>8141</v>
      </c>
      <c r="H26" s="8">
        <v>-3.7515629494479001</v>
      </c>
      <c r="I26" s="8">
        <v>-38.473078900891103</v>
      </c>
      <c r="J26" s="5" t="str">
        <f t="shared" si="1"/>
        <v>Cidade 2000; 7 Votos; 0,09%</v>
      </c>
    </row>
    <row r="27" spans="1:10" x14ac:dyDescent="0.25">
      <c r="A27" s="7">
        <v>54</v>
      </c>
      <c r="B27">
        <v>9</v>
      </c>
      <c r="C27" s="20">
        <f t="shared" si="0"/>
        <v>1.1055152929615526E-3</v>
      </c>
      <c r="D27" s="5" t="s">
        <v>74</v>
      </c>
      <c r="E27" s="7">
        <v>6</v>
      </c>
      <c r="F27" s="23">
        <v>0.11</v>
      </c>
      <c r="G27" s="7">
        <f t="shared" si="2"/>
        <v>8141</v>
      </c>
      <c r="H27" s="8">
        <v>-3.7940848688483402</v>
      </c>
      <c r="I27" s="8">
        <v>-38.499748705054301</v>
      </c>
      <c r="J27" s="5" t="str">
        <f t="shared" si="1"/>
        <v>Cidade dos
Funcionários; 9 Votos; 0,11%</v>
      </c>
    </row>
    <row r="28" spans="1:10" x14ac:dyDescent="0.25">
      <c r="A28" s="7">
        <v>55</v>
      </c>
      <c r="B28">
        <v>1</v>
      </c>
      <c r="C28" s="20">
        <f t="shared" si="0"/>
        <v>1.2283503255128362E-4</v>
      </c>
      <c r="D28" s="5" t="s">
        <v>75</v>
      </c>
      <c r="E28" s="7">
        <v>6</v>
      </c>
      <c r="F28" s="23">
        <v>0.01</v>
      </c>
      <c r="G28" s="7">
        <f t="shared" si="2"/>
        <v>8141</v>
      </c>
      <c r="H28" s="8">
        <v>-3.8461633464172298</v>
      </c>
      <c r="I28" s="8">
        <v>-38.474517251289797</v>
      </c>
      <c r="J28" s="5" t="str">
        <f t="shared" si="1"/>
        <v>Coaçu; 1 Votos; 0,01%</v>
      </c>
    </row>
    <row r="29" spans="1:10" x14ac:dyDescent="0.25">
      <c r="A29" s="7">
        <v>11</v>
      </c>
      <c r="B29">
        <v>10</v>
      </c>
      <c r="C29" s="20">
        <f t="shared" si="0"/>
        <v>1.2283503255128363E-3</v>
      </c>
      <c r="D29" s="7" t="s">
        <v>31</v>
      </c>
      <c r="E29" s="7">
        <v>7</v>
      </c>
      <c r="F29" s="23">
        <v>0.12</v>
      </c>
      <c r="G29" s="7">
        <f t="shared" si="2"/>
        <v>8141</v>
      </c>
      <c r="H29" s="8">
        <v>-3.7444528516131901</v>
      </c>
      <c r="I29" s="8">
        <v>-38.4783388321841</v>
      </c>
      <c r="J29" s="5" t="str">
        <f t="shared" si="1"/>
        <v>Cocó; 10 Votos; 0,12%</v>
      </c>
    </row>
    <row r="30" spans="1:10" x14ac:dyDescent="0.25">
      <c r="A30" s="7">
        <v>42</v>
      </c>
      <c r="B30">
        <v>72</v>
      </c>
      <c r="C30" s="20">
        <f t="shared" si="0"/>
        <v>8.8441223436924211E-3</v>
      </c>
      <c r="D30" s="7" t="s">
        <v>62</v>
      </c>
      <c r="E30" s="7">
        <v>11</v>
      </c>
      <c r="F30" s="23">
        <v>0.88</v>
      </c>
      <c r="G30" s="7">
        <f t="shared" si="2"/>
        <v>8141</v>
      </c>
      <c r="H30" s="8">
        <v>-3.76776804633255</v>
      </c>
      <c r="I30" s="8">
        <v>-38.603027639769401</v>
      </c>
      <c r="J30" s="5" t="str">
        <f t="shared" si="1"/>
        <v>Conjunto Ceará; 72 Votos; 0,88%</v>
      </c>
    </row>
    <row r="31" spans="1:10" x14ac:dyDescent="0.25">
      <c r="A31" s="7">
        <v>75</v>
      </c>
      <c r="B31">
        <v>3</v>
      </c>
      <c r="C31" s="20">
        <f t="shared" si="0"/>
        <v>3.6850509765385086E-4</v>
      </c>
      <c r="D31" s="5" t="s">
        <v>95</v>
      </c>
      <c r="E31" s="7">
        <v>11</v>
      </c>
      <c r="F31" s="23">
        <v>0.04</v>
      </c>
      <c r="G31" s="7">
        <f t="shared" si="2"/>
        <v>8141</v>
      </c>
      <c r="H31" s="8">
        <v>-3.772463215528</v>
      </c>
      <c r="I31" s="8">
        <v>-38.611769276788799</v>
      </c>
      <c r="J31" s="5" t="str">
        <f t="shared" si="1"/>
        <v>Conjunto Ceará II; 3 Votos; 0,04%</v>
      </c>
    </row>
    <row r="32" spans="1:10" x14ac:dyDescent="0.25">
      <c r="A32" s="7">
        <v>76</v>
      </c>
      <c r="B32">
        <v>42</v>
      </c>
      <c r="C32" s="20">
        <f t="shared" si="0"/>
        <v>5.1590713671539126E-3</v>
      </c>
      <c r="D32" s="5" t="s">
        <v>96</v>
      </c>
      <c r="E32" s="7">
        <v>10</v>
      </c>
      <c r="F32" s="23">
        <v>0.52</v>
      </c>
      <c r="G32" s="7">
        <f t="shared" si="2"/>
        <v>8141</v>
      </c>
      <c r="H32" s="8">
        <v>-3.8147710098193799</v>
      </c>
      <c r="I32" s="8">
        <v>-38.588608356705898</v>
      </c>
      <c r="J32" s="5" t="str">
        <f t="shared" si="1"/>
        <v>Conjunto Esperança; 42 Votos; 0,52%</v>
      </c>
    </row>
    <row r="33" spans="1:10" x14ac:dyDescent="0.25">
      <c r="A33" s="7">
        <v>115</v>
      </c>
      <c r="B33">
        <v>16</v>
      </c>
      <c r="C33" s="20">
        <f t="shared" si="0"/>
        <v>1.9653605208205379E-3</v>
      </c>
      <c r="D33" s="7" t="s">
        <v>135</v>
      </c>
      <c r="E33" s="7">
        <v>9</v>
      </c>
      <c r="F33" s="23">
        <v>0.2</v>
      </c>
      <c r="G33" s="7">
        <f t="shared" si="2"/>
        <v>8141</v>
      </c>
      <c r="H33" s="8">
        <v>-3.8460425416992998</v>
      </c>
      <c r="I33" s="8">
        <v>-38.521461386696998</v>
      </c>
      <c r="J33" s="5" t="str">
        <f t="shared" si="1"/>
        <v>Conjunto Palmeiras; 16 Votos; 0,2%</v>
      </c>
    </row>
    <row r="34" spans="1:10" x14ac:dyDescent="0.25">
      <c r="A34" s="7">
        <v>95</v>
      </c>
      <c r="B34"/>
      <c r="C34" s="20">
        <f t="shared" ref="C34:C65" si="3">B34/G34</f>
        <v>0</v>
      </c>
      <c r="D34" s="5" t="s">
        <v>115</v>
      </c>
      <c r="E34" s="7">
        <v>11</v>
      </c>
      <c r="F34" s="23">
        <v>0</v>
      </c>
      <c r="G34" s="7">
        <f t="shared" si="2"/>
        <v>8141</v>
      </c>
      <c r="H34" s="8">
        <v>-3.76040480634658</v>
      </c>
      <c r="I34" s="8">
        <v>-38.5606115368834</v>
      </c>
      <c r="J34" s="5" t="str">
        <f t="shared" ref="J34:J65" si="4">D34&amp;"; "&amp;B34&amp;" Votos; "&amp;F34&amp;"%"</f>
        <v>Couto Fernandes;  Votos; 0%</v>
      </c>
    </row>
    <row r="35" spans="1:10" x14ac:dyDescent="0.25">
      <c r="A35" s="7">
        <v>12</v>
      </c>
      <c r="B35">
        <v>152</v>
      </c>
      <c r="C35" s="20">
        <f t="shared" si="3"/>
        <v>1.8670924947795112E-2</v>
      </c>
      <c r="D35" s="7" t="s">
        <v>32</v>
      </c>
      <c r="E35" s="7">
        <v>1</v>
      </c>
      <c r="F35" s="23">
        <v>1.87</v>
      </c>
      <c r="G35" s="7">
        <f t="shared" ref="G35:G66" si="5">G34</f>
        <v>8141</v>
      </c>
      <c r="H35" s="8">
        <v>-3.7098733835424098</v>
      </c>
      <c r="I35" s="8">
        <v>-38.5701753140916</v>
      </c>
      <c r="J35" s="5" t="str">
        <f t="shared" si="4"/>
        <v>Cristo Redentor; 152 Votos; 1,87%</v>
      </c>
    </row>
    <row r="36" spans="1:10" x14ac:dyDescent="0.25">
      <c r="A36" s="7">
        <v>56</v>
      </c>
      <c r="B36"/>
      <c r="C36" s="20">
        <f t="shared" si="3"/>
        <v>0</v>
      </c>
      <c r="D36" s="5" t="s">
        <v>76</v>
      </c>
      <c r="E36" s="7">
        <v>6</v>
      </c>
      <c r="F36" s="23">
        <v>0</v>
      </c>
      <c r="G36" s="7">
        <f t="shared" si="5"/>
        <v>8141</v>
      </c>
      <c r="H36" s="8">
        <v>-3.8218427466216398</v>
      </c>
      <c r="I36" s="8">
        <v>-38.476577253157402</v>
      </c>
      <c r="J36" s="5" t="str">
        <f t="shared" si="4"/>
        <v>Curió;  Votos; 0%</v>
      </c>
    </row>
    <row r="37" spans="1:10" x14ac:dyDescent="0.25">
      <c r="A37" s="7">
        <v>13</v>
      </c>
      <c r="B37">
        <v>6</v>
      </c>
      <c r="C37" s="20">
        <f t="shared" si="3"/>
        <v>7.3701019530770173E-4</v>
      </c>
      <c r="D37" s="7" t="s">
        <v>33</v>
      </c>
      <c r="E37" s="7">
        <v>4</v>
      </c>
      <c r="F37" s="23">
        <v>7.0000000000000007E-2</v>
      </c>
      <c r="G37" s="7">
        <f t="shared" si="5"/>
        <v>8141</v>
      </c>
      <c r="H37" s="8">
        <v>-3.7501930615661698</v>
      </c>
      <c r="I37" s="8">
        <v>-38.545942050787801</v>
      </c>
      <c r="J37" s="5" t="str">
        <f t="shared" si="4"/>
        <v>Damas; 6 Votos; 0,07%</v>
      </c>
    </row>
    <row r="38" spans="1:10" x14ac:dyDescent="0.25">
      <c r="A38" s="7">
        <v>113</v>
      </c>
      <c r="B38">
        <v>7</v>
      </c>
      <c r="C38" s="20">
        <f t="shared" si="3"/>
        <v>8.598452278589854E-4</v>
      </c>
      <c r="D38" s="7" t="s">
        <v>133</v>
      </c>
      <c r="E38" s="7">
        <v>2</v>
      </c>
      <c r="F38" s="23">
        <v>0.09</v>
      </c>
      <c r="G38" s="7">
        <f t="shared" si="5"/>
        <v>8141</v>
      </c>
      <c r="H38" s="8">
        <v>-3.7397366628463802</v>
      </c>
      <c r="I38" s="8">
        <v>-38.463829494715299</v>
      </c>
      <c r="J38" s="5" t="str">
        <f t="shared" si="4"/>
        <v>De Lourdes; 7 Votos; 0,09%</v>
      </c>
    </row>
    <row r="39" spans="1:10" x14ac:dyDescent="0.25">
      <c r="A39" s="7">
        <v>96</v>
      </c>
      <c r="B39">
        <v>13</v>
      </c>
      <c r="C39" s="20">
        <f t="shared" si="3"/>
        <v>1.5968554231666871E-3</v>
      </c>
      <c r="D39" s="5" t="s">
        <v>116</v>
      </c>
      <c r="E39" s="7">
        <v>11</v>
      </c>
      <c r="F39" s="23">
        <v>0.16</v>
      </c>
      <c r="G39" s="7">
        <f t="shared" si="5"/>
        <v>8141</v>
      </c>
      <c r="H39" s="8">
        <v>-3.7619043448426002</v>
      </c>
      <c r="I39" s="8">
        <v>-38.564763741306301</v>
      </c>
      <c r="J39" s="5" t="str">
        <f t="shared" si="4"/>
        <v>Demócrito Rocha; 13 Votos; 0,16%</v>
      </c>
    </row>
    <row r="40" spans="1:10" x14ac:dyDescent="0.25">
      <c r="A40" s="7">
        <v>77</v>
      </c>
      <c r="B40"/>
      <c r="C40" s="20">
        <f t="shared" si="3"/>
        <v>0</v>
      </c>
      <c r="D40" s="5" t="s">
        <v>97</v>
      </c>
      <c r="E40" s="7">
        <v>8</v>
      </c>
      <c r="F40" s="23">
        <v>0</v>
      </c>
      <c r="G40" s="7">
        <f t="shared" si="5"/>
        <v>8141</v>
      </c>
      <c r="H40" s="8">
        <v>-3.7956267721391299</v>
      </c>
      <c r="I40" s="8">
        <v>-38.554871755016002</v>
      </c>
      <c r="J40" s="5" t="str">
        <f t="shared" si="4"/>
        <v>Dendê / Raquel de Queiroz;  Votos; 0%</v>
      </c>
    </row>
    <row r="41" spans="1:10" x14ac:dyDescent="0.25">
      <c r="A41" s="7">
        <v>97</v>
      </c>
      <c r="B41">
        <v>18</v>
      </c>
      <c r="C41" s="20">
        <f t="shared" si="3"/>
        <v>2.2110305859231053E-3</v>
      </c>
      <c r="D41" s="5" t="s">
        <v>117</v>
      </c>
      <c r="E41" s="7">
        <v>8</v>
      </c>
      <c r="F41" s="23">
        <v>0.22</v>
      </c>
      <c r="G41" s="7">
        <f t="shared" si="5"/>
        <v>8141</v>
      </c>
      <c r="H41" s="8">
        <v>-3.7876100124265899</v>
      </c>
      <c r="I41" s="8">
        <v>-38.527414085906003</v>
      </c>
      <c r="J41" s="5" t="str">
        <f t="shared" si="4"/>
        <v>Dias Macedo; 18 Votos; 0,22%</v>
      </c>
    </row>
    <row r="42" spans="1:10" x14ac:dyDescent="0.25">
      <c r="A42" s="7">
        <v>14</v>
      </c>
      <c r="B42">
        <v>12</v>
      </c>
      <c r="C42" s="20">
        <f t="shared" si="3"/>
        <v>1.4740203906154035E-3</v>
      </c>
      <c r="D42" s="7" t="s">
        <v>34</v>
      </c>
      <c r="E42" s="7">
        <v>2</v>
      </c>
      <c r="F42" s="23">
        <v>0.15</v>
      </c>
      <c r="G42" s="7">
        <f t="shared" si="5"/>
        <v>8141</v>
      </c>
      <c r="H42" s="8">
        <v>-3.7466362407272902</v>
      </c>
      <c r="I42" s="8">
        <v>-38.501641285177101</v>
      </c>
      <c r="J42" s="5" t="str">
        <f t="shared" si="4"/>
        <v>Dionisio Torres; 12 Votos; 0,15%</v>
      </c>
    </row>
    <row r="43" spans="1:10" x14ac:dyDescent="0.25">
      <c r="A43" s="7">
        <v>43</v>
      </c>
      <c r="B43">
        <v>13</v>
      </c>
      <c r="C43" s="20">
        <f t="shared" si="3"/>
        <v>1.5968554231666871E-3</v>
      </c>
      <c r="D43" s="7" t="s">
        <v>63</v>
      </c>
      <c r="E43" s="7">
        <v>11</v>
      </c>
      <c r="F43" s="23">
        <v>0.16</v>
      </c>
      <c r="G43" s="7">
        <f t="shared" si="5"/>
        <v>8141</v>
      </c>
      <c r="H43" s="8">
        <v>-3.7554394732483001</v>
      </c>
      <c r="I43" s="8">
        <v>-38.589623726028101</v>
      </c>
      <c r="J43" s="5" t="str">
        <f t="shared" si="4"/>
        <v>Dom Lustosa; 13 Votos; 0,16%</v>
      </c>
    </row>
    <row r="44" spans="1:10" x14ac:dyDescent="0.25">
      <c r="A44" s="7">
        <v>57</v>
      </c>
      <c r="B44">
        <v>22</v>
      </c>
      <c r="C44" s="20">
        <f t="shared" si="3"/>
        <v>2.70237071612824E-3</v>
      </c>
      <c r="D44" s="5" t="s">
        <v>77</v>
      </c>
      <c r="E44" s="7">
        <v>7</v>
      </c>
      <c r="F44" s="23">
        <v>0.27</v>
      </c>
      <c r="G44" s="7">
        <f t="shared" si="5"/>
        <v>8141</v>
      </c>
      <c r="H44" s="8">
        <v>-3.7734109847680899</v>
      </c>
      <c r="I44" s="8">
        <v>-38.476795027420103</v>
      </c>
      <c r="J44" s="5" t="str">
        <f t="shared" si="4"/>
        <v>Edson Queiroz; 22 Votos; 0,27%</v>
      </c>
    </row>
    <row r="45" spans="1:10" x14ac:dyDescent="0.25">
      <c r="A45" s="7">
        <v>38</v>
      </c>
      <c r="B45">
        <v>18</v>
      </c>
      <c r="C45" s="20">
        <f t="shared" si="3"/>
        <v>2.2110305859231053E-3</v>
      </c>
      <c r="D45" s="7" t="s">
        <v>58</v>
      </c>
      <c r="E45" s="7">
        <v>3</v>
      </c>
      <c r="F45" s="23">
        <v>0.22</v>
      </c>
      <c r="G45" s="7">
        <f t="shared" si="5"/>
        <v>8141</v>
      </c>
      <c r="H45" s="8">
        <v>-3.7232122164096402</v>
      </c>
      <c r="I45" s="8">
        <v>-38.558165735754699</v>
      </c>
      <c r="J45" s="5" t="str">
        <f t="shared" si="4"/>
        <v>Ellery; 18 Votos; 0,22%</v>
      </c>
    </row>
    <row r="46" spans="1:10" x14ac:dyDescent="0.25">
      <c r="A46" s="7">
        <v>58</v>
      </c>
      <c r="B46">
        <v>33</v>
      </c>
      <c r="C46" s="20">
        <f t="shared" si="3"/>
        <v>4.0535560741923595E-3</v>
      </c>
      <c r="D46" s="5" t="s">
        <v>78</v>
      </c>
      <c r="E46" s="7">
        <v>7</v>
      </c>
      <c r="F46" s="23">
        <v>0.41</v>
      </c>
      <c r="G46" s="7">
        <f t="shared" si="5"/>
        <v>8141</v>
      </c>
      <c r="H46" s="8">
        <v>-3.7702613040788902</v>
      </c>
      <c r="I46" s="8">
        <v>-38.483598983838498</v>
      </c>
      <c r="J46" s="5" t="str">
        <f t="shared" si="4"/>
        <v>Eng Luciano Cavalcante; 33 Votos; 0,41%</v>
      </c>
    </row>
    <row r="47" spans="1:10" x14ac:dyDescent="0.25">
      <c r="A47" s="7">
        <v>15</v>
      </c>
      <c r="B47">
        <v>18</v>
      </c>
      <c r="C47" s="20">
        <f t="shared" si="3"/>
        <v>2.2110305859231053E-3</v>
      </c>
      <c r="D47" s="7" t="s">
        <v>35</v>
      </c>
      <c r="E47" s="7">
        <v>3</v>
      </c>
      <c r="F47" s="23">
        <v>0.22</v>
      </c>
      <c r="G47" s="7">
        <f t="shared" si="5"/>
        <v>8141</v>
      </c>
      <c r="H47" s="8">
        <v>-3.73209256228118</v>
      </c>
      <c r="I47" s="8">
        <v>-38.541562729521601</v>
      </c>
      <c r="J47" s="5" t="str">
        <f t="shared" si="4"/>
        <v>Farias Brito; 18 Votos; 0,22%</v>
      </c>
    </row>
    <row r="48" spans="1:10" x14ac:dyDescent="0.25">
      <c r="A48" s="7">
        <v>16</v>
      </c>
      <c r="B48">
        <v>18</v>
      </c>
      <c r="C48" s="20">
        <f t="shared" si="3"/>
        <v>2.2110305859231053E-3</v>
      </c>
      <c r="D48" s="7" t="s">
        <v>36</v>
      </c>
      <c r="E48" s="7">
        <v>4</v>
      </c>
      <c r="F48" s="23">
        <v>0.22</v>
      </c>
      <c r="G48" s="7">
        <f t="shared" si="5"/>
        <v>8141</v>
      </c>
      <c r="H48" s="8">
        <v>-3.7515603030788198</v>
      </c>
      <c r="I48" s="8">
        <v>-38.526676301673398</v>
      </c>
      <c r="J48" s="5" t="str">
        <f t="shared" si="4"/>
        <v>Fatima; 18 Votos; 0,22%</v>
      </c>
    </row>
    <row r="49" spans="1:10" x14ac:dyDescent="0.25">
      <c r="A49" s="7">
        <v>17</v>
      </c>
      <c r="B49">
        <v>145</v>
      </c>
      <c r="C49" s="20">
        <f t="shared" si="3"/>
        <v>1.7811079719936125E-2</v>
      </c>
      <c r="D49" s="7" t="s">
        <v>37</v>
      </c>
      <c r="E49" s="7">
        <v>1</v>
      </c>
      <c r="F49" s="23">
        <v>1.78</v>
      </c>
      <c r="G49" s="7">
        <f t="shared" si="5"/>
        <v>8141</v>
      </c>
      <c r="H49" s="8">
        <v>-3.72619124055575</v>
      </c>
      <c r="I49" s="8">
        <v>-38.576785296760498</v>
      </c>
      <c r="J49" s="5" t="str">
        <f t="shared" si="4"/>
        <v>Floresta; 145 Votos; 1,78%</v>
      </c>
    </row>
    <row r="50" spans="1:10" x14ac:dyDescent="0.25">
      <c r="A50" s="7">
        <v>44</v>
      </c>
      <c r="B50">
        <v>10</v>
      </c>
      <c r="C50" s="20">
        <f t="shared" si="3"/>
        <v>1.2283503255128363E-3</v>
      </c>
      <c r="D50" s="7" t="s">
        <v>64</v>
      </c>
      <c r="E50" s="7">
        <v>11</v>
      </c>
      <c r="F50" s="23">
        <v>0.12</v>
      </c>
      <c r="G50" s="7">
        <f t="shared" si="5"/>
        <v>8141</v>
      </c>
      <c r="H50" s="8">
        <v>-3.7516470528074999</v>
      </c>
      <c r="I50" s="8">
        <v>-38.600969744826699</v>
      </c>
      <c r="J50" s="5" t="str">
        <f t="shared" si="4"/>
        <v>Genibau; 10 Votos; 0,12%</v>
      </c>
    </row>
    <row r="51" spans="1:10" x14ac:dyDescent="0.25">
      <c r="A51" s="7">
        <v>78</v>
      </c>
      <c r="B51">
        <v>61</v>
      </c>
      <c r="C51" s="20">
        <f t="shared" si="3"/>
        <v>7.4929369856283016E-3</v>
      </c>
      <c r="D51" s="5" t="s">
        <v>98</v>
      </c>
      <c r="E51" s="7">
        <v>5</v>
      </c>
      <c r="F51" s="23">
        <v>0.75</v>
      </c>
      <c r="G51" s="7">
        <f t="shared" si="5"/>
        <v>8141</v>
      </c>
      <c r="H51" s="8">
        <v>-3.7933731956045</v>
      </c>
      <c r="I51" s="8">
        <v>-38.620273767964399</v>
      </c>
      <c r="J51" s="5" t="str">
        <f t="shared" si="4"/>
        <v>Granja Lisboa; 61 Votos; 0,75%</v>
      </c>
    </row>
    <row r="52" spans="1:10" x14ac:dyDescent="0.25">
      <c r="A52" s="7">
        <v>79</v>
      </c>
      <c r="B52">
        <v>51</v>
      </c>
      <c r="C52" s="20">
        <f t="shared" si="3"/>
        <v>6.2645866601154648E-3</v>
      </c>
      <c r="D52" s="5" t="s">
        <v>99</v>
      </c>
      <c r="E52" s="7">
        <v>5</v>
      </c>
      <c r="F52" s="23">
        <v>0.63</v>
      </c>
      <c r="G52" s="7">
        <f t="shared" si="5"/>
        <v>8141</v>
      </c>
      <c r="H52" s="8">
        <v>-3.7790253278716199</v>
      </c>
      <c r="I52" s="8">
        <v>-38.601168123088698</v>
      </c>
      <c r="J52" s="5" t="str">
        <f t="shared" si="4"/>
        <v>Granja Portugal; 51 Votos; 0,63%</v>
      </c>
    </row>
    <row r="53" spans="1:10" x14ac:dyDescent="0.25">
      <c r="A53" s="7">
        <v>59</v>
      </c>
      <c r="B53">
        <v>6</v>
      </c>
      <c r="C53" s="20">
        <f t="shared" si="3"/>
        <v>7.3701019530770173E-4</v>
      </c>
      <c r="D53" s="5" t="s">
        <v>79</v>
      </c>
      <c r="E53" s="7">
        <v>6</v>
      </c>
      <c r="F53" s="23">
        <v>7.0000000000000007E-2</v>
      </c>
      <c r="G53" s="7">
        <f t="shared" si="5"/>
        <v>8141</v>
      </c>
      <c r="H53" s="8">
        <v>-3.8312931400095298</v>
      </c>
      <c r="I53" s="8">
        <v>-38.480253466418297</v>
      </c>
      <c r="J53" s="5" t="str">
        <f t="shared" si="4"/>
        <v>Guajeru; 6 Votos; 0,07%</v>
      </c>
    </row>
    <row r="54" spans="1:10" x14ac:dyDescent="0.25">
      <c r="A54" s="7">
        <v>60</v>
      </c>
      <c r="B54">
        <v>2</v>
      </c>
      <c r="C54" s="20">
        <f t="shared" si="3"/>
        <v>2.4567006510256724E-4</v>
      </c>
      <c r="D54" s="5" t="s">
        <v>80</v>
      </c>
      <c r="E54" s="7">
        <v>7</v>
      </c>
      <c r="F54" s="23">
        <v>0.02</v>
      </c>
      <c r="G54" s="7">
        <f t="shared" si="5"/>
        <v>8141</v>
      </c>
      <c r="H54" s="8">
        <v>-3.7648339675464899</v>
      </c>
      <c r="I54" s="8">
        <v>-38.486628571489</v>
      </c>
      <c r="J54" s="5" t="str">
        <f t="shared" si="4"/>
        <v>Guararapes; 2 Votos; 0,02%</v>
      </c>
    </row>
    <row r="55" spans="1:10" x14ac:dyDescent="0.25">
      <c r="A55" s="7">
        <v>45</v>
      </c>
      <c r="B55">
        <v>43</v>
      </c>
      <c r="C55" s="20">
        <f t="shared" si="3"/>
        <v>5.2819063997051963E-3</v>
      </c>
      <c r="D55" s="7" t="s">
        <v>65</v>
      </c>
      <c r="E55" s="7">
        <v>11</v>
      </c>
      <c r="F55" s="23">
        <v>0.53</v>
      </c>
      <c r="G55" s="7">
        <f t="shared" si="5"/>
        <v>8141</v>
      </c>
      <c r="H55" s="8">
        <v>-3.7650871411326698</v>
      </c>
      <c r="I55" s="8">
        <v>-38.584909699442299</v>
      </c>
      <c r="J55" s="5" t="str">
        <f t="shared" si="4"/>
        <v>Henrique Jorge; 43 Votos; 0,53%</v>
      </c>
    </row>
    <row r="56" spans="1:10" x14ac:dyDescent="0.25">
      <c r="A56" s="7">
        <v>98</v>
      </c>
      <c r="B56">
        <v>1</v>
      </c>
      <c r="C56" s="20">
        <f t="shared" si="3"/>
        <v>1.2283503255128362E-4</v>
      </c>
      <c r="D56" s="5" t="s">
        <v>118</v>
      </c>
      <c r="E56" s="7">
        <v>4</v>
      </c>
      <c r="F56" s="23">
        <v>0.01</v>
      </c>
      <c r="G56" s="7">
        <f t="shared" si="5"/>
        <v>8141</v>
      </c>
      <c r="H56" s="8">
        <v>-3.7712477296372899</v>
      </c>
      <c r="I56" s="8">
        <v>-38.5562904842132</v>
      </c>
      <c r="J56" s="5" t="str">
        <f t="shared" si="4"/>
        <v>Itaoca; 1 Votos; 0,01%</v>
      </c>
    </row>
    <row r="57" spans="1:10" x14ac:dyDescent="0.25">
      <c r="A57" s="7">
        <v>99</v>
      </c>
      <c r="B57">
        <v>32</v>
      </c>
      <c r="C57" s="20">
        <f t="shared" si="3"/>
        <v>3.9307210416410759E-3</v>
      </c>
      <c r="D57" s="5" t="s">
        <v>119</v>
      </c>
      <c r="E57" s="7">
        <v>8</v>
      </c>
      <c r="F57" s="23">
        <v>0.39</v>
      </c>
      <c r="G57" s="7">
        <f t="shared" si="5"/>
        <v>8141</v>
      </c>
      <c r="H57" s="8">
        <v>-3.7866840241715898</v>
      </c>
      <c r="I57" s="8">
        <v>-38.553120544833398</v>
      </c>
      <c r="J57" s="5" t="str">
        <f t="shared" si="4"/>
        <v>Itaperi; 32 Votos; 0,39%</v>
      </c>
    </row>
    <row r="58" spans="1:10" x14ac:dyDescent="0.25">
      <c r="A58" s="7">
        <v>18</v>
      </c>
      <c r="B58">
        <v>54</v>
      </c>
      <c r="C58" s="20">
        <f t="shared" si="3"/>
        <v>6.6330917577693159E-3</v>
      </c>
      <c r="D58" s="7" t="s">
        <v>38</v>
      </c>
      <c r="E58" s="7">
        <v>1</v>
      </c>
      <c r="F58" s="23">
        <v>0.66</v>
      </c>
      <c r="G58" s="7">
        <f t="shared" si="5"/>
        <v>8141</v>
      </c>
      <c r="H58" s="8">
        <v>-3.7233636491008499</v>
      </c>
      <c r="I58" s="8">
        <v>-38.543071831764003</v>
      </c>
      <c r="J58" s="5" t="str">
        <f t="shared" si="4"/>
        <v>Jacarecanga; 54 Votos; 0,66%</v>
      </c>
    </row>
    <row r="59" spans="1:10" x14ac:dyDescent="0.25">
      <c r="A59" s="7">
        <v>61</v>
      </c>
      <c r="B59">
        <v>22</v>
      </c>
      <c r="C59" s="20">
        <f t="shared" si="3"/>
        <v>2.70237071612824E-3</v>
      </c>
      <c r="D59" s="5" t="s">
        <v>81</v>
      </c>
      <c r="E59" s="7">
        <v>9</v>
      </c>
      <c r="F59" s="23">
        <v>0.27</v>
      </c>
      <c r="G59" s="7">
        <f t="shared" si="5"/>
        <v>8141</v>
      </c>
      <c r="H59" s="8">
        <v>-3.8293916315480598</v>
      </c>
      <c r="I59" s="8">
        <v>-38.521109009752102</v>
      </c>
      <c r="J59" s="5" t="str">
        <f t="shared" si="4"/>
        <v>Jangurussu; 22 Votos; 0,27%</v>
      </c>
    </row>
    <row r="60" spans="1:10" x14ac:dyDescent="0.25">
      <c r="A60" s="7">
        <v>19</v>
      </c>
      <c r="B60">
        <v>12</v>
      </c>
      <c r="C60" s="20">
        <f t="shared" si="3"/>
        <v>1.4740203906154035E-3</v>
      </c>
      <c r="D60" s="7" t="s">
        <v>39</v>
      </c>
      <c r="E60" s="7">
        <v>4</v>
      </c>
      <c r="F60" s="23">
        <v>0.15</v>
      </c>
      <c r="G60" s="7">
        <f t="shared" si="5"/>
        <v>8141</v>
      </c>
      <c r="H60" s="8">
        <v>-3.7518452293694602</v>
      </c>
      <c r="I60" s="8">
        <v>-38.539152524464903</v>
      </c>
      <c r="J60" s="5" t="str">
        <f t="shared" si="4"/>
        <v>Jardim America; 12 Votos; 0,15%</v>
      </c>
    </row>
    <row r="61" spans="1:10" x14ac:dyDescent="0.25">
      <c r="A61" s="7">
        <v>80</v>
      </c>
      <c r="B61">
        <v>11</v>
      </c>
      <c r="C61" s="20">
        <f t="shared" si="3"/>
        <v>1.35118535806412E-3</v>
      </c>
      <c r="D61" s="5" t="s">
        <v>100</v>
      </c>
      <c r="E61" s="7">
        <v>10</v>
      </c>
      <c r="F61" s="23">
        <v>0.14000000000000001</v>
      </c>
      <c r="G61" s="7">
        <f t="shared" si="5"/>
        <v>8141</v>
      </c>
      <c r="H61" s="8">
        <v>-3.80031139104018</v>
      </c>
      <c r="I61" s="8">
        <v>-38.566177251244802</v>
      </c>
      <c r="J61" s="5" t="str">
        <f t="shared" si="4"/>
        <v>Jardim Cearense; 11 Votos; 0,14%</v>
      </c>
    </row>
    <row r="62" spans="1:10" x14ac:dyDescent="0.25">
      <c r="A62" s="7">
        <v>62</v>
      </c>
      <c r="B62">
        <v>10</v>
      </c>
      <c r="C62" s="20">
        <f t="shared" si="3"/>
        <v>1.2283503255128363E-3</v>
      </c>
      <c r="D62" s="5" t="s">
        <v>82</v>
      </c>
      <c r="E62" s="7">
        <v>6</v>
      </c>
      <c r="F62" s="23">
        <v>0.12</v>
      </c>
      <c r="G62" s="7">
        <f t="shared" si="5"/>
        <v>8141</v>
      </c>
      <c r="H62" s="8">
        <v>-3.7767846486459402</v>
      </c>
      <c r="I62" s="8">
        <v>-38.5007040130306</v>
      </c>
      <c r="J62" s="5" t="str">
        <f t="shared" si="4"/>
        <v>Jardim das Oliveiras; 10 Votos; 0,12%</v>
      </c>
    </row>
    <row r="63" spans="1:10" x14ac:dyDescent="0.25">
      <c r="A63" s="7">
        <v>20</v>
      </c>
      <c r="B63">
        <v>145</v>
      </c>
      <c r="C63" s="20">
        <f t="shared" si="3"/>
        <v>1.7811079719936125E-2</v>
      </c>
      <c r="D63" s="7" t="s">
        <v>40</v>
      </c>
      <c r="E63" s="7">
        <v>1</v>
      </c>
      <c r="F63" s="23">
        <v>1.78</v>
      </c>
      <c r="G63" s="7">
        <f t="shared" si="5"/>
        <v>8141</v>
      </c>
      <c r="H63" s="8">
        <v>-3.7239391281284799</v>
      </c>
      <c r="I63" s="8">
        <v>-38.589812341226803</v>
      </c>
      <c r="J63" s="5" t="str">
        <f t="shared" si="4"/>
        <v>Jardim Guanabara; 145 Votos; 1,78%</v>
      </c>
    </row>
    <row r="64" spans="1:10" x14ac:dyDescent="0.25">
      <c r="A64" s="7">
        <v>21</v>
      </c>
      <c r="B64">
        <v>2115</v>
      </c>
      <c r="C64" s="20">
        <f t="shared" si="3"/>
        <v>0.25979609384596486</v>
      </c>
      <c r="D64" s="7" t="s">
        <v>41</v>
      </c>
      <c r="E64" s="7">
        <v>1</v>
      </c>
      <c r="F64" s="23">
        <v>25.98</v>
      </c>
      <c r="G64" s="7">
        <f t="shared" si="5"/>
        <v>8141</v>
      </c>
      <c r="H64" s="8">
        <v>-3.7222030360943399</v>
      </c>
      <c r="I64" s="8">
        <v>-38.5836486181475</v>
      </c>
      <c r="J64" s="5" t="str">
        <f t="shared" si="4"/>
        <v>Jardim Iracema; 2115 Votos; 25,98%</v>
      </c>
    </row>
    <row r="65" spans="1:10" x14ac:dyDescent="0.25">
      <c r="A65" s="7">
        <v>46</v>
      </c>
      <c r="B65">
        <v>31</v>
      </c>
      <c r="C65" s="20">
        <f t="shared" si="3"/>
        <v>3.8078860090897922E-3</v>
      </c>
      <c r="D65" s="7" t="s">
        <v>66</v>
      </c>
      <c r="E65" s="7">
        <v>11</v>
      </c>
      <c r="F65" s="23">
        <v>0.38</v>
      </c>
      <c r="G65" s="7">
        <f t="shared" si="5"/>
        <v>8141</v>
      </c>
      <c r="H65" s="8">
        <v>-3.7680084807697298</v>
      </c>
      <c r="I65" s="8">
        <v>-38.5904359970529</v>
      </c>
      <c r="J65" s="5" t="str">
        <f t="shared" si="4"/>
        <v>João XXIII; 31 Votos; 0,38%</v>
      </c>
    </row>
    <row r="66" spans="1:10" x14ac:dyDescent="0.25">
      <c r="A66" s="7">
        <v>22</v>
      </c>
      <c r="B66">
        <v>21</v>
      </c>
      <c r="C66" s="20">
        <f t="shared" ref="C66:C97" si="6">B66/G66</f>
        <v>2.5795356835769563E-3</v>
      </c>
      <c r="D66" s="7" t="s">
        <v>42</v>
      </c>
      <c r="E66" s="7">
        <v>2</v>
      </c>
      <c r="F66" s="23">
        <v>0.26</v>
      </c>
      <c r="G66" s="7">
        <f t="shared" si="5"/>
        <v>8141</v>
      </c>
      <c r="H66" s="8">
        <v>-3.74778232790861</v>
      </c>
      <c r="I66" s="8">
        <v>-38.518867248309697</v>
      </c>
      <c r="J66" s="5" t="str">
        <f t="shared" ref="J66:J97" si="7">D66&amp;"; "&amp;B66&amp;" Votos; "&amp;F66&amp;"%"</f>
        <v>Joaquim Távora; 21 Votos; 0,26%</v>
      </c>
    </row>
    <row r="67" spans="1:10" x14ac:dyDescent="0.25">
      <c r="A67" s="7">
        <v>100</v>
      </c>
      <c r="B67">
        <v>19</v>
      </c>
      <c r="C67" s="20">
        <f t="shared" si="6"/>
        <v>2.333865618474389E-3</v>
      </c>
      <c r="D67" s="5" t="s">
        <v>120</v>
      </c>
      <c r="E67" s="7">
        <v>11</v>
      </c>
      <c r="F67" s="23">
        <v>0.23</v>
      </c>
      <c r="G67" s="7">
        <f t="shared" ref="G67:G98" si="8">G66</f>
        <v>8141</v>
      </c>
      <c r="H67" s="8">
        <v>-3.7625262833534698</v>
      </c>
      <c r="I67" s="8">
        <v>-38.574086651965402</v>
      </c>
      <c r="J67" s="5" t="str">
        <f t="shared" si="7"/>
        <v>Jóquei Clube; 19 Votos; 0,23%</v>
      </c>
    </row>
    <row r="68" spans="1:10" x14ac:dyDescent="0.25">
      <c r="A68" s="7">
        <v>23</v>
      </c>
      <c r="B68">
        <v>13</v>
      </c>
      <c r="C68" s="20">
        <f t="shared" si="6"/>
        <v>1.5968554231666871E-3</v>
      </c>
      <c r="D68" s="7" t="s">
        <v>43</v>
      </c>
      <c r="E68" s="7">
        <v>4</v>
      </c>
      <c r="F68" s="23">
        <v>0.16</v>
      </c>
      <c r="G68" s="7">
        <f t="shared" si="8"/>
        <v>8141</v>
      </c>
      <c r="H68" s="8">
        <v>-3.7389948930849402</v>
      </c>
      <c r="I68" s="8">
        <v>-38.523995594970302</v>
      </c>
      <c r="J68" s="5" t="str">
        <f t="shared" si="7"/>
        <v>José Bonifácio; 13 Votos; 0,16%</v>
      </c>
    </row>
    <row r="69" spans="1:10" x14ac:dyDescent="0.25">
      <c r="A69" s="7">
        <v>49</v>
      </c>
      <c r="B69">
        <v>5</v>
      </c>
      <c r="C69" s="20">
        <f t="shared" si="6"/>
        <v>6.1417516275641816E-4</v>
      </c>
      <c r="D69" s="7" t="s">
        <v>69</v>
      </c>
      <c r="E69" s="7">
        <v>6</v>
      </c>
      <c r="F69" s="23">
        <v>0.06</v>
      </c>
      <c r="G69" s="7">
        <f t="shared" si="8"/>
        <v>8141</v>
      </c>
      <c r="H69" s="8">
        <v>-3.8057596847658401</v>
      </c>
      <c r="I69" s="8">
        <v>-38.471245681105501</v>
      </c>
      <c r="J69" s="5" t="str">
        <f t="shared" si="7"/>
        <v>José de Alencar; 5 Votos; 0,06%</v>
      </c>
    </row>
    <row r="70" spans="1:10" x14ac:dyDescent="0.25">
      <c r="A70" s="7">
        <v>89</v>
      </c>
      <c r="B70">
        <v>54</v>
      </c>
      <c r="C70" s="20">
        <f t="shared" si="6"/>
        <v>6.6330917577693159E-3</v>
      </c>
      <c r="D70" s="5" t="s">
        <v>109</v>
      </c>
      <c r="E70" s="7">
        <v>8</v>
      </c>
      <c r="F70" s="23">
        <v>0.66</v>
      </c>
      <c r="G70" s="7">
        <f t="shared" si="8"/>
        <v>8141</v>
      </c>
      <c r="H70" s="8">
        <v>-3.8328047835560102</v>
      </c>
      <c r="I70" s="8">
        <v>-38.558117479880401</v>
      </c>
      <c r="J70" s="5" t="str">
        <f t="shared" si="7"/>
        <v>José Walter; 54 Votos; 0,66%</v>
      </c>
    </row>
    <row r="71" spans="1:10" x14ac:dyDescent="0.25">
      <c r="A71" s="7">
        <v>63</v>
      </c>
      <c r="B71">
        <v>13</v>
      </c>
      <c r="C71" s="20">
        <f t="shared" si="6"/>
        <v>1.5968554231666871E-3</v>
      </c>
      <c r="D71" s="5" t="s">
        <v>83</v>
      </c>
      <c r="E71" s="7">
        <v>6</v>
      </c>
      <c r="F71" s="23">
        <v>0.16</v>
      </c>
      <c r="G71" s="7">
        <f t="shared" si="8"/>
        <v>8141</v>
      </c>
      <c r="H71" s="8">
        <v>-3.8138564978180498</v>
      </c>
      <c r="I71" s="8">
        <v>-38.466000188963399</v>
      </c>
      <c r="J71" s="5" t="str">
        <f t="shared" si="7"/>
        <v>Lagoa Redonda; 13 Votos; 0,16%</v>
      </c>
    </row>
    <row r="72" spans="1:10" x14ac:dyDescent="0.25">
      <c r="A72" s="7">
        <v>81</v>
      </c>
      <c r="B72">
        <v>32</v>
      </c>
      <c r="C72" s="20">
        <f t="shared" si="6"/>
        <v>3.9307210416410759E-3</v>
      </c>
      <c r="D72" s="5" t="s">
        <v>101</v>
      </c>
      <c r="E72" s="7">
        <v>10</v>
      </c>
      <c r="F72" s="23">
        <v>0.39</v>
      </c>
      <c r="G72" s="7">
        <f t="shared" si="8"/>
        <v>8141</v>
      </c>
      <c r="H72" s="8">
        <v>-3.7975320259768401</v>
      </c>
      <c r="I72" s="8">
        <v>-38.580770879845801</v>
      </c>
      <c r="J72" s="5" t="str">
        <f t="shared" si="7"/>
        <v>Manoel Sátiro; 32 Votos; 0,39%</v>
      </c>
    </row>
    <row r="73" spans="1:10" x14ac:dyDescent="0.25">
      <c r="A73" s="7">
        <v>110</v>
      </c>
      <c r="B73"/>
      <c r="C73" s="20">
        <f t="shared" si="6"/>
        <v>0</v>
      </c>
      <c r="D73" s="7" t="s">
        <v>130</v>
      </c>
      <c r="E73" s="7">
        <v>7</v>
      </c>
      <c r="F73" s="23">
        <v>0</v>
      </c>
      <c r="G73" s="7">
        <f t="shared" si="8"/>
        <v>8141</v>
      </c>
      <c r="H73" s="8">
        <v>-3.75642777859143</v>
      </c>
      <c r="I73" s="8">
        <v>-38.456780907749</v>
      </c>
      <c r="J73" s="5" t="str">
        <f t="shared" si="7"/>
        <v>Manuel Dias Branco;  Votos; 0%</v>
      </c>
    </row>
    <row r="74" spans="1:10" x14ac:dyDescent="0.25">
      <c r="A74" s="7">
        <v>82</v>
      </c>
      <c r="B74">
        <v>8</v>
      </c>
      <c r="C74" s="20">
        <f t="shared" si="6"/>
        <v>9.8268026041026897E-4</v>
      </c>
      <c r="D74" s="5" t="s">
        <v>102</v>
      </c>
      <c r="E74" s="7">
        <v>10</v>
      </c>
      <c r="F74" s="23">
        <v>0.1</v>
      </c>
      <c r="G74" s="7">
        <f t="shared" si="8"/>
        <v>8141</v>
      </c>
      <c r="H74" s="8">
        <v>-3.8001163536715401</v>
      </c>
      <c r="I74" s="8">
        <v>-38.572654338560803</v>
      </c>
      <c r="J74" s="5" t="str">
        <f t="shared" si="7"/>
        <v>Maraponga; 8 Votos; 0,1%</v>
      </c>
    </row>
    <row r="75" spans="1:10" x14ac:dyDescent="0.25">
      <c r="A75" s="7">
        <v>24</v>
      </c>
      <c r="B75">
        <v>41</v>
      </c>
      <c r="C75" s="20">
        <f t="shared" si="6"/>
        <v>5.0362363346026289E-3</v>
      </c>
      <c r="D75" s="7" t="s">
        <v>44</v>
      </c>
      <c r="E75" s="7">
        <v>2</v>
      </c>
      <c r="F75" s="23">
        <v>0.5</v>
      </c>
      <c r="G75" s="7">
        <f t="shared" si="8"/>
        <v>8141</v>
      </c>
      <c r="H75" s="8">
        <v>-3.7269179692477898</v>
      </c>
      <c r="I75" s="8">
        <v>-38.5046842194972</v>
      </c>
      <c r="J75" s="5" t="str">
        <f t="shared" si="7"/>
        <v>Meireles; 41 Votos; 0,5%</v>
      </c>
    </row>
    <row r="76" spans="1:10" x14ac:dyDescent="0.25">
      <c r="A76" s="7">
        <v>65</v>
      </c>
      <c r="B76">
        <v>56</v>
      </c>
      <c r="C76" s="20">
        <f t="shared" si="6"/>
        <v>6.8787618228718832E-3</v>
      </c>
      <c r="D76" s="5" t="s">
        <v>85</v>
      </c>
      <c r="E76" s="7">
        <v>6</v>
      </c>
      <c r="F76" s="23">
        <v>0.69</v>
      </c>
      <c r="G76" s="7">
        <f t="shared" si="8"/>
        <v>8141</v>
      </c>
      <c r="H76" s="8">
        <v>-3.8215893626984299</v>
      </c>
      <c r="I76" s="8">
        <v>-38.481614036021597</v>
      </c>
      <c r="J76" s="5" t="str">
        <f t="shared" si="7"/>
        <v>Messejana; 56 Votos; 0,69%</v>
      </c>
    </row>
    <row r="77" spans="1:10" x14ac:dyDescent="0.25">
      <c r="A77" s="7">
        <v>83</v>
      </c>
      <c r="B77">
        <v>28</v>
      </c>
      <c r="C77" s="20">
        <f t="shared" si="6"/>
        <v>3.4393809114359416E-3</v>
      </c>
      <c r="D77" s="5" t="s">
        <v>103</v>
      </c>
      <c r="E77" s="7">
        <v>10</v>
      </c>
      <c r="F77" s="23">
        <v>0.34</v>
      </c>
      <c r="G77" s="7">
        <f t="shared" si="8"/>
        <v>8141</v>
      </c>
      <c r="H77" s="8">
        <v>-3.8125792178685902</v>
      </c>
      <c r="I77" s="8">
        <v>-38.569573265927303</v>
      </c>
      <c r="J77" s="5" t="str">
        <f t="shared" si="7"/>
        <v>Mondubim; 28 Votos; 0,34%</v>
      </c>
    </row>
    <row r="78" spans="1:10" x14ac:dyDescent="0.25">
      <c r="A78" s="7">
        <v>25</v>
      </c>
      <c r="B78">
        <v>107</v>
      </c>
      <c r="C78" s="20">
        <f t="shared" si="6"/>
        <v>1.3143348482987347E-2</v>
      </c>
      <c r="D78" s="7" t="s">
        <v>45</v>
      </c>
      <c r="E78" s="7">
        <v>3</v>
      </c>
      <c r="F78" s="23">
        <v>1.31</v>
      </c>
      <c r="G78" s="7">
        <f t="shared" si="8"/>
        <v>8141</v>
      </c>
      <c r="H78" s="8">
        <v>-3.7271800547323499</v>
      </c>
      <c r="I78" s="8">
        <v>-38.547194970918603</v>
      </c>
      <c r="J78" s="5" t="str">
        <f t="shared" si="7"/>
        <v>Monte Castelo; 107 Votos; 1,31%</v>
      </c>
    </row>
    <row r="79" spans="1:10" x14ac:dyDescent="0.25">
      <c r="A79" s="7">
        <v>101</v>
      </c>
      <c r="B79">
        <v>74</v>
      </c>
      <c r="C79" s="20">
        <f t="shared" si="6"/>
        <v>9.0897924087949885E-3</v>
      </c>
      <c r="D79" s="5" t="s">
        <v>121</v>
      </c>
      <c r="E79" s="7">
        <v>4</v>
      </c>
      <c r="F79" s="23">
        <v>0.91</v>
      </c>
      <c r="G79" s="7">
        <f t="shared" si="8"/>
        <v>8141</v>
      </c>
      <c r="H79" s="8">
        <v>-3.75917775823928</v>
      </c>
      <c r="I79" s="8">
        <v>-38.556057834356501</v>
      </c>
      <c r="J79" s="5" t="str">
        <f t="shared" si="7"/>
        <v>Montese; 74 Votos; 0,91%</v>
      </c>
    </row>
    <row r="80" spans="1:10" x14ac:dyDescent="0.25">
      <c r="A80" s="7">
        <v>5</v>
      </c>
      <c r="B80">
        <v>105</v>
      </c>
      <c r="C80" s="20">
        <f t="shared" si="6"/>
        <v>1.2897678417884782E-2</v>
      </c>
      <c r="D80" s="7" t="s">
        <v>25</v>
      </c>
      <c r="E80" s="7">
        <v>12</v>
      </c>
      <c r="F80" s="23">
        <v>1.29</v>
      </c>
      <c r="G80" s="7">
        <f t="shared" si="8"/>
        <v>8141</v>
      </c>
      <c r="H80" s="8">
        <v>-3.7184777140240799</v>
      </c>
      <c r="I80" s="8">
        <v>-38.532559596432002</v>
      </c>
      <c r="J80" s="5" t="str">
        <f t="shared" si="7"/>
        <v>Moura Brasil; 105 Votos; 1,29%</v>
      </c>
    </row>
    <row r="81" spans="1:10" x14ac:dyDescent="0.25">
      <c r="A81" s="7">
        <v>26</v>
      </c>
      <c r="B81">
        <v>7</v>
      </c>
      <c r="C81" s="20">
        <f t="shared" si="6"/>
        <v>8.598452278589854E-4</v>
      </c>
      <c r="D81" s="7" t="s">
        <v>46</v>
      </c>
      <c r="E81" s="7">
        <v>2</v>
      </c>
      <c r="F81" s="23">
        <v>0.09</v>
      </c>
      <c r="G81" s="7">
        <f t="shared" si="8"/>
        <v>8141</v>
      </c>
      <c r="H81" s="8">
        <v>-3.7254466302023399</v>
      </c>
      <c r="I81" s="8">
        <v>-38.4838066068139</v>
      </c>
      <c r="J81" s="5" t="str">
        <f t="shared" si="7"/>
        <v>Mucuripe; 7 Votos; 0,09%</v>
      </c>
    </row>
    <row r="82" spans="1:10" x14ac:dyDescent="0.25">
      <c r="A82" s="7">
        <v>117</v>
      </c>
      <c r="B82">
        <v>5</v>
      </c>
      <c r="C82" s="20">
        <f t="shared" si="6"/>
        <v>6.1417516275641816E-4</v>
      </c>
      <c r="D82" s="7" t="s">
        <v>137</v>
      </c>
      <c r="E82" s="7">
        <v>10</v>
      </c>
      <c r="F82" s="23">
        <v>0.06</v>
      </c>
      <c r="G82" s="7">
        <f t="shared" si="8"/>
        <v>8141</v>
      </c>
      <c r="H82" s="8">
        <v>-3.8131898120131198</v>
      </c>
      <c r="I82" s="8">
        <v>-38.586563691754797</v>
      </c>
      <c r="J82" s="5" t="str">
        <f t="shared" si="7"/>
        <v>Novo Mondubim; 5 Votos; 0,06%</v>
      </c>
    </row>
    <row r="83" spans="1:10" x14ac:dyDescent="0.25">
      <c r="A83" s="7">
        <v>118</v>
      </c>
      <c r="B83"/>
      <c r="C83" s="20">
        <f t="shared" si="6"/>
        <v>0</v>
      </c>
      <c r="D83" s="7" t="s">
        <v>138</v>
      </c>
      <c r="E83" s="7">
        <v>3</v>
      </c>
      <c r="F83" s="23">
        <v>0</v>
      </c>
      <c r="G83" s="7">
        <f t="shared" si="8"/>
        <v>8141</v>
      </c>
      <c r="H83" s="8">
        <v>-3.7291007990209999</v>
      </c>
      <c r="I83" s="8">
        <v>-38.589731419797097</v>
      </c>
      <c r="J83" s="5" t="str">
        <f t="shared" si="7"/>
        <v>Olavo Oliveira;  Votos; 0%</v>
      </c>
    </row>
    <row r="84" spans="1:10" x14ac:dyDescent="0.25">
      <c r="A84" s="7">
        <v>47</v>
      </c>
      <c r="B84">
        <v>805</v>
      </c>
      <c r="C84" s="20">
        <f t="shared" si="6"/>
        <v>9.8882201203783313E-2</v>
      </c>
      <c r="D84" s="7" t="s">
        <v>67</v>
      </c>
      <c r="E84" s="7">
        <v>3</v>
      </c>
      <c r="F84" s="23">
        <v>9.89</v>
      </c>
      <c r="G84" s="7">
        <f t="shared" si="8"/>
        <v>8141</v>
      </c>
      <c r="H84" s="8">
        <v>-3.7315025216373301</v>
      </c>
      <c r="I84" s="8">
        <v>-38.580920308954497</v>
      </c>
      <c r="J84" s="5" t="str">
        <f t="shared" si="7"/>
        <v>Padre Andrade; 805 Votos; 9,89%</v>
      </c>
    </row>
    <row r="85" spans="1:10" x14ac:dyDescent="0.25">
      <c r="A85" s="7">
        <v>102</v>
      </c>
      <c r="B85">
        <v>14</v>
      </c>
      <c r="C85" s="20">
        <f t="shared" si="6"/>
        <v>1.7196904557179708E-3</v>
      </c>
      <c r="D85" s="5" t="s">
        <v>122</v>
      </c>
      <c r="E85" s="7">
        <v>11</v>
      </c>
      <c r="F85" s="23">
        <v>0.17</v>
      </c>
      <c r="G85" s="7">
        <f t="shared" si="8"/>
        <v>8141</v>
      </c>
      <c r="H85" s="8">
        <v>-3.7573760474097702</v>
      </c>
      <c r="I85" s="8">
        <v>-38.565319377017701</v>
      </c>
      <c r="J85" s="5" t="str">
        <f t="shared" si="7"/>
        <v>Panamericano; 14 Votos; 0,17%</v>
      </c>
    </row>
    <row r="86" spans="1:10" x14ac:dyDescent="0.25">
      <c r="A86" s="7">
        <v>27</v>
      </c>
      <c r="B86">
        <v>19</v>
      </c>
      <c r="C86" s="20">
        <f t="shared" si="6"/>
        <v>2.333865618474389E-3</v>
      </c>
      <c r="D86" s="7" t="s">
        <v>47</v>
      </c>
      <c r="E86" s="7">
        <v>2</v>
      </c>
      <c r="F86" s="23">
        <v>0.23</v>
      </c>
      <c r="G86" s="7">
        <f t="shared" si="8"/>
        <v>8141</v>
      </c>
      <c r="H86" s="8">
        <v>-3.7427354585609498</v>
      </c>
      <c r="I86" s="8">
        <v>-38.468499998558499</v>
      </c>
      <c r="J86" s="5" t="str">
        <f t="shared" si="7"/>
        <v>Papicu; 19 Votos; 0,23%</v>
      </c>
    </row>
    <row r="87" spans="1:10" x14ac:dyDescent="0.25">
      <c r="A87" s="7">
        <v>103</v>
      </c>
      <c r="B87">
        <v>85</v>
      </c>
      <c r="C87" s="20">
        <f t="shared" si="6"/>
        <v>1.0440977766859108E-2</v>
      </c>
      <c r="D87" s="7" t="s">
        <v>123</v>
      </c>
      <c r="E87" s="7">
        <v>4</v>
      </c>
      <c r="F87" s="23">
        <v>1.04</v>
      </c>
      <c r="G87" s="7">
        <f t="shared" si="8"/>
        <v>8141</v>
      </c>
      <c r="H87" s="8">
        <v>-3.76812127559056</v>
      </c>
      <c r="I87" s="8">
        <v>-38.560748431647703</v>
      </c>
      <c r="J87" s="5" t="str">
        <f t="shared" si="7"/>
        <v>Parangaba; 85 Votos; 1,04%</v>
      </c>
    </row>
    <row r="88" spans="1:10" x14ac:dyDescent="0.25">
      <c r="A88" s="7">
        <v>28</v>
      </c>
      <c r="B88"/>
      <c r="C88" s="20">
        <f t="shared" si="6"/>
        <v>0</v>
      </c>
      <c r="D88" s="7" t="s">
        <v>48</v>
      </c>
      <c r="E88" s="7">
        <v>3</v>
      </c>
      <c r="F88" s="23">
        <v>0</v>
      </c>
      <c r="G88" s="7">
        <f t="shared" si="8"/>
        <v>8141</v>
      </c>
      <c r="H88" s="8">
        <v>-3.7318430325170402</v>
      </c>
      <c r="I88" s="8">
        <v>-38.545285153576103</v>
      </c>
      <c r="J88" s="5" t="str">
        <f t="shared" si="7"/>
        <v>Parque Araxá;  Votos; 0%</v>
      </c>
    </row>
    <row r="89" spans="1:10" x14ac:dyDescent="0.25">
      <c r="A89" s="7">
        <v>84</v>
      </c>
      <c r="B89">
        <v>15</v>
      </c>
      <c r="C89" s="20">
        <f t="shared" si="6"/>
        <v>1.8425254882692545E-3</v>
      </c>
      <c r="D89" s="5" t="s">
        <v>104</v>
      </c>
      <c r="E89" s="7">
        <v>8</v>
      </c>
      <c r="F89" s="23">
        <v>0.18</v>
      </c>
      <c r="G89" s="7">
        <f t="shared" si="8"/>
        <v>8141</v>
      </c>
      <c r="H89" s="8">
        <v>-3.80317693812944</v>
      </c>
      <c r="I89" s="8">
        <v>-38.551264647704897</v>
      </c>
      <c r="J89" s="5" t="str">
        <f t="shared" si="7"/>
        <v>Parque Dois Irmãos; 15 Votos; 0,18%</v>
      </c>
    </row>
    <row r="90" spans="1:10" x14ac:dyDescent="0.25">
      <c r="A90" s="7">
        <v>66</v>
      </c>
      <c r="B90"/>
      <c r="C90" s="20">
        <f t="shared" si="6"/>
        <v>0</v>
      </c>
      <c r="D90" s="5" t="s">
        <v>86</v>
      </c>
      <c r="E90" s="7">
        <v>6</v>
      </c>
      <c r="F90" s="23">
        <v>0</v>
      </c>
      <c r="G90" s="7">
        <f t="shared" si="8"/>
        <v>8141</v>
      </c>
      <c r="H90" s="8">
        <v>-3.8004820224838798</v>
      </c>
      <c r="I90" s="8">
        <v>-38.497777334654103</v>
      </c>
      <c r="J90" s="5" t="str">
        <f t="shared" si="7"/>
        <v>Parque Iracema;  Votos; 0%</v>
      </c>
    </row>
    <row r="91" spans="1:10" x14ac:dyDescent="0.25">
      <c r="A91" s="7">
        <v>67</v>
      </c>
      <c r="B91">
        <v>3</v>
      </c>
      <c r="C91" s="20">
        <f t="shared" si="6"/>
        <v>3.6850509765385086E-4</v>
      </c>
      <c r="D91" s="5" t="s">
        <v>87</v>
      </c>
      <c r="E91" s="7">
        <v>6</v>
      </c>
      <c r="F91" s="23">
        <v>0.04</v>
      </c>
      <c r="G91" s="7">
        <f t="shared" si="8"/>
        <v>8141</v>
      </c>
      <c r="H91" s="8">
        <v>-3.7881357501423598</v>
      </c>
      <c r="I91" s="8">
        <v>-38.4797857719646</v>
      </c>
      <c r="J91" s="5" t="str">
        <f t="shared" si="7"/>
        <v>Parque Manibura; 3 Votos; 0,04%</v>
      </c>
    </row>
    <row r="92" spans="1:10" x14ac:dyDescent="0.25">
      <c r="A92" s="7">
        <v>119</v>
      </c>
      <c r="B92">
        <v>9</v>
      </c>
      <c r="C92" s="20">
        <f t="shared" si="6"/>
        <v>1.1055152929615526E-3</v>
      </c>
      <c r="D92" s="5" t="s">
        <v>259</v>
      </c>
      <c r="E92" s="7">
        <v>9</v>
      </c>
      <c r="F92" s="23">
        <v>0.11</v>
      </c>
      <c r="G92" s="7">
        <f t="shared" si="8"/>
        <v>8141</v>
      </c>
      <c r="H92" s="8">
        <v>-3.8515016361285799</v>
      </c>
      <c r="I92" s="8">
        <v>-38.501747907480699</v>
      </c>
      <c r="J92" s="5" t="str">
        <f t="shared" si="7"/>
        <v>Parque Santa Maria; 9 Votos; 0,11%</v>
      </c>
    </row>
    <row r="93" spans="1:10" x14ac:dyDescent="0.25">
      <c r="A93" s="7">
        <v>87</v>
      </c>
      <c r="B93">
        <v>5</v>
      </c>
      <c r="C93" s="20">
        <f t="shared" si="6"/>
        <v>6.1417516275641816E-4</v>
      </c>
      <c r="D93" s="5" t="s">
        <v>107</v>
      </c>
      <c r="E93" s="7">
        <v>10</v>
      </c>
      <c r="F93" s="23">
        <v>0.06</v>
      </c>
      <c r="G93" s="7">
        <f t="shared" si="8"/>
        <v>8141</v>
      </c>
      <c r="H93" s="8">
        <v>-3.8223671671801198</v>
      </c>
      <c r="I93" s="8">
        <v>-38.594584402390701</v>
      </c>
      <c r="J93" s="5" t="str">
        <f t="shared" si="7"/>
        <v>Parque Santa Rosa; 5 Votos; 0,06%</v>
      </c>
    </row>
    <row r="94" spans="1:10" x14ac:dyDescent="0.25">
      <c r="A94" s="7">
        <v>86</v>
      </c>
      <c r="B94">
        <v>4</v>
      </c>
      <c r="C94" s="20">
        <f t="shared" si="6"/>
        <v>4.9134013020513448E-4</v>
      </c>
      <c r="D94" s="5" t="s">
        <v>106</v>
      </c>
      <c r="E94" s="7">
        <v>10</v>
      </c>
      <c r="F94" s="23">
        <v>0.05</v>
      </c>
      <c r="G94" s="7">
        <f t="shared" si="8"/>
        <v>8141</v>
      </c>
      <c r="H94" s="8">
        <v>-3.79783072329964</v>
      </c>
      <c r="I94" s="8">
        <v>-38.590598041131202</v>
      </c>
      <c r="J94" s="5" t="str">
        <f t="shared" si="7"/>
        <v>Parque São José; 4 Votos; 0,05%</v>
      </c>
    </row>
    <row r="95" spans="1:10" x14ac:dyDescent="0.25">
      <c r="A95" s="7">
        <v>29</v>
      </c>
      <c r="B95">
        <v>81</v>
      </c>
      <c r="C95" s="20">
        <f t="shared" si="6"/>
        <v>9.9496376366539734E-3</v>
      </c>
      <c r="D95" s="7" t="s">
        <v>49</v>
      </c>
      <c r="E95" s="7">
        <v>3</v>
      </c>
      <c r="F95" s="23">
        <v>0.99</v>
      </c>
      <c r="G95" s="7">
        <f t="shared" si="8"/>
        <v>8141</v>
      </c>
      <c r="H95" s="8">
        <v>-3.7347275762507501</v>
      </c>
      <c r="I95" s="8">
        <v>-38.555990528856903</v>
      </c>
      <c r="J95" s="5" t="str">
        <f t="shared" si="7"/>
        <v>Parquelândia; 81 Votos; 0,99%</v>
      </c>
    </row>
    <row r="96" spans="1:10" x14ac:dyDescent="0.25">
      <c r="A96" s="7">
        <v>30</v>
      </c>
      <c r="B96"/>
      <c r="C96" s="20">
        <f t="shared" si="6"/>
        <v>0</v>
      </c>
      <c r="D96" s="7" t="s">
        <v>50</v>
      </c>
      <c r="E96" s="7">
        <v>4</v>
      </c>
      <c r="F96" s="23">
        <v>0</v>
      </c>
      <c r="G96" s="7">
        <f t="shared" si="8"/>
        <v>8141</v>
      </c>
      <c r="H96" s="8">
        <v>-3.7558570492956802</v>
      </c>
      <c r="I96" s="8">
        <v>-38.535462921719599</v>
      </c>
      <c r="J96" s="5" t="str">
        <f t="shared" si="7"/>
        <v>Parreão;  Votos; 0%</v>
      </c>
    </row>
    <row r="97" spans="1:10" x14ac:dyDescent="0.25">
      <c r="A97" s="7">
        <v>88</v>
      </c>
      <c r="B97">
        <v>36</v>
      </c>
      <c r="C97" s="20">
        <f t="shared" si="6"/>
        <v>4.4220611718462106E-3</v>
      </c>
      <c r="D97" s="5" t="s">
        <v>108</v>
      </c>
      <c r="E97" s="7">
        <v>8</v>
      </c>
      <c r="F97" s="23">
        <v>0.44</v>
      </c>
      <c r="G97" s="7">
        <f t="shared" si="8"/>
        <v>8141</v>
      </c>
      <c r="H97" s="8">
        <v>-3.80941285034221</v>
      </c>
      <c r="I97" s="8">
        <v>-38.533537673745897</v>
      </c>
      <c r="J97" s="5" t="str">
        <f t="shared" si="7"/>
        <v>Passaré; 36 Votos; 0,44%</v>
      </c>
    </row>
    <row r="98" spans="1:10" x14ac:dyDescent="0.25">
      <c r="A98" s="7">
        <v>68</v>
      </c>
      <c r="B98">
        <v>6</v>
      </c>
      <c r="C98" s="20">
        <f t="shared" ref="C98:C122" si="9">B98/G98</f>
        <v>7.3701019530770173E-4</v>
      </c>
      <c r="D98" s="5" t="s">
        <v>88</v>
      </c>
      <c r="E98" s="7">
        <v>6</v>
      </c>
      <c r="F98" s="23">
        <v>7.0000000000000007E-2</v>
      </c>
      <c r="G98" s="7">
        <f t="shared" si="8"/>
        <v>8141</v>
      </c>
      <c r="H98" s="8">
        <v>-3.8415735059676401</v>
      </c>
      <c r="I98" s="8">
        <v>-38.486575454319798</v>
      </c>
      <c r="J98" s="5" t="str">
        <f t="shared" ref="J98:J122" si="10">D98&amp;"; "&amp;B98&amp;" Votos; "&amp;F98&amp;"%"</f>
        <v>Paupina; 6 Votos; 0,07%</v>
      </c>
    </row>
    <row r="99" spans="1:10" x14ac:dyDescent="0.25">
      <c r="A99" s="7">
        <v>69</v>
      </c>
      <c r="B99"/>
      <c r="C99" s="20">
        <f t="shared" si="9"/>
        <v>0</v>
      </c>
      <c r="D99" s="5" t="s">
        <v>89</v>
      </c>
      <c r="E99" s="7">
        <v>9</v>
      </c>
      <c r="F99" s="23">
        <v>0</v>
      </c>
      <c r="G99" s="7">
        <f t="shared" ref="G99:G122" si="11">G98</f>
        <v>8141</v>
      </c>
      <c r="H99" s="8">
        <v>-3.8776924642431698</v>
      </c>
      <c r="I99" s="8">
        <v>-38.514859109158003</v>
      </c>
      <c r="J99" s="5" t="str">
        <f t="shared" si="10"/>
        <v>Pedras;  Votos; 0%</v>
      </c>
    </row>
    <row r="100" spans="1:10" x14ac:dyDescent="0.25">
      <c r="A100" s="7">
        <v>104</v>
      </c>
      <c r="B100">
        <v>39</v>
      </c>
      <c r="C100" s="20">
        <f t="shared" si="9"/>
        <v>4.7905662695000616E-3</v>
      </c>
      <c r="D100" s="5" t="s">
        <v>124</v>
      </c>
      <c r="E100" s="7">
        <v>11</v>
      </c>
      <c r="F100" s="23">
        <v>0.48</v>
      </c>
      <c r="G100" s="7">
        <f t="shared" si="11"/>
        <v>8141</v>
      </c>
      <c r="H100" s="8">
        <v>-3.7448876903495401</v>
      </c>
      <c r="I100" s="8">
        <v>-38.573751950840801</v>
      </c>
      <c r="J100" s="5" t="str">
        <f t="shared" si="10"/>
        <v>Pici; 39 Votos; 0,48%</v>
      </c>
    </row>
    <row r="101" spans="1:10" x14ac:dyDescent="0.25">
      <c r="A101" s="7">
        <v>31</v>
      </c>
      <c r="B101">
        <v>64</v>
      </c>
      <c r="C101" s="20">
        <f t="shared" si="9"/>
        <v>7.8614420832821517E-3</v>
      </c>
      <c r="D101" s="7" t="s">
        <v>51</v>
      </c>
      <c r="E101" s="7">
        <v>1</v>
      </c>
      <c r="F101" s="23">
        <v>0.79</v>
      </c>
      <c r="G101" s="7">
        <f t="shared" si="11"/>
        <v>8141</v>
      </c>
      <c r="H101" s="8">
        <v>-3.7124091028720398</v>
      </c>
      <c r="I101" s="8">
        <v>-38.551287597929999</v>
      </c>
      <c r="J101" s="5" t="str">
        <f t="shared" si="10"/>
        <v>Pirambu; 64 Votos; 0,79%</v>
      </c>
    </row>
    <row r="102" spans="1:10" x14ac:dyDescent="0.25">
      <c r="A102" s="7">
        <v>114</v>
      </c>
      <c r="B102">
        <v>12</v>
      </c>
      <c r="C102" s="20">
        <f t="shared" si="9"/>
        <v>1.4740203906154035E-3</v>
      </c>
      <c r="D102" s="7" t="s">
        <v>134</v>
      </c>
      <c r="E102" s="7">
        <v>8</v>
      </c>
      <c r="F102" s="23">
        <v>0.15</v>
      </c>
      <c r="G102" s="7">
        <f t="shared" si="11"/>
        <v>8141</v>
      </c>
      <c r="H102" s="8">
        <v>-3.8320958197683002</v>
      </c>
      <c r="I102" s="8">
        <v>-38.569799806885698</v>
      </c>
      <c r="J102" s="5" t="str">
        <f t="shared" si="10"/>
        <v>Planalto Ayrton Senna; 12 Votos; 0,15%</v>
      </c>
    </row>
    <row r="103" spans="1:10" x14ac:dyDescent="0.25">
      <c r="A103" s="7">
        <v>85</v>
      </c>
      <c r="B103">
        <v>9</v>
      </c>
      <c r="C103" s="20">
        <f t="shared" si="9"/>
        <v>1.1055152929615526E-3</v>
      </c>
      <c r="D103" s="5" t="s">
        <v>105</v>
      </c>
      <c r="E103" s="7">
        <v>10</v>
      </c>
      <c r="F103" s="23">
        <v>0.11</v>
      </c>
      <c r="G103" s="7">
        <f t="shared" si="11"/>
        <v>8141</v>
      </c>
      <c r="H103" s="8">
        <v>-3.8213894948300702</v>
      </c>
      <c r="I103" s="8">
        <v>-38.599709975632898</v>
      </c>
      <c r="J103" s="5" t="str">
        <f t="shared" si="10"/>
        <v>Pq Presidente Vargas; 9 Votos; 0,11%</v>
      </c>
    </row>
    <row r="104" spans="1:10" x14ac:dyDescent="0.25">
      <c r="A104" s="7">
        <v>32</v>
      </c>
      <c r="B104">
        <v>37</v>
      </c>
      <c r="C104" s="20">
        <f t="shared" si="9"/>
        <v>4.5448962043974942E-3</v>
      </c>
      <c r="D104" s="7" t="s">
        <v>52</v>
      </c>
      <c r="E104" s="7">
        <v>12</v>
      </c>
      <c r="F104" s="23">
        <v>0.45</v>
      </c>
      <c r="G104" s="7">
        <f t="shared" si="11"/>
        <v>8141</v>
      </c>
      <c r="H104" s="8">
        <v>-3.7200552037859902</v>
      </c>
      <c r="I104" s="8">
        <v>-38.519751439686502</v>
      </c>
      <c r="J104" s="5" t="str">
        <f t="shared" si="10"/>
        <v>Praia de Iracema; 37 Votos; 0,45%</v>
      </c>
    </row>
    <row r="105" spans="1:10" x14ac:dyDescent="0.25">
      <c r="A105" s="7">
        <v>111</v>
      </c>
      <c r="B105"/>
      <c r="C105" s="20">
        <f t="shared" si="9"/>
        <v>0</v>
      </c>
      <c r="D105" s="7" t="s">
        <v>131</v>
      </c>
      <c r="E105" s="7">
        <v>7</v>
      </c>
      <c r="F105" s="23">
        <v>0</v>
      </c>
      <c r="G105" s="7">
        <f t="shared" si="11"/>
        <v>8141</v>
      </c>
      <c r="H105" s="8">
        <v>-3.73118536223354</v>
      </c>
      <c r="I105" s="8">
        <v>-38.4619773055717</v>
      </c>
      <c r="J105" s="5" t="str">
        <f t="shared" si="10"/>
        <v>Praia do Futuro I;  Votos; 0%</v>
      </c>
    </row>
    <row r="106" spans="1:10" x14ac:dyDescent="0.25">
      <c r="A106" s="7">
        <v>112</v>
      </c>
      <c r="B106">
        <v>4</v>
      </c>
      <c r="C106" s="20">
        <f t="shared" si="9"/>
        <v>4.9134013020513448E-4</v>
      </c>
      <c r="D106" s="7" t="s">
        <v>132</v>
      </c>
      <c r="E106" s="7">
        <v>7</v>
      </c>
      <c r="F106" s="23">
        <v>0.05</v>
      </c>
      <c r="G106" s="7">
        <f t="shared" si="11"/>
        <v>8141</v>
      </c>
      <c r="H106" s="8">
        <v>-3.7633037355366801</v>
      </c>
      <c r="I106" s="8">
        <v>-38.442526558033101</v>
      </c>
      <c r="J106" s="5" t="str">
        <f t="shared" si="10"/>
        <v>Praia do Futuro II; 4 Votos; 0,05%</v>
      </c>
    </row>
    <row r="107" spans="1:10" x14ac:dyDescent="0.25">
      <c r="A107" s="7">
        <v>33</v>
      </c>
      <c r="B107">
        <v>350</v>
      </c>
      <c r="C107" s="20">
        <f t="shared" si="9"/>
        <v>4.2992261392949267E-2</v>
      </c>
      <c r="D107" s="7" t="s">
        <v>53</v>
      </c>
      <c r="E107" s="7">
        <v>3</v>
      </c>
      <c r="F107" s="23">
        <v>4.3</v>
      </c>
      <c r="G107" s="7">
        <f t="shared" si="11"/>
        <v>8141</v>
      </c>
      <c r="H107" s="8">
        <v>-3.7305802901855598</v>
      </c>
      <c r="I107" s="8">
        <v>-38.5707410062736</v>
      </c>
      <c r="J107" s="5" t="str">
        <f t="shared" si="10"/>
        <v>Presidente Kennedy; 350 Votos; 4,3%</v>
      </c>
    </row>
    <row r="108" spans="1:10" x14ac:dyDescent="0.25">
      <c r="A108" s="7">
        <v>48</v>
      </c>
      <c r="B108">
        <v>295</v>
      </c>
      <c r="C108" s="20">
        <f t="shared" si="9"/>
        <v>3.6236334602628671E-2</v>
      </c>
      <c r="D108" s="7" t="s">
        <v>68</v>
      </c>
      <c r="E108" s="7">
        <v>3</v>
      </c>
      <c r="F108" s="23">
        <v>3.62</v>
      </c>
      <c r="G108" s="7">
        <f t="shared" si="11"/>
        <v>8141</v>
      </c>
      <c r="H108" s="8">
        <v>-3.73185551606004</v>
      </c>
      <c r="I108" s="8">
        <v>-38.5979520737068</v>
      </c>
      <c r="J108" s="5" t="str">
        <f t="shared" si="10"/>
        <v>Quitino Cunha; 295 Votos; 3,62%</v>
      </c>
    </row>
    <row r="109" spans="1:10" x14ac:dyDescent="0.25">
      <c r="A109" s="7">
        <v>34</v>
      </c>
      <c r="B109">
        <v>51</v>
      </c>
      <c r="C109" s="20">
        <f t="shared" si="9"/>
        <v>6.2645866601154648E-3</v>
      </c>
      <c r="D109" s="7" t="s">
        <v>54</v>
      </c>
      <c r="E109" s="7">
        <v>3</v>
      </c>
      <c r="F109" s="23">
        <v>0.63</v>
      </c>
      <c r="G109" s="7">
        <f t="shared" si="11"/>
        <v>8141</v>
      </c>
      <c r="H109" s="8">
        <v>-3.7397021591668298</v>
      </c>
      <c r="I109" s="8">
        <v>-38.547278854358801</v>
      </c>
      <c r="J109" s="5" t="str">
        <f t="shared" si="10"/>
        <v>Rodolfo Teófilo; 51 Votos; 0,63%</v>
      </c>
    </row>
    <row r="110" spans="1:10" x14ac:dyDescent="0.25">
      <c r="A110" s="7">
        <v>70</v>
      </c>
      <c r="B110"/>
      <c r="C110" s="20">
        <f t="shared" si="9"/>
        <v>0</v>
      </c>
      <c r="D110" s="5" t="s">
        <v>90</v>
      </c>
      <c r="E110" s="7">
        <v>7</v>
      </c>
      <c r="F110" s="23">
        <v>0</v>
      </c>
      <c r="G110" s="7">
        <f t="shared" si="11"/>
        <v>8141</v>
      </c>
      <c r="H110" s="7">
        <v>-3.8066835937607602</v>
      </c>
      <c r="I110" s="7">
        <v>-38.430875729977899</v>
      </c>
      <c r="J110" s="5" t="str">
        <f t="shared" si="10"/>
        <v>Sabiaguaba;  Votos; 0%</v>
      </c>
    </row>
    <row r="111" spans="1:10" x14ac:dyDescent="0.25">
      <c r="A111" s="7">
        <v>71</v>
      </c>
      <c r="B111"/>
      <c r="C111" s="20">
        <f t="shared" si="9"/>
        <v>0</v>
      </c>
      <c r="D111" s="5" t="s">
        <v>91</v>
      </c>
      <c r="E111" s="7">
        <v>7</v>
      </c>
      <c r="F111" s="23">
        <v>0</v>
      </c>
      <c r="G111" s="7">
        <f t="shared" si="11"/>
        <v>8141</v>
      </c>
      <c r="H111" s="8">
        <v>-3.7676015324571699</v>
      </c>
      <c r="I111" s="8">
        <v>-38.496229971678297</v>
      </c>
      <c r="J111" s="5" t="str">
        <f t="shared" si="10"/>
        <v>Salinas;  Votos; 0%</v>
      </c>
    </row>
    <row r="112" spans="1:10" x14ac:dyDescent="0.25">
      <c r="A112" s="7">
        <v>116</v>
      </c>
      <c r="B112"/>
      <c r="C112" s="20">
        <f t="shared" si="9"/>
        <v>0</v>
      </c>
      <c r="D112" s="7" t="s">
        <v>136</v>
      </c>
      <c r="E112" s="7">
        <v>6</v>
      </c>
      <c r="F112" s="23">
        <v>0</v>
      </c>
      <c r="G112" s="7">
        <f t="shared" si="11"/>
        <v>8141</v>
      </c>
      <c r="H112" s="8">
        <v>-3.8525791316810198</v>
      </c>
      <c r="I112" s="8">
        <v>-38.479775892303003</v>
      </c>
      <c r="J112" s="5" t="str">
        <f t="shared" si="10"/>
        <v>São Bento;  Votos; 0%</v>
      </c>
    </row>
    <row r="113" spans="1:10" x14ac:dyDescent="0.25">
      <c r="A113" s="7">
        <v>1</v>
      </c>
      <c r="B113">
        <v>52</v>
      </c>
      <c r="C113" s="20">
        <f t="shared" si="9"/>
        <v>6.3874216926667485E-3</v>
      </c>
      <c r="D113" s="7" t="s">
        <v>21</v>
      </c>
      <c r="E113" s="7">
        <v>3</v>
      </c>
      <c r="F113" s="23">
        <v>0.64</v>
      </c>
      <c r="G113" s="7">
        <f t="shared" si="11"/>
        <v>8141</v>
      </c>
      <c r="H113" s="8">
        <v>-3.7324552353017002</v>
      </c>
      <c r="I113" s="8">
        <v>-38.558090896065302</v>
      </c>
      <c r="J113" s="5" t="str">
        <f t="shared" si="10"/>
        <v>Sao Gerardo; 52 Votos; 0,64%</v>
      </c>
    </row>
    <row r="114" spans="1:10" x14ac:dyDescent="0.25">
      <c r="A114" s="7">
        <v>64</v>
      </c>
      <c r="B114">
        <v>2</v>
      </c>
      <c r="C114" s="20">
        <f t="shared" si="9"/>
        <v>2.4567006510256724E-4</v>
      </c>
      <c r="D114" s="5" t="s">
        <v>84</v>
      </c>
      <c r="E114" s="7">
        <v>7</v>
      </c>
      <c r="F114" s="23">
        <v>0.02</v>
      </c>
      <c r="G114" s="7">
        <f t="shared" si="11"/>
        <v>8141</v>
      </c>
      <c r="H114" s="8">
        <v>-3.7936789105161002</v>
      </c>
      <c r="I114" s="8">
        <v>-38.475588701150201</v>
      </c>
      <c r="J114" s="5" t="str">
        <f t="shared" si="10"/>
        <v>Sapiranga/Coité; 2 Votos; 0,02%</v>
      </c>
    </row>
    <row r="115" spans="1:10" x14ac:dyDescent="0.25">
      <c r="A115" s="7">
        <v>105</v>
      </c>
      <c r="B115">
        <v>98</v>
      </c>
      <c r="C115" s="20">
        <f t="shared" si="9"/>
        <v>1.2037833190025795E-2</v>
      </c>
      <c r="D115" s="7" t="s">
        <v>125</v>
      </c>
      <c r="E115" s="7">
        <v>8</v>
      </c>
      <c r="F115" s="23">
        <v>1.2</v>
      </c>
      <c r="G115" s="7">
        <f t="shared" si="11"/>
        <v>8141</v>
      </c>
      <c r="H115" s="8">
        <v>-3.78941196710687</v>
      </c>
      <c r="I115" s="8">
        <v>-38.538973370180202</v>
      </c>
      <c r="J115" s="5" t="str">
        <f t="shared" si="10"/>
        <v>Serrinha; 98 Votos; 1,2%</v>
      </c>
    </row>
    <row r="116" spans="1:10" x14ac:dyDescent="0.25">
      <c r="A116" s="7">
        <v>90</v>
      </c>
      <c r="B116">
        <v>21</v>
      </c>
      <c r="C116" s="20">
        <f t="shared" si="9"/>
        <v>2.5795356835769563E-3</v>
      </c>
      <c r="D116" s="5" t="s">
        <v>110</v>
      </c>
      <c r="E116" s="7">
        <v>5</v>
      </c>
      <c r="F116" s="23">
        <v>0.26</v>
      </c>
      <c r="G116" s="7">
        <f t="shared" si="11"/>
        <v>8141</v>
      </c>
      <c r="H116" s="8">
        <v>-3.8044344811027799</v>
      </c>
      <c r="I116" s="8">
        <v>-38.611497241120503</v>
      </c>
      <c r="J116" s="5" t="str">
        <f t="shared" si="10"/>
        <v>Siqueira; 21 Votos; 0,26%</v>
      </c>
    </row>
    <row r="117" spans="1:10" x14ac:dyDescent="0.25">
      <c r="A117" s="7">
        <v>35</v>
      </c>
      <c r="B117">
        <v>21</v>
      </c>
      <c r="C117" s="20">
        <f t="shared" si="9"/>
        <v>2.5795356835769563E-3</v>
      </c>
      <c r="D117" s="7" t="s">
        <v>55</v>
      </c>
      <c r="E117" s="7">
        <v>2</v>
      </c>
      <c r="F117" s="23">
        <v>0.26</v>
      </c>
      <c r="G117" s="7">
        <f t="shared" si="11"/>
        <v>8141</v>
      </c>
      <c r="H117" s="8">
        <v>-3.75511796482381</v>
      </c>
      <c r="I117" s="8">
        <v>-38.506144550304597</v>
      </c>
      <c r="J117" s="5" t="str">
        <f t="shared" si="10"/>
        <v>Tauape; 21 Votos; 0,26%</v>
      </c>
    </row>
    <row r="118" spans="1:10" x14ac:dyDescent="0.25">
      <c r="A118" s="7">
        <v>36</v>
      </c>
      <c r="B118">
        <v>8</v>
      </c>
      <c r="C118" s="20">
        <f t="shared" si="9"/>
        <v>9.8268026041026897E-4</v>
      </c>
      <c r="D118" s="7" t="s">
        <v>56</v>
      </c>
      <c r="E118" s="7">
        <v>2</v>
      </c>
      <c r="F118" s="23">
        <v>0.1</v>
      </c>
      <c r="G118" s="7">
        <f t="shared" si="11"/>
        <v>8141</v>
      </c>
      <c r="H118" s="8">
        <v>-3.73624865960333</v>
      </c>
      <c r="I118" s="8">
        <v>-38.486586712344597</v>
      </c>
      <c r="J118" s="5" t="str">
        <f t="shared" si="10"/>
        <v>Varjota; 8 Votos; 0,1%</v>
      </c>
    </row>
    <row r="119" spans="1:10" x14ac:dyDescent="0.25">
      <c r="A119" s="7">
        <v>37</v>
      </c>
      <c r="B119">
        <v>32</v>
      </c>
      <c r="C119" s="20">
        <f t="shared" si="9"/>
        <v>3.9307210416410759E-3</v>
      </c>
      <c r="D119" s="7" t="s">
        <v>57</v>
      </c>
      <c r="E119" s="7">
        <v>2</v>
      </c>
      <c r="F119" s="23">
        <v>0.39</v>
      </c>
      <c r="G119" s="7">
        <f t="shared" si="11"/>
        <v>8141</v>
      </c>
      <c r="H119" s="8">
        <v>-3.72744451567607</v>
      </c>
      <c r="I119" s="8">
        <v>-38.474579864932501</v>
      </c>
      <c r="J119" s="5" t="str">
        <f t="shared" si="10"/>
        <v>Vicente Pinzon; 32 Votos; 0,39%</v>
      </c>
    </row>
    <row r="120" spans="1:10" x14ac:dyDescent="0.25">
      <c r="A120" s="7">
        <v>106</v>
      </c>
      <c r="B120">
        <v>19</v>
      </c>
      <c r="C120" s="20">
        <f t="shared" si="9"/>
        <v>2.333865618474389E-3</v>
      </c>
      <c r="D120" s="7" t="s">
        <v>126</v>
      </c>
      <c r="E120" s="7">
        <v>4</v>
      </c>
      <c r="F120" s="23">
        <v>0.23</v>
      </c>
      <c r="G120" s="7">
        <f t="shared" si="11"/>
        <v>8141</v>
      </c>
      <c r="H120" s="8">
        <v>-3.7881361536089702</v>
      </c>
      <c r="I120" s="8">
        <v>-38.577604447924003</v>
      </c>
      <c r="J120" s="5" t="str">
        <f t="shared" si="10"/>
        <v>Vila Peri; 19 Votos; 0,23%</v>
      </c>
    </row>
    <row r="121" spans="1:10" x14ac:dyDescent="0.25">
      <c r="A121" s="7">
        <v>107</v>
      </c>
      <c r="B121">
        <v>21</v>
      </c>
      <c r="C121" s="20">
        <f t="shared" si="9"/>
        <v>2.5795356835769563E-3</v>
      </c>
      <c r="D121" s="7" t="s">
        <v>127</v>
      </c>
      <c r="E121" s="7">
        <v>4</v>
      </c>
      <c r="F121" s="23">
        <v>0.26</v>
      </c>
      <c r="G121" s="7">
        <f t="shared" si="11"/>
        <v>8141</v>
      </c>
      <c r="H121" s="8">
        <v>-3.7712911189301299</v>
      </c>
      <c r="I121" s="8">
        <v>-38.539225010023202</v>
      </c>
      <c r="J121" s="5" t="str">
        <f t="shared" si="10"/>
        <v>Vila União; 21 Votos; 0,26%</v>
      </c>
    </row>
    <row r="122" spans="1:10" x14ac:dyDescent="0.25">
      <c r="A122" s="7">
        <v>39</v>
      </c>
      <c r="B122">
        <v>608</v>
      </c>
      <c r="C122" s="20">
        <f t="shared" si="9"/>
        <v>7.4683699791180447E-2</v>
      </c>
      <c r="D122" s="7" t="s">
        <v>59</v>
      </c>
      <c r="E122" s="7">
        <v>1</v>
      </c>
      <c r="F122" s="23">
        <v>7.47</v>
      </c>
      <c r="G122" s="7">
        <f t="shared" si="11"/>
        <v>8141</v>
      </c>
      <c r="H122" s="8">
        <v>-3.7194783884337999</v>
      </c>
      <c r="I122" s="8">
        <v>-38.606361694072497</v>
      </c>
      <c r="J122" s="5" t="str">
        <f t="shared" si="10"/>
        <v>Vila Velha; 608 Votos; 7,47%</v>
      </c>
    </row>
    <row r="123" spans="1:10" x14ac:dyDescent="0.25">
      <c r="B123" s="5"/>
      <c r="F123" s="24"/>
      <c r="H123" s="7"/>
      <c r="I123" s="7"/>
      <c r="J123" s="5"/>
    </row>
    <row r="124" spans="1:10" x14ac:dyDescent="0.25">
      <c r="F124" s="22"/>
      <c r="H124" s="7"/>
      <c r="I124" s="7"/>
      <c r="J124" s="5"/>
    </row>
    <row r="125" spans="1:10" x14ac:dyDescent="0.25">
      <c r="F125" s="22"/>
      <c r="H125" s="7"/>
      <c r="I125" s="7"/>
      <c r="J125" s="5"/>
    </row>
    <row r="126" spans="1:10" x14ac:dyDescent="0.25">
      <c r="F126" s="22"/>
      <c r="H126" s="7"/>
      <c r="I126" s="7"/>
      <c r="J126" s="7"/>
    </row>
    <row r="127" spans="1:10" x14ac:dyDescent="0.25">
      <c r="F127" s="22"/>
      <c r="H127" s="7"/>
      <c r="I127" s="7"/>
      <c r="J127" s="5"/>
    </row>
    <row r="128" spans="1:10" x14ac:dyDescent="0.25">
      <c r="F128" s="24"/>
      <c r="H128" s="7"/>
      <c r="I128" s="7"/>
      <c r="J128" s="5"/>
    </row>
    <row r="129" spans="6:10" x14ac:dyDescent="0.25">
      <c r="F129" s="24"/>
      <c r="H129" s="7"/>
      <c r="I129" s="7"/>
      <c r="J129" s="5"/>
    </row>
    <row r="130" spans="6:10" x14ac:dyDescent="0.25">
      <c r="F130" s="24"/>
      <c r="H130" s="7"/>
      <c r="I130" s="7"/>
      <c r="J130" s="5"/>
    </row>
    <row r="131" spans="6:10" x14ac:dyDescent="0.25">
      <c r="F131" s="24"/>
      <c r="H131" s="7"/>
      <c r="I131" s="7"/>
      <c r="J131" s="5"/>
    </row>
    <row r="132" spans="6:10" x14ac:dyDescent="0.25">
      <c r="F132" s="24"/>
      <c r="H132" s="7"/>
      <c r="I132" s="7"/>
      <c r="J132" s="5"/>
    </row>
    <row r="133" spans="6:10" x14ac:dyDescent="0.25">
      <c r="H133" s="7"/>
      <c r="I133" s="7"/>
      <c r="J133" s="5"/>
    </row>
    <row r="134" spans="6:10" x14ac:dyDescent="0.25">
      <c r="H134" s="7"/>
      <c r="I134" s="7"/>
      <c r="J134" s="5"/>
    </row>
    <row r="135" spans="6:10" x14ac:dyDescent="0.25">
      <c r="H135" s="7"/>
      <c r="I135" s="7"/>
      <c r="J135" s="7"/>
    </row>
    <row r="136" spans="6:10" x14ac:dyDescent="0.25">
      <c r="H136" s="7"/>
      <c r="I136" s="7"/>
      <c r="J136" s="7"/>
    </row>
    <row r="137" spans="6:10" x14ac:dyDescent="0.25">
      <c r="H137" s="7"/>
      <c r="I137" s="7"/>
      <c r="J137" s="7"/>
    </row>
    <row r="138" spans="6:10" x14ac:dyDescent="0.25">
      <c r="H138" s="7"/>
      <c r="I138" s="7"/>
      <c r="J138" s="7"/>
    </row>
    <row r="139" spans="6:10" x14ac:dyDescent="0.25">
      <c r="H139" s="7"/>
      <c r="I139" s="7"/>
      <c r="J139" s="7"/>
    </row>
    <row r="140" spans="6:10" x14ac:dyDescent="0.25">
      <c r="H140" s="7"/>
      <c r="I140" s="7"/>
      <c r="J140" s="7"/>
    </row>
    <row r="141" spans="6:10" x14ac:dyDescent="0.25">
      <c r="H141" s="7"/>
      <c r="I141" s="7"/>
      <c r="J141" s="7"/>
    </row>
    <row r="142" spans="6:10" x14ac:dyDescent="0.25">
      <c r="H142" s="7"/>
      <c r="I142" s="7"/>
      <c r="J142" s="7"/>
    </row>
    <row r="143" spans="6:10" x14ac:dyDescent="0.25">
      <c r="H143" s="7"/>
      <c r="I143" s="7"/>
      <c r="J143" s="7"/>
    </row>
    <row r="144" spans="6:10" x14ac:dyDescent="0.25">
      <c r="H144" s="7"/>
      <c r="I144" s="7"/>
      <c r="J144" s="7"/>
    </row>
    <row r="145" spans="8:10" x14ac:dyDescent="0.25">
      <c r="H145" s="7"/>
      <c r="I145" s="7"/>
      <c r="J145" s="7"/>
    </row>
    <row r="146" spans="8:10" x14ac:dyDescent="0.25">
      <c r="H146" s="7"/>
      <c r="I146" s="7"/>
      <c r="J146" s="7"/>
    </row>
    <row r="147" spans="8:10" x14ac:dyDescent="0.25">
      <c r="H147" s="7"/>
      <c r="I147" s="7"/>
      <c r="J147" s="7"/>
    </row>
    <row r="148" spans="8:10" x14ac:dyDescent="0.25">
      <c r="H148" s="7"/>
      <c r="I148" s="7"/>
      <c r="J148" s="7"/>
    </row>
    <row r="149" spans="8:10" x14ac:dyDescent="0.25">
      <c r="H149" s="7"/>
      <c r="I149" s="7"/>
      <c r="J149" s="7"/>
    </row>
    <row r="150" spans="8:10" x14ac:dyDescent="0.25">
      <c r="H150" s="7"/>
      <c r="I150" s="7"/>
      <c r="J150" s="7"/>
    </row>
    <row r="151" spans="8:10" x14ac:dyDescent="0.25">
      <c r="H151" s="7"/>
      <c r="I151" s="7"/>
      <c r="J151" s="7"/>
    </row>
    <row r="152" spans="8:10" x14ac:dyDescent="0.25">
      <c r="H152" s="7"/>
      <c r="I152" s="7"/>
      <c r="J152" s="7"/>
    </row>
    <row r="153" spans="8:10" x14ac:dyDescent="0.25">
      <c r="H153" s="7"/>
      <c r="I153" s="7"/>
      <c r="J153" s="7"/>
    </row>
    <row r="154" spans="8:10" x14ac:dyDescent="0.25">
      <c r="H154" s="7"/>
      <c r="I154" s="7"/>
      <c r="J154" s="7"/>
    </row>
    <row r="155" spans="8:10" x14ac:dyDescent="0.25">
      <c r="H155" s="7"/>
      <c r="I155" s="7"/>
      <c r="J155" s="7"/>
    </row>
    <row r="156" spans="8:10" x14ac:dyDescent="0.25">
      <c r="H156" s="7"/>
      <c r="I156" s="7"/>
      <c r="J156" s="7"/>
    </row>
    <row r="157" spans="8:10" x14ac:dyDescent="0.25">
      <c r="H157" s="7"/>
      <c r="I157" s="7"/>
      <c r="J157" s="7"/>
    </row>
    <row r="158" spans="8:10" x14ac:dyDescent="0.25">
      <c r="H158" s="7"/>
      <c r="I158" s="7"/>
      <c r="J158" s="7"/>
    </row>
    <row r="159" spans="8:10" x14ac:dyDescent="0.25">
      <c r="H159" s="7"/>
      <c r="I159" s="7"/>
      <c r="J159" s="7"/>
    </row>
    <row r="160" spans="8:10" x14ac:dyDescent="0.25">
      <c r="H160" s="7"/>
      <c r="I160" s="7"/>
      <c r="J160" s="7"/>
    </row>
    <row r="161" spans="8:10" x14ac:dyDescent="0.25">
      <c r="H161" s="7"/>
      <c r="I161" s="7"/>
      <c r="J161" s="7"/>
    </row>
    <row r="162" spans="8:10" x14ac:dyDescent="0.25">
      <c r="H162" s="7"/>
      <c r="I162" s="7"/>
      <c r="J162" s="7"/>
    </row>
    <row r="163" spans="8:10" x14ac:dyDescent="0.25">
      <c r="H163" s="7"/>
      <c r="I163" s="7"/>
      <c r="J163" s="7"/>
    </row>
    <row r="164" spans="8:10" x14ac:dyDescent="0.25">
      <c r="H164" s="7"/>
      <c r="I164" s="7"/>
      <c r="J164" s="7"/>
    </row>
    <row r="165" spans="8:10" x14ac:dyDescent="0.25">
      <c r="H165" s="7"/>
      <c r="I165" s="7"/>
      <c r="J165" s="7"/>
    </row>
    <row r="166" spans="8:10" x14ac:dyDescent="0.25">
      <c r="H166" s="7"/>
      <c r="I166" s="7"/>
      <c r="J166" s="7"/>
    </row>
    <row r="167" spans="8:10" x14ac:dyDescent="0.25">
      <c r="H167" s="7"/>
      <c r="I167" s="7"/>
      <c r="J167" s="7"/>
    </row>
    <row r="168" spans="8:10" x14ac:dyDescent="0.25">
      <c r="H168" s="7"/>
      <c r="I168" s="7"/>
      <c r="J168" s="7"/>
    </row>
    <row r="169" spans="8:10" x14ac:dyDescent="0.25">
      <c r="H169" s="7"/>
      <c r="I169" s="7"/>
      <c r="J169" s="7"/>
    </row>
    <row r="170" spans="8:10" x14ac:dyDescent="0.25">
      <c r="H170" s="7"/>
      <c r="I170" s="7"/>
      <c r="J170" s="7"/>
    </row>
    <row r="171" spans="8:10" x14ac:dyDescent="0.25">
      <c r="H171" s="7"/>
      <c r="I171" s="7"/>
      <c r="J171" s="7"/>
    </row>
    <row r="172" spans="8:10" x14ac:dyDescent="0.25">
      <c r="H172" s="7"/>
      <c r="I172" s="7"/>
      <c r="J172" s="7"/>
    </row>
    <row r="173" spans="8:10" x14ac:dyDescent="0.25">
      <c r="H173" s="7"/>
      <c r="I173" s="7"/>
      <c r="J173" s="7"/>
    </row>
    <row r="174" spans="8:10" x14ac:dyDescent="0.25">
      <c r="H174" s="7"/>
      <c r="I174" s="7"/>
      <c r="J174" s="7"/>
    </row>
    <row r="175" spans="8:10" x14ac:dyDescent="0.25">
      <c r="H175" s="7"/>
      <c r="I175" s="7"/>
      <c r="J175" s="7"/>
    </row>
    <row r="176" spans="8:10" x14ac:dyDescent="0.25">
      <c r="H176" s="7"/>
      <c r="I176" s="7"/>
      <c r="J176" s="7"/>
    </row>
    <row r="177" spans="8:10" x14ac:dyDescent="0.25">
      <c r="H177" s="7"/>
      <c r="I177" s="7"/>
      <c r="J177" s="7"/>
    </row>
    <row r="178" spans="8:10" x14ac:dyDescent="0.25">
      <c r="H178" s="7"/>
      <c r="I178" s="7"/>
      <c r="J178" s="7"/>
    </row>
    <row r="179" spans="8:10" x14ac:dyDescent="0.25">
      <c r="H179" s="7"/>
      <c r="I179" s="7"/>
      <c r="J179" s="7"/>
    </row>
    <row r="180" spans="8:10" x14ac:dyDescent="0.25">
      <c r="H180" s="7"/>
      <c r="I180" s="7"/>
      <c r="J180" s="7"/>
    </row>
    <row r="181" spans="8:10" x14ac:dyDescent="0.25">
      <c r="H181" s="7"/>
      <c r="I181" s="7"/>
      <c r="J181" s="7"/>
    </row>
    <row r="182" spans="8:10" x14ac:dyDescent="0.25">
      <c r="H182" s="7"/>
      <c r="I182" s="7"/>
      <c r="J182" s="7"/>
    </row>
    <row r="183" spans="8:10" x14ac:dyDescent="0.25">
      <c r="H183" s="7"/>
      <c r="I183" s="7"/>
      <c r="J183" s="7"/>
    </row>
    <row r="184" spans="8:10" x14ac:dyDescent="0.25">
      <c r="H184" s="7"/>
      <c r="I184" s="7"/>
      <c r="J184" s="7"/>
    </row>
    <row r="185" spans="8:10" x14ac:dyDescent="0.25">
      <c r="H185" s="7"/>
      <c r="I185" s="7"/>
      <c r="J185" s="7"/>
    </row>
    <row r="186" spans="8:10" x14ac:dyDescent="0.25">
      <c r="H186" s="7"/>
      <c r="I186" s="7"/>
      <c r="J186" s="7"/>
    </row>
    <row r="187" spans="8:10" x14ac:dyDescent="0.25">
      <c r="H187" s="7"/>
      <c r="I187" s="7"/>
      <c r="J187" s="7"/>
    </row>
    <row r="188" spans="8:10" x14ac:dyDescent="0.25">
      <c r="H188" s="7"/>
      <c r="I188" s="7"/>
      <c r="J188" s="7"/>
    </row>
    <row r="189" spans="8:10" x14ac:dyDescent="0.25">
      <c r="H189" s="7"/>
      <c r="I189" s="7"/>
      <c r="J189" s="7"/>
    </row>
    <row r="190" spans="8:10" x14ac:dyDescent="0.25">
      <c r="H190" s="7"/>
      <c r="I190" s="7"/>
      <c r="J190" s="7"/>
    </row>
    <row r="191" spans="8:10" x14ac:dyDescent="0.25">
      <c r="H191" s="7"/>
      <c r="I191" s="7"/>
      <c r="J191" s="7"/>
    </row>
    <row r="192" spans="8:10" x14ac:dyDescent="0.25">
      <c r="H192" s="7"/>
      <c r="I192" s="7"/>
      <c r="J192" s="7"/>
    </row>
    <row r="193" spans="8:10" x14ac:dyDescent="0.25">
      <c r="H193" s="7"/>
      <c r="I193" s="7"/>
      <c r="J193" s="7"/>
    </row>
    <row r="194" spans="8:10" x14ac:dyDescent="0.25">
      <c r="H194" s="7"/>
      <c r="I194" s="7"/>
      <c r="J194" s="7"/>
    </row>
    <row r="195" spans="8:10" x14ac:dyDescent="0.25">
      <c r="H195" s="7"/>
      <c r="I195" s="7"/>
      <c r="J195" s="7"/>
    </row>
    <row r="196" spans="8:10" x14ac:dyDescent="0.25">
      <c r="H196" s="7"/>
      <c r="I196" s="7"/>
      <c r="J196" s="7"/>
    </row>
    <row r="197" spans="8:10" x14ac:dyDescent="0.25">
      <c r="H197" s="7"/>
      <c r="I197" s="7"/>
      <c r="J197" s="7"/>
    </row>
    <row r="198" spans="8:10" x14ac:dyDescent="0.25">
      <c r="H198" s="7"/>
      <c r="I198" s="7"/>
      <c r="J198" s="7"/>
    </row>
    <row r="199" spans="8:10" x14ac:dyDescent="0.25">
      <c r="H199" s="7"/>
      <c r="I199" s="7"/>
      <c r="J199" s="7"/>
    </row>
    <row r="200" spans="8:10" x14ac:dyDescent="0.25">
      <c r="H200" s="7"/>
      <c r="I200" s="7"/>
      <c r="J200" s="7"/>
    </row>
    <row r="201" spans="8:10" x14ac:dyDescent="0.25">
      <c r="H201" s="7"/>
      <c r="I201" s="7"/>
      <c r="J201" s="7"/>
    </row>
    <row r="202" spans="8:10" x14ac:dyDescent="0.25">
      <c r="H202" s="7"/>
      <c r="I202" s="7"/>
      <c r="J202" s="7"/>
    </row>
    <row r="203" spans="8:10" x14ac:dyDescent="0.25">
      <c r="H203" s="7"/>
      <c r="I203" s="7"/>
      <c r="J203" s="7"/>
    </row>
    <row r="204" spans="8:10" x14ac:dyDescent="0.25">
      <c r="H204" s="7"/>
      <c r="I204" s="7"/>
      <c r="J204" s="7"/>
    </row>
    <row r="205" spans="8:10" x14ac:dyDescent="0.25">
      <c r="H205" s="7"/>
      <c r="I205" s="7"/>
      <c r="J205" s="7"/>
    </row>
    <row r="206" spans="8:10" x14ac:dyDescent="0.25">
      <c r="H206" s="7"/>
      <c r="I206" s="7"/>
      <c r="J206" s="7"/>
    </row>
    <row r="207" spans="8:10" x14ac:dyDescent="0.25">
      <c r="H207" s="7"/>
      <c r="I207" s="7"/>
      <c r="J207" s="7"/>
    </row>
    <row r="208" spans="8:10" x14ac:dyDescent="0.25">
      <c r="H208" s="7"/>
      <c r="I208" s="7"/>
      <c r="J208" s="7"/>
    </row>
    <row r="209" spans="8:10" x14ac:dyDescent="0.25">
      <c r="H209" s="7"/>
      <c r="I209" s="7"/>
      <c r="J209" s="7"/>
    </row>
    <row r="210" spans="8:10" x14ac:dyDescent="0.25">
      <c r="H210" s="7"/>
      <c r="I210" s="7"/>
      <c r="J210" s="7"/>
    </row>
    <row r="211" spans="8:10" x14ac:dyDescent="0.25">
      <c r="H211" s="7"/>
      <c r="I211" s="7"/>
      <c r="J211" s="7"/>
    </row>
    <row r="212" spans="8:10" x14ac:dyDescent="0.25">
      <c r="H212" s="7"/>
      <c r="I212" s="7"/>
      <c r="J212" s="7"/>
    </row>
    <row r="213" spans="8:10" x14ac:dyDescent="0.25">
      <c r="H213" s="7"/>
      <c r="I213" s="7"/>
      <c r="J213" s="7"/>
    </row>
    <row r="214" spans="8:10" x14ac:dyDescent="0.25">
      <c r="H214" s="7"/>
      <c r="I214" s="7"/>
      <c r="J214" s="7"/>
    </row>
    <row r="215" spans="8:10" x14ac:dyDescent="0.25">
      <c r="H215" s="7"/>
      <c r="I215" s="7"/>
      <c r="J215" s="7"/>
    </row>
    <row r="216" spans="8:10" x14ac:dyDescent="0.25">
      <c r="H216" s="7"/>
      <c r="I216" s="7"/>
      <c r="J216" s="7"/>
    </row>
    <row r="217" spans="8:10" x14ac:dyDescent="0.25">
      <c r="H217" s="7"/>
      <c r="I217" s="7"/>
      <c r="J217" s="7"/>
    </row>
    <row r="218" spans="8:10" x14ac:dyDescent="0.25">
      <c r="H218" s="7"/>
      <c r="I218" s="7"/>
      <c r="J218" s="7"/>
    </row>
    <row r="219" spans="8:10" x14ac:dyDescent="0.25">
      <c r="H219" s="7"/>
      <c r="I219" s="7"/>
      <c r="J219" s="7"/>
    </row>
    <row r="220" spans="8:10" x14ac:dyDescent="0.25">
      <c r="H220" s="7"/>
      <c r="I220" s="7"/>
      <c r="J220" s="7"/>
    </row>
    <row r="221" spans="8:10" x14ac:dyDescent="0.25">
      <c r="H221" s="7"/>
      <c r="I221" s="7"/>
      <c r="J221" s="7"/>
    </row>
    <row r="222" spans="8:10" x14ac:dyDescent="0.25">
      <c r="H222" s="7"/>
      <c r="I222" s="7"/>
      <c r="J222" s="7"/>
    </row>
    <row r="223" spans="8:10" x14ac:dyDescent="0.25">
      <c r="H223" s="7"/>
      <c r="I223" s="7"/>
      <c r="J223" s="7"/>
    </row>
    <row r="224" spans="8:10" x14ac:dyDescent="0.25">
      <c r="H224" s="7"/>
      <c r="I224" s="7"/>
      <c r="J224" s="7"/>
    </row>
    <row r="225" spans="8:10" x14ac:dyDescent="0.25">
      <c r="H225" s="7"/>
      <c r="I225" s="7"/>
      <c r="J225" s="7"/>
    </row>
    <row r="226" spans="8:10" x14ac:dyDescent="0.25">
      <c r="H226" s="7"/>
      <c r="I226" s="7"/>
      <c r="J226" s="7"/>
    </row>
    <row r="227" spans="8:10" x14ac:dyDescent="0.25">
      <c r="H227" s="7"/>
      <c r="I227" s="7"/>
      <c r="J227" s="7"/>
    </row>
    <row r="228" spans="8:10" x14ac:dyDescent="0.25">
      <c r="H228" s="7"/>
      <c r="I228" s="7"/>
      <c r="J228" s="7"/>
    </row>
    <row r="229" spans="8:10" x14ac:dyDescent="0.25">
      <c r="H229" s="7"/>
      <c r="I229" s="7"/>
      <c r="J229" s="7"/>
    </row>
    <row r="230" spans="8:10" x14ac:dyDescent="0.25">
      <c r="H230" s="7"/>
      <c r="I230" s="7"/>
      <c r="J230" s="7"/>
    </row>
    <row r="231" spans="8:10" x14ac:dyDescent="0.25">
      <c r="H231" s="7"/>
      <c r="I231" s="7"/>
      <c r="J231" s="7"/>
    </row>
    <row r="232" spans="8:10" x14ac:dyDescent="0.25">
      <c r="H232" s="7"/>
      <c r="I232" s="7"/>
      <c r="J232" s="7"/>
    </row>
    <row r="233" spans="8:10" x14ac:dyDescent="0.25">
      <c r="H233" s="7"/>
      <c r="I233" s="7"/>
      <c r="J233" s="7"/>
    </row>
    <row r="234" spans="8:10" x14ac:dyDescent="0.25">
      <c r="H234" s="7"/>
      <c r="I234" s="7"/>
      <c r="J234" s="7"/>
    </row>
    <row r="235" spans="8:10" x14ac:dyDescent="0.25">
      <c r="H235" s="7"/>
      <c r="I235" s="7"/>
      <c r="J235" s="7"/>
    </row>
    <row r="236" spans="8:10" x14ac:dyDescent="0.25">
      <c r="H236" s="7"/>
      <c r="I236" s="7"/>
      <c r="J236" s="7"/>
    </row>
    <row r="237" spans="8:10" x14ac:dyDescent="0.25">
      <c r="H237" s="7"/>
      <c r="I237" s="7"/>
      <c r="J237" s="7"/>
    </row>
    <row r="238" spans="8:10" x14ac:dyDescent="0.25">
      <c r="H238" s="7"/>
      <c r="I238" s="7"/>
      <c r="J238" s="7"/>
    </row>
    <row r="239" spans="8:10" x14ac:dyDescent="0.25">
      <c r="H239" s="7"/>
      <c r="I239" s="7"/>
      <c r="J239" s="7"/>
    </row>
    <row r="240" spans="8:10" x14ac:dyDescent="0.25">
      <c r="H240" s="7"/>
      <c r="I240" s="7"/>
      <c r="J240" s="7"/>
    </row>
    <row r="241" spans="8:10" x14ac:dyDescent="0.25">
      <c r="H241" s="7"/>
      <c r="I241" s="7"/>
      <c r="J241" s="7"/>
    </row>
    <row r="242" spans="8:10" x14ac:dyDescent="0.25">
      <c r="H242" s="7"/>
      <c r="I242" s="7"/>
      <c r="J242" s="7"/>
    </row>
    <row r="243" spans="8:10" x14ac:dyDescent="0.25">
      <c r="H243" s="7"/>
      <c r="I243" s="7"/>
      <c r="J243" s="7"/>
    </row>
    <row r="244" spans="8:10" x14ac:dyDescent="0.25">
      <c r="H244" s="7"/>
      <c r="I244" s="7"/>
      <c r="J244" s="7"/>
    </row>
    <row r="245" spans="8:10" x14ac:dyDescent="0.25">
      <c r="H245" s="7"/>
      <c r="I245" s="7"/>
      <c r="J245" s="7"/>
    </row>
    <row r="246" spans="8:10" x14ac:dyDescent="0.25">
      <c r="H246" s="7"/>
      <c r="I246" s="7"/>
      <c r="J246" s="7"/>
    </row>
    <row r="247" spans="8:10" x14ac:dyDescent="0.25">
      <c r="H247" s="7"/>
      <c r="I247" s="7"/>
      <c r="J247" s="7"/>
    </row>
    <row r="248" spans="8:10" x14ac:dyDescent="0.25">
      <c r="H248" s="7"/>
      <c r="I248" s="7"/>
      <c r="J248" s="7"/>
    </row>
    <row r="249" spans="8:10" x14ac:dyDescent="0.25">
      <c r="H249" s="7"/>
      <c r="I249" s="7"/>
      <c r="J249" s="7"/>
    </row>
    <row r="250" spans="8:10" x14ac:dyDescent="0.25">
      <c r="H250" s="7"/>
      <c r="I250" s="7"/>
      <c r="J250" s="7"/>
    </row>
    <row r="251" spans="8:10" x14ac:dyDescent="0.25">
      <c r="H251" s="7"/>
      <c r="I251" s="7"/>
      <c r="J251" s="7"/>
    </row>
    <row r="252" spans="8:10" x14ac:dyDescent="0.25">
      <c r="H252" s="7"/>
      <c r="I252" s="7"/>
      <c r="J252" s="7"/>
    </row>
    <row r="253" spans="8:10" x14ac:dyDescent="0.25">
      <c r="H253" s="7"/>
      <c r="I253" s="7"/>
      <c r="J253" s="7"/>
    </row>
    <row r="254" spans="8:10" x14ac:dyDescent="0.25">
      <c r="H254" s="7"/>
      <c r="I254" s="7"/>
      <c r="J254" s="7"/>
    </row>
    <row r="255" spans="8:10" x14ac:dyDescent="0.25">
      <c r="H255" s="7"/>
      <c r="I255" s="7"/>
      <c r="J255" s="7"/>
    </row>
    <row r="256" spans="8:10" x14ac:dyDescent="0.25">
      <c r="H256" s="7"/>
      <c r="I256" s="7"/>
      <c r="J256" s="7"/>
    </row>
    <row r="257" spans="8:10" x14ac:dyDescent="0.25">
      <c r="H257" s="7"/>
      <c r="I257" s="7"/>
      <c r="J257" s="7"/>
    </row>
    <row r="258" spans="8:10" x14ac:dyDescent="0.25">
      <c r="H258" s="7"/>
      <c r="I258" s="7"/>
      <c r="J258" s="7"/>
    </row>
    <row r="259" spans="8:10" x14ac:dyDescent="0.25">
      <c r="H259" s="7"/>
      <c r="I259" s="7"/>
      <c r="J259" s="7"/>
    </row>
    <row r="260" spans="8:10" x14ac:dyDescent="0.25">
      <c r="H260" s="7"/>
      <c r="I260" s="7"/>
      <c r="J260" s="7"/>
    </row>
    <row r="261" spans="8:10" x14ac:dyDescent="0.25">
      <c r="H261" s="7"/>
      <c r="I261" s="7"/>
      <c r="J261" s="7"/>
    </row>
    <row r="262" spans="8:10" x14ac:dyDescent="0.25">
      <c r="H262" s="7"/>
      <c r="I262" s="7"/>
      <c r="J262" s="7"/>
    </row>
    <row r="263" spans="8:10" x14ac:dyDescent="0.25">
      <c r="H263" s="7"/>
      <c r="I263" s="7"/>
      <c r="J263" s="7"/>
    </row>
    <row r="264" spans="8:10" x14ac:dyDescent="0.25">
      <c r="H264" s="7"/>
      <c r="I264" s="7"/>
      <c r="J264" s="7"/>
    </row>
    <row r="265" spans="8:10" x14ac:dyDescent="0.25">
      <c r="H265" s="7"/>
      <c r="I265" s="7"/>
      <c r="J265" s="7"/>
    </row>
    <row r="266" spans="8:10" x14ac:dyDescent="0.25">
      <c r="H266" s="7"/>
      <c r="I266" s="7"/>
      <c r="J266" s="7"/>
    </row>
    <row r="267" spans="8:10" x14ac:dyDescent="0.25">
      <c r="H267" s="7"/>
      <c r="I267" s="7"/>
      <c r="J267" s="7"/>
    </row>
    <row r="268" spans="8:10" x14ac:dyDescent="0.25">
      <c r="H268" s="7"/>
      <c r="I268" s="7"/>
      <c r="J268" s="7"/>
    </row>
    <row r="269" spans="8:10" x14ac:dyDescent="0.25">
      <c r="H269" s="7"/>
      <c r="I269" s="7"/>
      <c r="J269" s="7"/>
    </row>
    <row r="270" spans="8:10" x14ac:dyDescent="0.25">
      <c r="H270" s="7"/>
      <c r="I270" s="7"/>
      <c r="J270" s="7"/>
    </row>
    <row r="271" spans="8:10" x14ac:dyDescent="0.25">
      <c r="H271" s="7"/>
      <c r="I271" s="7"/>
      <c r="J271" s="7"/>
    </row>
    <row r="272" spans="8:10" x14ac:dyDescent="0.25">
      <c r="H272" s="7"/>
      <c r="I272" s="7"/>
      <c r="J272" s="7"/>
    </row>
    <row r="273" spans="8:10" x14ac:dyDescent="0.25">
      <c r="H273" s="7"/>
      <c r="I273" s="7"/>
      <c r="J273" s="7"/>
    </row>
    <row r="274" spans="8:10" x14ac:dyDescent="0.25">
      <c r="H274" s="7"/>
      <c r="I274" s="7"/>
      <c r="J274" s="7"/>
    </row>
    <row r="275" spans="8:10" x14ac:dyDescent="0.25">
      <c r="H275" s="7"/>
      <c r="I275" s="7"/>
      <c r="J275" s="7"/>
    </row>
    <row r="276" spans="8:10" x14ac:dyDescent="0.25">
      <c r="H276" s="7"/>
      <c r="I276" s="7"/>
      <c r="J276" s="7"/>
    </row>
    <row r="277" spans="8:10" x14ac:dyDescent="0.25">
      <c r="H277" s="7"/>
      <c r="I277" s="7"/>
      <c r="J277" s="7"/>
    </row>
    <row r="278" spans="8:10" x14ac:dyDescent="0.25">
      <c r="H278" s="7"/>
      <c r="I278" s="7"/>
      <c r="J278" s="7"/>
    </row>
    <row r="279" spans="8:10" x14ac:dyDescent="0.25">
      <c r="H279" s="7"/>
      <c r="I279" s="7"/>
      <c r="J279" s="7"/>
    </row>
    <row r="280" spans="8:10" x14ac:dyDescent="0.25">
      <c r="H280" s="7"/>
      <c r="I280" s="7"/>
      <c r="J280" s="7"/>
    </row>
    <row r="281" spans="8:10" x14ac:dyDescent="0.25">
      <c r="H281" s="7"/>
      <c r="I281" s="7"/>
      <c r="J281" s="7"/>
    </row>
    <row r="282" spans="8:10" x14ac:dyDescent="0.25">
      <c r="H282" s="7"/>
      <c r="I282" s="7"/>
      <c r="J282" s="7"/>
    </row>
    <row r="283" spans="8:10" x14ac:dyDescent="0.25">
      <c r="H283" s="7"/>
      <c r="I283" s="7"/>
      <c r="J283" s="7"/>
    </row>
    <row r="284" spans="8:10" x14ac:dyDescent="0.25">
      <c r="H284" s="7"/>
      <c r="I284" s="7"/>
      <c r="J284" s="7"/>
    </row>
    <row r="285" spans="8:10" x14ac:dyDescent="0.25">
      <c r="H285" s="7"/>
      <c r="I285" s="7"/>
      <c r="J285" s="7"/>
    </row>
    <row r="286" spans="8:10" x14ac:dyDescent="0.25">
      <c r="H286" s="7"/>
      <c r="I286" s="7"/>
      <c r="J286" s="7"/>
    </row>
    <row r="287" spans="8:10" x14ac:dyDescent="0.25">
      <c r="H287" s="7"/>
      <c r="I287" s="7"/>
      <c r="J287" s="7"/>
    </row>
    <row r="288" spans="8:10" x14ac:dyDescent="0.25">
      <c r="H288" s="7"/>
      <c r="I288" s="7"/>
      <c r="J288" s="7"/>
    </row>
    <row r="289" spans="8:10" x14ac:dyDescent="0.25">
      <c r="H289" s="7"/>
      <c r="I289" s="7"/>
      <c r="J289" s="7"/>
    </row>
    <row r="290" spans="8:10" x14ac:dyDescent="0.25">
      <c r="H290" s="7"/>
      <c r="I290" s="7"/>
      <c r="J290" s="7"/>
    </row>
    <row r="291" spans="8:10" x14ac:dyDescent="0.25">
      <c r="H291" s="7"/>
      <c r="I291" s="7"/>
      <c r="J291" s="7"/>
    </row>
    <row r="292" spans="8:10" x14ac:dyDescent="0.25">
      <c r="H292" s="7"/>
      <c r="I292" s="7"/>
      <c r="J292" s="7"/>
    </row>
    <row r="293" spans="8:10" x14ac:dyDescent="0.25">
      <c r="H293" s="7"/>
      <c r="I293" s="7"/>
      <c r="J293" s="7"/>
    </row>
    <row r="294" spans="8:10" x14ac:dyDescent="0.25">
      <c r="H294" s="7"/>
      <c r="I294" s="7"/>
      <c r="J294" s="7"/>
    </row>
    <row r="295" spans="8:10" x14ac:dyDescent="0.25">
      <c r="H295" s="7"/>
      <c r="I295" s="7"/>
      <c r="J295" s="7"/>
    </row>
    <row r="296" spans="8:10" x14ac:dyDescent="0.25">
      <c r="H296" s="7"/>
      <c r="I296" s="7"/>
      <c r="J296" s="7"/>
    </row>
    <row r="297" spans="8:10" x14ac:dyDescent="0.25">
      <c r="H297" s="7"/>
      <c r="I297" s="7"/>
      <c r="J297" s="7"/>
    </row>
    <row r="298" spans="8:10" x14ac:dyDescent="0.25">
      <c r="H298" s="7"/>
      <c r="I298" s="7"/>
      <c r="J298" s="7"/>
    </row>
    <row r="299" spans="8:10" x14ac:dyDescent="0.25">
      <c r="H299" s="7"/>
      <c r="I299" s="7"/>
      <c r="J299" s="7"/>
    </row>
    <row r="300" spans="8:10" x14ac:dyDescent="0.25">
      <c r="H300" s="7"/>
      <c r="I300" s="7"/>
      <c r="J300" s="7"/>
    </row>
    <row r="301" spans="8:10" x14ac:dyDescent="0.25">
      <c r="H301" s="7"/>
      <c r="I301" s="7"/>
      <c r="J301" s="7"/>
    </row>
    <row r="302" spans="8:10" x14ac:dyDescent="0.25">
      <c r="H302" s="7"/>
      <c r="I302" s="7"/>
      <c r="J302" s="7"/>
    </row>
    <row r="303" spans="8:10" x14ac:dyDescent="0.25">
      <c r="H303" s="7"/>
      <c r="I303" s="7"/>
      <c r="J303" s="7"/>
    </row>
    <row r="304" spans="8:10" x14ac:dyDescent="0.25">
      <c r="H304" s="7"/>
      <c r="I304" s="7"/>
      <c r="J304" s="7"/>
    </row>
    <row r="305" spans="8:10" x14ac:dyDescent="0.25">
      <c r="H305" s="7"/>
      <c r="I305" s="7"/>
      <c r="J305" s="7"/>
    </row>
    <row r="306" spans="8:10" x14ac:dyDescent="0.25">
      <c r="H306" s="7"/>
      <c r="I306" s="7"/>
      <c r="J306" s="7"/>
    </row>
    <row r="307" spans="8:10" x14ac:dyDescent="0.25">
      <c r="H307" s="7"/>
      <c r="I307" s="7"/>
      <c r="J307" s="7"/>
    </row>
    <row r="308" spans="8:10" x14ac:dyDescent="0.25">
      <c r="H308" s="7"/>
      <c r="I308" s="7"/>
      <c r="J308" s="7"/>
    </row>
    <row r="309" spans="8:10" x14ac:dyDescent="0.25">
      <c r="H309" s="7"/>
      <c r="I309" s="7"/>
      <c r="J309" s="7"/>
    </row>
    <row r="310" spans="8:10" x14ac:dyDescent="0.25">
      <c r="H310" s="7"/>
      <c r="I310" s="7"/>
      <c r="J310" s="7"/>
    </row>
    <row r="311" spans="8:10" x14ac:dyDescent="0.25">
      <c r="H311" s="7"/>
      <c r="I311" s="7"/>
      <c r="J311" s="7"/>
    </row>
    <row r="312" spans="8:10" x14ac:dyDescent="0.25">
      <c r="H312" s="7"/>
      <c r="I312" s="7"/>
      <c r="J312" s="7"/>
    </row>
    <row r="313" spans="8:10" x14ac:dyDescent="0.25">
      <c r="H313" s="7"/>
      <c r="I313" s="7"/>
      <c r="J313" s="7"/>
    </row>
    <row r="314" spans="8:10" x14ac:dyDescent="0.25">
      <c r="H314" s="7"/>
      <c r="I314" s="7"/>
      <c r="J314" s="7"/>
    </row>
    <row r="315" spans="8:10" x14ac:dyDescent="0.25">
      <c r="H315" s="7"/>
      <c r="I315" s="7"/>
      <c r="J315" s="7"/>
    </row>
    <row r="316" spans="8:10" x14ac:dyDescent="0.25">
      <c r="H316" s="7"/>
      <c r="I316" s="7"/>
      <c r="J316" s="7"/>
    </row>
    <row r="317" spans="8:10" x14ac:dyDescent="0.25">
      <c r="H317" s="7"/>
      <c r="I317" s="7"/>
      <c r="J317" s="7"/>
    </row>
    <row r="318" spans="8:10" x14ac:dyDescent="0.25">
      <c r="H318" s="7"/>
      <c r="I318" s="7"/>
      <c r="J318" s="7"/>
    </row>
    <row r="319" spans="8:10" x14ac:dyDescent="0.25">
      <c r="H319" s="7"/>
      <c r="I319" s="7"/>
      <c r="J319" s="7"/>
    </row>
    <row r="320" spans="8:10" x14ac:dyDescent="0.25">
      <c r="H320" s="7"/>
      <c r="I320" s="7"/>
      <c r="J320" s="7"/>
    </row>
    <row r="321" spans="8:10" x14ac:dyDescent="0.25">
      <c r="H321" s="7"/>
      <c r="I321" s="7"/>
      <c r="J321" s="7"/>
    </row>
    <row r="322" spans="8:10" x14ac:dyDescent="0.25">
      <c r="H322" s="7"/>
      <c r="I322" s="7"/>
      <c r="J322" s="7"/>
    </row>
    <row r="323" spans="8:10" x14ac:dyDescent="0.25">
      <c r="H323" s="7"/>
      <c r="I323" s="7"/>
      <c r="J323" s="7"/>
    </row>
    <row r="324" spans="8:10" x14ac:dyDescent="0.25">
      <c r="H324" s="7"/>
      <c r="I324" s="7"/>
      <c r="J324" s="7"/>
    </row>
    <row r="325" spans="8:10" x14ac:dyDescent="0.25">
      <c r="H325" s="7"/>
      <c r="I325" s="7"/>
      <c r="J325" s="7"/>
    </row>
    <row r="326" spans="8:10" x14ac:dyDescent="0.25">
      <c r="H326" s="7"/>
      <c r="I326" s="7"/>
      <c r="J326" s="7"/>
    </row>
    <row r="327" spans="8:10" x14ac:dyDescent="0.25">
      <c r="H327" s="7"/>
      <c r="I327" s="7"/>
      <c r="J327" s="7"/>
    </row>
    <row r="328" spans="8:10" x14ac:dyDescent="0.25">
      <c r="H328" s="7"/>
      <c r="I328" s="7"/>
      <c r="J328" s="7"/>
    </row>
    <row r="329" spans="8:10" x14ac:dyDescent="0.25">
      <c r="H329" s="7"/>
      <c r="I329" s="7"/>
      <c r="J329" s="7"/>
    </row>
    <row r="330" spans="8:10" x14ac:dyDescent="0.25">
      <c r="H330" s="7"/>
      <c r="I330" s="7"/>
      <c r="J330" s="7"/>
    </row>
    <row r="331" spans="8:10" x14ac:dyDescent="0.25">
      <c r="H331" s="7"/>
      <c r="I331" s="7"/>
      <c r="J331" s="7"/>
    </row>
    <row r="332" spans="8:10" x14ac:dyDescent="0.25">
      <c r="H332" s="7"/>
      <c r="I332" s="7"/>
      <c r="J332" s="7"/>
    </row>
    <row r="333" spans="8:10" x14ac:dyDescent="0.25">
      <c r="H333" s="7"/>
      <c r="I333" s="7"/>
      <c r="J333" s="7"/>
    </row>
    <row r="334" spans="8:10" x14ac:dyDescent="0.25">
      <c r="H334" s="7"/>
      <c r="I334" s="7"/>
      <c r="J334" s="7"/>
    </row>
    <row r="335" spans="8:10" x14ac:dyDescent="0.25">
      <c r="H335" s="7"/>
      <c r="I335" s="7"/>
      <c r="J335" s="7"/>
    </row>
    <row r="336" spans="8:10" x14ac:dyDescent="0.25">
      <c r="H336" s="7"/>
      <c r="I336" s="7"/>
      <c r="J336" s="7"/>
    </row>
    <row r="337" spans="8:10" x14ac:dyDescent="0.25">
      <c r="H337" s="7"/>
      <c r="I337" s="7"/>
      <c r="J337" s="7"/>
    </row>
    <row r="338" spans="8:10" x14ac:dyDescent="0.25">
      <c r="H338" s="7"/>
      <c r="I338" s="7"/>
      <c r="J338" s="7"/>
    </row>
    <row r="339" spans="8:10" x14ac:dyDescent="0.25">
      <c r="H339" s="7"/>
      <c r="I339" s="7"/>
      <c r="J339" s="7"/>
    </row>
    <row r="340" spans="8:10" x14ac:dyDescent="0.25">
      <c r="H340" s="7"/>
      <c r="I340" s="7"/>
      <c r="J340" s="7"/>
    </row>
    <row r="341" spans="8:10" x14ac:dyDescent="0.25">
      <c r="H341" s="7"/>
      <c r="I341" s="7"/>
      <c r="J341" s="7"/>
    </row>
    <row r="342" spans="8:10" x14ac:dyDescent="0.25">
      <c r="H342" s="7"/>
      <c r="I342" s="7"/>
      <c r="J342" s="7"/>
    </row>
    <row r="343" spans="8:10" x14ac:dyDescent="0.25">
      <c r="H343" s="7"/>
      <c r="I343" s="7"/>
      <c r="J343" s="7"/>
    </row>
    <row r="344" spans="8:10" x14ac:dyDescent="0.25">
      <c r="H344" s="7"/>
      <c r="I344" s="7"/>
      <c r="J344" s="7"/>
    </row>
    <row r="345" spans="8:10" x14ac:dyDescent="0.25">
      <c r="H345" s="7"/>
      <c r="I345" s="7"/>
      <c r="J345" s="7"/>
    </row>
    <row r="346" spans="8:10" x14ac:dyDescent="0.25">
      <c r="H346" s="7"/>
      <c r="I346" s="7"/>
      <c r="J346" s="7"/>
    </row>
    <row r="347" spans="8:10" x14ac:dyDescent="0.25">
      <c r="H347" s="7"/>
      <c r="I347" s="7"/>
      <c r="J347" s="7"/>
    </row>
    <row r="348" spans="8:10" x14ac:dyDescent="0.25">
      <c r="H348" s="7"/>
      <c r="I348" s="7"/>
      <c r="J348" s="7"/>
    </row>
    <row r="349" spans="8:10" x14ac:dyDescent="0.25">
      <c r="H349" s="7"/>
      <c r="I349" s="7"/>
      <c r="J349" s="7"/>
    </row>
    <row r="350" spans="8:10" x14ac:dyDescent="0.25">
      <c r="H350" s="7"/>
      <c r="I350" s="7"/>
      <c r="J350" s="7"/>
    </row>
    <row r="351" spans="8:10" x14ac:dyDescent="0.25">
      <c r="H351" s="7"/>
      <c r="I351" s="7"/>
      <c r="J351" s="7"/>
    </row>
    <row r="352" spans="8:10" x14ac:dyDescent="0.25">
      <c r="H352" s="7"/>
      <c r="I352" s="7"/>
      <c r="J352" s="7"/>
    </row>
    <row r="353" spans="8:10" x14ac:dyDescent="0.25">
      <c r="H353" s="7"/>
      <c r="I353" s="7"/>
      <c r="J353" s="7"/>
    </row>
    <row r="354" spans="8:10" x14ac:dyDescent="0.25">
      <c r="H354" s="7"/>
      <c r="I354" s="7"/>
      <c r="J354" s="7"/>
    </row>
    <row r="355" spans="8:10" x14ac:dyDescent="0.25">
      <c r="H355" s="7"/>
      <c r="I355" s="7"/>
      <c r="J355" s="7"/>
    </row>
    <row r="356" spans="8:10" x14ac:dyDescent="0.25">
      <c r="H356" s="7"/>
      <c r="I356" s="7"/>
      <c r="J356" s="7"/>
    </row>
    <row r="357" spans="8:10" x14ac:dyDescent="0.25">
      <c r="H357" s="7"/>
      <c r="I357" s="7"/>
      <c r="J357" s="7"/>
    </row>
    <row r="358" spans="8:10" x14ac:dyDescent="0.25">
      <c r="H358" s="7"/>
      <c r="I358" s="7"/>
      <c r="J358" s="7"/>
    </row>
    <row r="359" spans="8:10" x14ac:dyDescent="0.25">
      <c r="H359" s="7"/>
      <c r="I359" s="7"/>
      <c r="J359" s="7"/>
    </row>
    <row r="360" spans="8:10" x14ac:dyDescent="0.25">
      <c r="H360" s="7"/>
      <c r="I360" s="7"/>
      <c r="J360" s="7"/>
    </row>
    <row r="361" spans="8:10" x14ac:dyDescent="0.25">
      <c r="H361" s="7"/>
      <c r="I361" s="7"/>
      <c r="J361" s="7"/>
    </row>
    <row r="362" spans="8:10" x14ac:dyDescent="0.25">
      <c r="H362" s="7"/>
      <c r="I362" s="7"/>
      <c r="J362" s="7"/>
    </row>
    <row r="363" spans="8:10" x14ac:dyDescent="0.25">
      <c r="H363" s="7"/>
      <c r="I363" s="7"/>
      <c r="J363" s="7"/>
    </row>
    <row r="364" spans="8:10" x14ac:dyDescent="0.25">
      <c r="H364" s="7"/>
      <c r="I364" s="7"/>
      <c r="J364" s="7"/>
    </row>
    <row r="365" spans="8:10" x14ac:dyDescent="0.25">
      <c r="H365" s="7"/>
      <c r="I365" s="7"/>
      <c r="J365" s="7"/>
    </row>
    <row r="366" spans="8:10" x14ac:dyDescent="0.25">
      <c r="H366" s="7"/>
      <c r="I366" s="7"/>
      <c r="J366" s="7"/>
    </row>
    <row r="367" spans="8:10" x14ac:dyDescent="0.25">
      <c r="H367" s="7"/>
      <c r="I367" s="7"/>
      <c r="J367" s="7"/>
    </row>
    <row r="368" spans="8:10" x14ac:dyDescent="0.25">
      <c r="H368" s="7"/>
      <c r="I368" s="7"/>
      <c r="J368" s="7"/>
    </row>
    <row r="369" spans="8:10" x14ac:dyDescent="0.25">
      <c r="H369" s="7"/>
      <c r="I369" s="7"/>
      <c r="J369" s="7"/>
    </row>
    <row r="370" spans="8:10" x14ac:dyDescent="0.25">
      <c r="H370" s="7"/>
      <c r="I370" s="7"/>
      <c r="J370" s="7"/>
    </row>
    <row r="371" spans="8:10" x14ac:dyDescent="0.25">
      <c r="H371" s="7"/>
      <c r="I371" s="7"/>
      <c r="J371" s="7"/>
    </row>
    <row r="372" spans="8:10" x14ac:dyDescent="0.25">
      <c r="H372" s="7"/>
      <c r="I372" s="7"/>
      <c r="J372" s="7"/>
    </row>
    <row r="373" spans="8:10" x14ac:dyDescent="0.25">
      <c r="H373" s="7"/>
      <c r="I373" s="7"/>
      <c r="J373" s="7"/>
    </row>
    <row r="374" spans="8:10" x14ac:dyDescent="0.25">
      <c r="H374" s="7"/>
      <c r="I374" s="7"/>
      <c r="J374" s="7"/>
    </row>
    <row r="375" spans="8:10" x14ac:dyDescent="0.25">
      <c r="H375" s="7"/>
      <c r="I375" s="7"/>
      <c r="J375" s="7"/>
    </row>
    <row r="376" spans="8:10" x14ac:dyDescent="0.25">
      <c r="H376" s="7"/>
      <c r="I376" s="7"/>
      <c r="J376" s="7"/>
    </row>
    <row r="377" spans="8:10" x14ac:dyDescent="0.25">
      <c r="H377" s="7"/>
      <c r="I377" s="7"/>
      <c r="J377" s="7"/>
    </row>
    <row r="378" spans="8:10" x14ac:dyDescent="0.25">
      <c r="H378" s="7"/>
      <c r="I378" s="7"/>
      <c r="J378" s="7"/>
    </row>
    <row r="379" spans="8:10" x14ac:dyDescent="0.25">
      <c r="H379" s="7"/>
      <c r="I379" s="7"/>
      <c r="J379" s="7"/>
    </row>
    <row r="380" spans="8:10" x14ac:dyDescent="0.25">
      <c r="H380" s="7"/>
      <c r="I380" s="7"/>
      <c r="J380" s="7"/>
    </row>
    <row r="381" spans="8:10" x14ac:dyDescent="0.25">
      <c r="H381" s="7"/>
      <c r="I381" s="7"/>
      <c r="J381" s="7"/>
    </row>
    <row r="382" spans="8:10" x14ac:dyDescent="0.25">
      <c r="H382" s="7"/>
      <c r="I382" s="7"/>
      <c r="J382" s="7"/>
    </row>
    <row r="383" spans="8:10" x14ac:dyDescent="0.25">
      <c r="H383" s="7"/>
      <c r="I383" s="7"/>
      <c r="J383" s="7"/>
    </row>
    <row r="384" spans="8:10" x14ac:dyDescent="0.25">
      <c r="H384" s="7"/>
      <c r="I384" s="7"/>
      <c r="J384" s="7"/>
    </row>
    <row r="385" spans="8:10" x14ac:dyDescent="0.25">
      <c r="H385" s="7"/>
      <c r="I385" s="7"/>
      <c r="J385" s="7"/>
    </row>
    <row r="386" spans="8:10" x14ac:dyDescent="0.25">
      <c r="H386" s="7"/>
      <c r="I386" s="7"/>
      <c r="J386" s="7"/>
    </row>
    <row r="387" spans="8:10" x14ac:dyDescent="0.25">
      <c r="H387" s="7"/>
      <c r="I387" s="7"/>
      <c r="J387" s="7"/>
    </row>
    <row r="388" spans="8:10" x14ac:dyDescent="0.25">
      <c r="H388" s="7"/>
      <c r="I388" s="7"/>
      <c r="J388" s="7"/>
    </row>
    <row r="389" spans="8:10" x14ac:dyDescent="0.25">
      <c r="H389" s="7"/>
      <c r="I389" s="7"/>
      <c r="J389" s="7"/>
    </row>
    <row r="390" spans="8:10" x14ac:dyDescent="0.25">
      <c r="H390" s="7"/>
      <c r="I390" s="7"/>
      <c r="J390" s="7"/>
    </row>
    <row r="391" spans="8:10" x14ac:dyDescent="0.25">
      <c r="H391" s="7"/>
      <c r="I391" s="7"/>
      <c r="J391" s="7"/>
    </row>
    <row r="392" spans="8:10" x14ac:dyDescent="0.25">
      <c r="H392" s="7"/>
      <c r="I392" s="7"/>
      <c r="J392" s="7"/>
    </row>
    <row r="393" spans="8:10" x14ac:dyDescent="0.25">
      <c r="H393" s="7"/>
      <c r="I393" s="7"/>
      <c r="J393" s="7"/>
    </row>
    <row r="394" spans="8:10" x14ac:dyDescent="0.25">
      <c r="H394" s="7"/>
      <c r="I394" s="7"/>
      <c r="J394" s="7"/>
    </row>
    <row r="395" spans="8:10" x14ac:dyDescent="0.25">
      <c r="H395" s="7"/>
      <c r="I395" s="7"/>
      <c r="J395" s="7"/>
    </row>
    <row r="396" spans="8:10" x14ac:dyDescent="0.25">
      <c r="H396" s="7"/>
      <c r="I396" s="7"/>
      <c r="J396" s="7"/>
    </row>
    <row r="397" spans="8:10" x14ac:dyDescent="0.25">
      <c r="H397" s="7"/>
      <c r="I397" s="7"/>
      <c r="J397" s="7"/>
    </row>
    <row r="398" spans="8:10" x14ac:dyDescent="0.25">
      <c r="H398" s="7"/>
      <c r="I398" s="7"/>
      <c r="J398" s="7"/>
    </row>
    <row r="399" spans="8:10" x14ac:dyDescent="0.25">
      <c r="H399" s="7"/>
      <c r="I399" s="7"/>
      <c r="J399" s="7"/>
    </row>
    <row r="400" spans="8:10" x14ac:dyDescent="0.25">
      <c r="H400" s="7"/>
      <c r="I400" s="7"/>
      <c r="J400" s="7"/>
    </row>
    <row r="401" spans="8:10" x14ac:dyDescent="0.25">
      <c r="H401" s="7"/>
      <c r="I401" s="7"/>
      <c r="J401" s="7"/>
    </row>
    <row r="402" spans="8:10" x14ac:dyDescent="0.25">
      <c r="H402" s="7"/>
      <c r="I402" s="7"/>
      <c r="J402" s="7"/>
    </row>
    <row r="403" spans="8:10" x14ac:dyDescent="0.25">
      <c r="H403" s="7"/>
      <c r="I403" s="7"/>
      <c r="J403" s="7"/>
    </row>
    <row r="404" spans="8:10" x14ac:dyDescent="0.25">
      <c r="H404" s="7"/>
      <c r="I404" s="7"/>
      <c r="J404" s="7"/>
    </row>
    <row r="405" spans="8:10" x14ac:dyDescent="0.25">
      <c r="H405" s="7"/>
      <c r="I405" s="7"/>
      <c r="J405" s="7"/>
    </row>
    <row r="406" spans="8:10" x14ac:dyDescent="0.25">
      <c r="H406" s="7"/>
      <c r="I406" s="7"/>
      <c r="J406" s="7"/>
    </row>
    <row r="407" spans="8:10" x14ac:dyDescent="0.25">
      <c r="H407" s="7"/>
      <c r="I407" s="7"/>
      <c r="J407" s="7"/>
    </row>
    <row r="408" spans="8:10" x14ac:dyDescent="0.25">
      <c r="H408" s="7"/>
      <c r="I408" s="7"/>
      <c r="J408" s="7"/>
    </row>
    <row r="409" spans="8:10" x14ac:dyDescent="0.25">
      <c r="H409" s="7"/>
      <c r="I409" s="7"/>
      <c r="J409" s="7"/>
    </row>
    <row r="410" spans="8:10" x14ac:dyDescent="0.25">
      <c r="H410" s="7"/>
      <c r="I410" s="7"/>
      <c r="J410" s="7"/>
    </row>
    <row r="411" spans="8:10" x14ac:dyDescent="0.25">
      <c r="H411" s="7"/>
      <c r="I411" s="7"/>
      <c r="J411" s="7"/>
    </row>
    <row r="412" spans="8:10" x14ac:dyDescent="0.25">
      <c r="H412" s="7"/>
      <c r="I412" s="7"/>
      <c r="J412" s="7"/>
    </row>
    <row r="413" spans="8:10" x14ac:dyDescent="0.25">
      <c r="H413" s="7"/>
      <c r="I413" s="7"/>
      <c r="J413" s="7"/>
    </row>
    <row r="414" spans="8:10" x14ac:dyDescent="0.25">
      <c r="H414" s="7"/>
      <c r="I414" s="7"/>
      <c r="J414" s="7"/>
    </row>
    <row r="415" spans="8:10" x14ac:dyDescent="0.25">
      <c r="H415" s="7"/>
      <c r="I415" s="7"/>
      <c r="J415" s="7"/>
    </row>
    <row r="416" spans="8:10" x14ac:dyDescent="0.25">
      <c r="H416" s="7"/>
      <c r="I416" s="7"/>
      <c r="J416" s="7"/>
    </row>
    <row r="417" spans="8:10" x14ac:dyDescent="0.25">
      <c r="H417" s="7"/>
      <c r="I417" s="7"/>
      <c r="J417" s="7"/>
    </row>
    <row r="418" spans="8:10" x14ac:dyDescent="0.25">
      <c r="H418" s="7"/>
      <c r="I418" s="7"/>
      <c r="J418" s="7"/>
    </row>
    <row r="419" spans="8:10" x14ac:dyDescent="0.25">
      <c r="H419" s="7"/>
      <c r="I419" s="7"/>
      <c r="J419" s="7"/>
    </row>
    <row r="420" spans="8:10" x14ac:dyDescent="0.25">
      <c r="H420" s="7"/>
      <c r="I420" s="7"/>
      <c r="J420" s="7"/>
    </row>
    <row r="421" spans="8:10" x14ac:dyDescent="0.25">
      <c r="H421" s="7"/>
      <c r="I421" s="7"/>
      <c r="J421" s="7"/>
    </row>
    <row r="422" spans="8:10" x14ac:dyDescent="0.25">
      <c r="H422" s="7"/>
      <c r="I422" s="7"/>
      <c r="J422" s="7"/>
    </row>
    <row r="423" spans="8:10" x14ac:dyDescent="0.25">
      <c r="H423" s="7"/>
      <c r="I423" s="7"/>
      <c r="J423" s="7"/>
    </row>
    <row r="424" spans="8:10" x14ac:dyDescent="0.25">
      <c r="H424" s="7"/>
      <c r="I424" s="7"/>
      <c r="J424" s="7"/>
    </row>
    <row r="425" spans="8:10" x14ac:dyDescent="0.25">
      <c r="H425" s="7"/>
      <c r="I425" s="7"/>
      <c r="J425" s="7"/>
    </row>
    <row r="426" spans="8:10" x14ac:dyDescent="0.25">
      <c r="H426" s="7"/>
      <c r="I426" s="7"/>
      <c r="J426" s="7"/>
    </row>
    <row r="427" spans="8:10" x14ac:dyDescent="0.25">
      <c r="H427" s="7"/>
      <c r="I427" s="7"/>
      <c r="J427" s="7"/>
    </row>
    <row r="428" spans="8:10" x14ac:dyDescent="0.25">
      <c r="H428" s="7"/>
      <c r="I428" s="7"/>
      <c r="J428" s="7"/>
    </row>
    <row r="429" spans="8:10" x14ac:dyDescent="0.25">
      <c r="H429" s="7"/>
      <c r="I429" s="7"/>
      <c r="J429" s="7"/>
    </row>
    <row r="430" spans="8:10" x14ac:dyDescent="0.25">
      <c r="H430" s="7"/>
      <c r="I430" s="7"/>
      <c r="J430" s="7"/>
    </row>
    <row r="431" spans="8:10" x14ac:dyDescent="0.25">
      <c r="H431" s="7"/>
      <c r="I431" s="7"/>
      <c r="J431" s="7"/>
    </row>
    <row r="432" spans="8:10" x14ac:dyDescent="0.25">
      <c r="H432" s="7"/>
      <c r="I432" s="7"/>
      <c r="J432" s="7"/>
    </row>
    <row r="433" spans="8:10" x14ac:dyDescent="0.25">
      <c r="H433" s="7"/>
      <c r="I433" s="7"/>
      <c r="J433" s="7"/>
    </row>
    <row r="434" spans="8:10" x14ac:dyDescent="0.25">
      <c r="H434" s="7"/>
      <c r="I434" s="7"/>
      <c r="J434" s="7"/>
    </row>
    <row r="435" spans="8:10" x14ac:dyDescent="0.25">
      <c r="H435" s="7"/>
      <c r="I435" s="7"/>
      <c r="J435" s="7"/>
    </row>
    <row r="436" spans="8:10" x14ac:dyDescent="0.25">
      <c r="H436" s="7"/>
      <c r="I436" s="7"/>
      <c r="J436" s="7"/>
    </row>
    <row r="437" spans="8:10" x14ac:dyDescent="0.25">
      <c r="H437" s="7"/>
      <c r="I437" s="7"/>
      <c r="J437" s="7"/>
    </row>
    <row r="438" spans="8:10" x14ac:dyDescent="0.25">
      <c r="H438" s="7"/>
      <c r="I438" s="7"/>
      <c r="J438" s="7"/>
    </row>
    <row r="439" spans="8:10" x14ac:dyDescent="0.25">
      <c r="H439" s="7"/>
      <c r="I439" s="7"/>
      <c r="J439" s="7"/>
    </row>
    <row r="440" spans="8:10" x14ac:dyDescent="0.25">
      <c r="H440" s="7"/>
      <c r="I440" s="7"/>
      <c r="J440" s="7"/>
    </row>
    <row r="441" spans="8:10" x14ac:dyDescent="0.25">
      <c r="H441" s="7"/>
      <c r="I441" s="7"/>
      <c r="J441" s="7"/>
    </row>
    <row r="442" spans="8:10" x14ac:dyDescent="0.25">
      <c r="H442" s="7"/>
      <c r="I442" s="7"/>
      <c r="J442" s="7"/>
    </row>
    <row r="443" spans="8:10" x14ac:dyDescent="0.25">
      <c r="H443" s="7"/>
      <c r="I443" s="7"/>
      <c r="J443" s="7"/>
    </row>
    <row r="444" spans="8:10" x14ac:dyDescent="0.25">
      <c r="H444" s="7"/>
      <c r="I444" s="7"/>
      <c r="J444" s="7"/>
    </row>
    <row r="445" spans="8:10" x14ac:dyDescent="0.25">
      <c r="H445" s="7"/>
      <c r="I445" s="7"/>
      <c r="J445" s="7"/>
    </row>
    <row r="446" spans="8:10" x14ac:dyDescent="0.25">
      <c r="H446" s="7"/>
      <c r="I446" s="7"/>
      <c r="J446" s="7"/>
    </row>
    <row r="447" spans="8:10" x14ac:dyDescent="0.25">
      <c r="H447" s="7"/>
      <c r="I447" s="7"/>
      <c r="J447" s="7"/>
    </row>
    <row r="448" spans="8:10" x14ac:dyDescent="0.25">
      <c r="H448" s="7"/>
      <c r="I448" s="7"/>
      <c r="J448" s="7"/>
    </row>
    <row r="449" spans="8:10" x14ac:dyDescent="0.25">
      <c r="H449" s="7"/>
      <c r="I449" s="7"/>
      <c r="J449" s="7"/>
    </row>
    <row r="450" spans="8:10" x14ac:dyDescent="0.25">
      <c r="H450" s="7"/>
      <c r="I450" s="7"/>
      <c r="J450" s="7"/>
    </row>
    <row r="451" spans="8:10" x14ac:dyDescent="0.25">
      <c r="H451" s="7"/>
      <c r="I451" s="7"/>
      <c r="J451" s="7"/>
    </row>
    <row r="452" spans="8:10" x14ac:dyDescent="0.25">
      <c r="H452" s="7"/>
      <c r="I452" s="7"/>
      <c r="J452" s="7"/>
    </row>
    <row r="453" spans="8:10" x14ac:dyDescent="0.25">
      <c r="H453" s="7"/>
      <c r="I453" s="7"/>
      <c r="J453" s="7"/>
    </row>
    <row r="454" spans="8:10" x14ac:dyDescent="0.25">
      <c r="H454" s="7"/>
      <c r="I454" s="7"/>
      <c r="J454" s="7"/>
    </row>
    <row r="455" spans="8:10" x14ac:dyDescent="0.25">
      <c r="H455" s="7"/>
      <c r="I455" s="7"/>
      <c r="J455" s="7"/>
    </row>
    <row r="456" spans="8:10" x14ac:dyDescent="0.25">
      <c r="H456" s="7"/>
      <c r="I456" s="7"/>
      <c r="J456" s="7"/>
    </row>
    <row r="457" spans="8:10" x14ac:dyDescent="0.25">
      <c r="H457" s="7"/>
      <c r="I457" s="7"/>
      <c r="J457" s="7"/>
    </row>
    <row r="458" spans="8:10" x14ac:dyDescent="0.25">
      <c r="H458" s="7"/>
      <c r="I458" s="7"/>
      <c r="J458" s="7"/>
    </row>
    <row r="459" spans="8:10" x14ac:dyDescent="0.25">
      <c r="H459" s="7"/>
      <c r="I459" s="7"/>
      <c r="J459" s="7"/>
    </row>
    <row r="460" spans="8:10" x14ac:dyDescent="0.25">
      <c r="H460" s="7"/>
      <c r="I460" s="7"/>
      <c r="J460" s="7"/>
    </row>
    <row r="461" spans="8:10" x14ac:dyDescent="0.25">
      <c r="H461" s="7"/>
      <c r="I461" s="7"/>
      <c r="J461" s="7"/>
    </row>
    <row r="462" spans="8:10" x14ac:dyDescent="0.25">
      <c r="H462" s="7"/>
      <c r="I462" s="7"/>
      <c r="J462" s="7"/>
    </row>
    <row r="463" spans="8:10" x14ac:dyDescent="0.25">
      <c r="H463" s="7"/>
      <c r="I463" s="7"/>
      <c r="J463" s="7"/>
    </row>
    <row r="464" spans="8:10" x14ac:dyDescent="0.25">
      <c r="H464" s="7"/>
      <c r="I464" s="7"/>
      <c r="J464" s="7"/>
    </row>
    <row r="465" spans="8:10" x14ac:dyDescent="0.25">
      <c r="H465" s="7"/>
      <c r="I465" s="7"/>
      <c r="J465" s="7"/>
    </row>
    <row r="466" spans="8:10" x14ac:dyDescent="0.25">
      <c r="H466" s="7"/>
      <c r="I466" s="7"/>
      <c r="J466" s="7"/>
    </row>
    <row r="467" spans="8:10" x14ac:dyDescent="0.25">
      <c r="H467" s="7"/>
      <c r="I467" s="7"/>
      <c r="J467" s="7"/>
    </row>
    <row r="468" spans="8:10" x14ac:dyDescent="0.25">
      <c r="H468" s="7"/>
      <c r="I468" s="7"/>
      <c r="J468" s="7"/>
    </row>
    <row r="469" spans="8:10" x14ac:dyDescent="0.25">
      <c r="H469" s="7"/>
      <c r="I469" s="7"/>
      <c r="J469" s="7"/>
    </row>
    <row r="470" spans="8:10" x14ac:dyDescent="0.25">
      <c r="H470" s="7"/>
      <c r="I470" s="7"/>
      <c r="J470" s="7"/>
    </row>
    <row r="471" spans="8:10" x14ac:dyDescent="0.25">
      <c r="H471" s="7"/>
      <c r="I471" s="7"/>
      <c r="J471" s="7"/>
    </row>
    <row r="472" spans="8:10" x14ac:dyDescent="0.25">
      <c r="H472" s="7"/>
      <c r="I472" s="7"/>
      <c r="J472" s="7"/>
    </row>
    <row r="473" spans="8:10" x14ac:dyDescent="0.25">
      <c r="H473" s="7"/>
      <c r="I473" s="7"/>
      <c r="J473" s="7"/>
    </row>
    <row r="474" spans="8:10" x14ac:dyDescent="0.25">
      <c r="H474" s="7"/>
      <c r="I474" s="7"/>
      <c r="J474" s="7"/>
    </row>
    <row r="475" spans="8:10" x14ac:dyDescent="0.25">
      <c r="H475" s="7"/>
      <c r="I475" s="7"/>
      <c r="J475" s="7"/>
    </row>
    <row r="476" spans="8:10" x14ac:dyDescent="0.25">
      <c r="H476" s="7"/>
      <c r="I476" s="7"/>
      <c r="J476" s="7"/>
    </row>
    <row r="477" spans="8:10" x14ac:dyDescent="0.25">
      <c r="H477" s="7"/>
      <c r="I477" s="7"/>
      <c r="J477" s="7"/>
    </row>
    <row r="478" spans="8:10" x14ac:dyDescent="0.25">
      <c r="H478" s="7"/>
      <c r="I478" s="7"/>
      <c r="J478" s="7"/>
    </row>
    <row r="479" spans="8:10" x14ac:dyDescent="0.25">
      <c r="H479" s="7"/>
      <c r="I479" s="7"/>
      <c r="J479" s="7"/>
    </row>
    <row r="480" spans="8:10" x14ac:dyDescent="0.25">
      <c r="H480" s="7"/>
      <c r="I480" s="7"/>
      <c r="J480" s="7"/>
    </row>
    <row r="481" spans="8:10" x14ac:dyDescent="0.25">
      <c r="H481" s="7"/>
      <c r="I481" s="7"/>
      <c r="J481" s="7"/>
    </row>
    <row r="482" spans="8:10" x14ac:dyDescent="0.25">
      <c r="H482" s="7"/>
      <c r="I482" s="7"/>
      <c r="J482" s="7"/>
    </row>
    <row r="483" spans="8:10" x14ac:dyDescent="0.25">
      <c r="H483" s="7"/>
      <c r="I483" s="7"/>
      <c r="J483" s="7"/>
    </row>
    <row r="484" spans="8:10" x14ac:dyDescent="0.25">
      <c r="H484" s="7"/>
      <c r="I484" s="7"/>
      <c r="J484" s="7"/>
    </row>
    <row r="485" spans="8:10" x14ac:dyDescent="0.25">
      <c r="H485" s="7"/>
      <c r="I485" s="7"/>
      <c r="J485" s="7"/>
    </row>
    <row r="486" spans="8:10" x14ac:dyDescent="0.25">
      <c r="H486" s="7"/>
      <c r="I486" s="7"/>
      <c r="J486" s="7"/>
    </row>
    <row r="487" spans="8:10" x14ac:dyDescent="0.25">
      <c r="H487" s="7"/>
      <c r="I487" s="7"/>
      <c r="J487" s="7"/>
    </row>
    <row r="488" spans="8:10" x14ac:dyDescent="0.25">
      <c r="H488" s="7"/>
      <c r="I488" s="7"/>
      <c r="J488" s="7"/>
    </row>
    <row r="489" spans="8:10" x14ac:dyDescent="0.25">
      <c r="H489" s="7"/>
      <c r="I489" s="7"/>
      <c r="J489" s="7"/>
    </row>
    <row r="490" spans="8:10" x14ac:dyDescent="0.25">
      <c r="H490" s="7"/>
      <c r="I490" s="7"/>
      <c r="J490" s="7"/>
    </row>
    <row r="491" spans="8:10" x14ac:dyDescent="0.25">
      <c r="H491" s="7"/>
      <c r="I491" s="7"/>
      <c r="J491" s="7"/>
    </row>
    <row r="492" spans="8:10" x14ac:dyDescent="0.25">
      <c r="H492" s="7"/>
      <c r="I492" s="7"/>
      <c r="J492" s="7"/>
    </row>
    <row r="493" spans="8:10" x14ac:dyDescent="0.25">
      <c r="H493" s="7"/>
      <c r="I493" s="7"/>
      <c r="J493" s="7"/>
    </row>
    <row r="494" spans="8:10" x14ac:dyDescent="0.25">
      <c r="H494" s="7"/>
      <c r="I494" s="7"/>
      <c r="J494" s="7"/>
    </row>
    <row r="495" spans="8:10" x14ac:dyDescent="0.25">
      <c r="H495" s="7"/>
      <c r="I495" s="7"/>
      <c r="J495" s="7"/>
    </row>
    <row r="496" spans="8:10" x14ac:dyDescent="0.25">
      <c r="H496" s="7"/>
      <c r="I496" s="7"/>
      <c r="J496" s="7"/>
    </row>
    <row r="497" spans="8:10" x14ac:dyDescent="0.25">
      <c r="H497" s="7"/>
      <c r="I497" s="7"/>
      <c r="J497" s="7"/>
    </row>
    <row r="498" spans="8:10" x14ac:dyDescent="0.25">
      <c r="H498" s="7"/>
      <c r="I498" s="7"/>
      <c r="J498" s="7"/>
    </row>
    <row r="499" spans="8:10" x14ac:dyDescent="0.25">
      <c r="H499" s="7"/>
      <c r="I499" s="7"/>
      <c r="J499" s="7"/>
    </row>
    <row r="500" spans="8:10" x14ac:dyDescent="0.25">
      <c r="H500" s="7"/>
      <c r="I500" s="7"/>
      <c r="J500" s="7"/>
    </row>
    <row r="501" spans="8:10" x14ac:dyDescent="0.25">
      <c r="H501" s="7"/>
      <c r="I501" s="7"/>
      <c r="J501" s="7"/>
    </row>
    <row r="502" spans="8:10" x14ac:dyDescent="0.25">
      <c r="H502" s="7"/>
      <c r="I502" s="7"/>
      <c r="J502" s="7"/>
    </row>
    <row r="503" spans="8:10" x14ac:dyDescent="0.25">
      <c r="H503" s="7"/>
      <c r="I503" s="7"/>
      <c r="J503" s="7"/>
    </row>
    <row r="504" spans="8:10" x14ac:dyDescent="0.25">
      <c r="H504" s="7"/>
      <c r="I504" s="7"/>
      <c r="J504" s="7"/>
    </row>
    <row r="505" spans="8:10" x14ac:dyDescent="0.25">
      <c r="H505" s="7"/>
      <c r="I505" s="7"/>
      <c r="J505" s="7"/>
    </row>
    <row r="506" spans="8:10" x14ac:dyDescent="0.25">
      <c r="H506" s="7"/>
      <c r="I506" s="7"/>
      <c r="J506" s="7"/>
    </row>
    <row r="507" spans="8:10" x14ac:dyDescent="0.25">
      <c r="H507" s="7"/>
      <c r="I507" s="7"/>
      <c r="J507" s="7"/>
    </row>
    <row r="508" spans="8:10" x14ac:dyDescent="0.25">
      <c r="H508" s="7"/>
      <c r="I508" s="7"/>
      <c r="J508" s="7"/>
    </row>
    <row r="509" spans="8:10" x14ac:dyDescent="0.25">
      <c r="H509" s="7"/>
      <c r="I509" s="7"/>
      <c r="J509" s="7"/>
    </row>
    <row r="510" spans="8:10" x14ac:dyDescent="0.25">
      <c r="H510" s="7"/>
      <c r="I510" s="7"/>
      <c r="J510" s="7"/>
    </row>
    <row r="511" spans="8:10" x14ac:dyDescent="0.25">
      <c r="H511" s="7"/>
      <c r="I511" s="7"/>
      <c r="J511" s="7"/>
    </row>
    <row r="512" spans="8:10" x14ac:dyDescent="0.25">
      <c r="H512" s="7"/>
      <c r="I512" s="7"/>
      <c r="J512" s="7"/>
    </row>
    <row r="513" spans="8:10" x14ac:dyDescent="0.25">
      <c r="H513" s="7"/>
      <c r="I513" s="7"/>
      <c r="J513" s="7"/>
    </row>
    <row r="514" spans="8:10" x14ac:dyDescent="0.25">
      <c r="H514" s="7"/>
      <c r="I514" s="7"/>
      <c r="J514" s="7"/>
    </row>
    <row r="515" spans="8:10" x14ac:dyDescent="0.25">
      <c r="H515" s="7"/>
      <c r="I515" s="7"/>
      <c r="J515" s="7"/>
    </row>
    <row r="516" spans="8:10" x14ac:dyDescent="0.25">
      <c r="H516" s="7"/>
      <c r="I516" s="7"/>
      <c r="J516" s="7"/>
    </row>
    <row r="517" spans="8:10" x14ac:dyDescent="0.25">
      <c r="H517" s="7"/>
      <c r="I517" s="7"/>
      <c r="J517" s="7"/>
    </row>
    <row r="518" spans="8:10" x14ac:dyDescent="0.25">
      <c r="H518" s="7"/>
      <c r="I518" s="7"/>
      <c r="J518" s="7"/>
    </row>
    <row r="519" spans="8:10" x14ac:dyDescent="0.25">
      <c r="H519" s="7"/>
      <c r="I519" s="7"/>
      <c r="J519" s="7"/>
    </row>
    <row r="520" spans="8:10" x14ac:dyDescent="0.25">
      <c r="H520" s="7"/>
      <c r="I520" s="7"/>
      <c r="J520" s="7"/>
    </row>
    <row r="521" spans="8:10" x14ac:dyDescent="0.25">
      <c r="H521" s="7"/>
      <c r="I521" s="7"/>
      <c r="J521" s="7"/>
    </row>
    <row r="522" spans="8:10" x14ac:dyDescent="0.25">
      <c r="H522" s="7"/>
      <c r="I522" s="7"/>
      <c r="J522" s="7"/>
    </row>
    <row r="523" spans="8:10" x14ac:dyDescent="0.25">
      <c r="H523" s="7"/>
      <c r="I523" s="7"/>
      <c r="J523" s="7"/>
    </row>
    <row r="524" spans="8:10" x14ac:dyDescent="0.25">
      <c r="H524" s="7"/>
      <c r="I524" s="7"/>
      <c r="J524" s="7"/>
    </row>
    <row r="525" spans="8:10" x14ac:dyDescent="0.25">
      <c r="H525" s="7"/>
      <c r="I525" s="7"/>
      <c r="J525" s="7"/>
    </row>
    <row r="526" spans="8:10" x14ac:dyDescent="0.25">
      <c r="H526" s="7"/>
      <c r="I526" s="7"/>
      <c r="J526" s="7"/>
    </row>
    <row r="527" spans="8:10" x14ac:dyDescent="0.25">
      <c r="H527" s="7"/>
      <c r="I527" s="7"/>
      <c r="J527" s="7"/>
    </row>
    <row r="528" spans="8:10" x14ac:dyDescent="0.25">
      <c r="H528" s="7"/>
      <c r="I528" s="7"/>
      <c r="J528" s="7"/>
    </row>
    <row r="529" spans="8:10" x14ac:dyDescent="0.25">
      <c r="H529" s="7"/>
      <c r="I529" s="7"/>
      <c r="J529" s="7"/>
    </row>
    <row r="530" spans="8:10" x14ac:dyDescent="0.25">
      <c r="H530" s="7"/>
      <c r="I530" s="7"/>
      <c r="J530" s="7"/>
    </row>
    <row r="531" spans="8:10" x14ac:dyDescent="0.25">
      <c r="H531" s="7"/>
      <c r="I531" s="7"/>
      <c r="J531" s="7"/>
    </row>
    <row r="532" spans="8:10" x14ac:dyDescent="0.25">
      <c r="H532" s="7"/>
      <c r="I532" s="7"/>
      <c r="J532" s="7"/>
    </row>
    <row r="533" spans="8:10" x14ac:dyDescent="0.25">
      <c r="H533" s="7"/>
      <c r="I533" s="7"/>
      <c r="J533" s="7"/>
    </row>
    <row r="534" spans="8:10" x14ac:dyDescent="0.25">
      <c r="H534" s="7"/>
      <c r="I534" s="7"/>
      <c r="J534" s="7"/>
    </row>
    <row r="535" spans="8:10" x14ac:dyDescent="0.25">
      <c r="H535" s="7"/>
      <c r="I535" s="7"/>
      <c r="J535" s="7"/>
    </row>
    <row r="536" spans="8:10" x14ac:dyDescent="0.25">
      <c r="H536" s="7"/>
      <c r="I536" s="7"/>
      <c r="J536" s="7"/>
    </row>
    <row r="537" spans="8:10" x14ac:dyDescent="0.25">
      <c r="H537" s="7"/>
      <c r="I537" s="7"/>
      <c r="J537" s="7"/>
    </row>
    <row r="538" spans="8:10" x14ac:dyDescent="0.25">
      <c r="H538" s="7"/>
      <c r="I538" s="7"/>
      <c r="J538" s="7"/>
    </row>
    <row r="539" spans="8:10" x14ac:dyDescent="0.25">
      <c r="H539" s="7"/>
      <c r="I539" s="7"/>
      <c r="J539" s="7"/>
    </row>
    <row r="540" spans="8:10" x14ac:dyDescent="0.25">
      <c r="H540" s="7"/>
      <c r="I540" s="7"/>
      <c r="J540" s="7"/>
    </row>
    <row r="541" spans="8:10" x14ac:dyDescent="0.25">
      <c r="H541" s="7"/>
      <c r="I541" s="7"/>
      <c r="J541" s="7"/>
    </row>
    <row r="542" spans="8:10" x14ac:dyDescent="0.25">
      <c r="H542" s="7"/>
      <c r="I542" s="7"/>
      <c r="J542" s="7"/>
    </row>
    <row r="543" spans="8:10" x14ac:dyDescent="0.25">
      <c r="H543" s="7"/>
      <c r="I543" s="7"/>
      <c r="J543" s="7"/>
    </row>
    <row r="544" spans="8:10" x14ac:dyDescent="0.25">
      <c r="H544" s="7"/>
      <c r="I544" s="7"/>
      <c r="J544" s="7"/>
    </row>
    <row r="545" spans="8:10" x14ac:dyDescent="0.25">
      <c r="H545" s="7"/>
      <c r="I545" s="7"/>
      <c r="J545" s="7"/>
    </row>
    <row r="546" spans="8:10" x14ac:dyDescent="0.25">
      <c r="H546" s="7"/>
      <c r="I546" s="7"/>
      <c r="J546" s="7"/>
    </row>
    <row r="547" spans="8:10" x14ac:dyDescent="0.25">
      <c r="H547" s="7"/>
      <c r="I547" s="7"/>
      <c r="J547" s="7"/>
    </row>
    <row r="548" spans="8:10" x14ac:dyDescent="0.25">
      <c r="H548" s="7"/>
      <c r="I548" s="7"/>
      <c r="J548" s="7"/>
    </row>
    <row r="549" spans="8:10" x14ac:dyDescent="0.25">
      <c r="H549" s="7"/>
      <c r="I549" s="7"/>
      <c r="J549" s="7"/>
    </row>
    <row r="550" spans="8:10" x14ac:dyDescent="0.25">
      <c r="H550" s="7"/>
      <c r="I550" s="7"/>
      <c r="J550" s="7"/>
    </row>
    <row r="551" spans="8:10" x14ac:dyDescent="0.25">
      <c r="H551" s="7"/>
      <c r="I551" s="7"/>
      <c r="J551" s="7"/>
    </row>
    <row r="552" spans="8:10" x14ac:dyDescent="0.25">
      <c r="H552" s="7"/>
      <c r="I552" s="7"/>
      <c r="J552" s="7"/>
    </row>
    <row r="553" spans="8:10" x14ac:dyDescent="0.25">
      <c r="H553" s="7"/>
      <c r="I553" s="7"/>
      <c r="J553" s="7"/>
    </row>
    <row r="554" spans="8:10" x14ac:dyDescent="0.25">
      <c r="H554" s="7"/>
      <c r="I554" s="7"/>
      <c r="J554" s="7"/>
    </row>
    <row r="555" spans="8:10" x14ac:dyDescent="0.25">
      <c r="H555" s="7"/>
      <c r="I555" s="7"/>
      <c r="J555" s="7"/>
    </row>
    <row r="556" spans="8:10" x14ac:dyDescent="0.25">
      <c r="H556" s="7"/>
      <c r="I556" s="7"/>
      <c r="J556" s="7"/>
    </row>
    <row r="557" spans="8:10" x14ac:dyDescent="0.25">
      <c r="H557" s="7"/>
      <c r="I557" s="7"/>
      <c r="J557" s="7"/>
    </row>
    <row r="558" spans="8:10" x14ac:dyDescent="0.25">
      <c r="H558" s="7"/>
      <c r="I558" s="7"/>
      <c r="J558" s="7"/>
    </row>
    <row r="559" spans="8:10" x14ac:dyDescent="0.25">
      <c r="H559" s="7"/>
      <c r="I559" s="7"/>
      <c r="J559" s="7"/>
    </row>
    <row r="560" spans="8:10" x14ac:dyDescent="0.25">
      <c r="H560" s="7"/>
      <c r="I560" s="7"/>
      <c r="J560" s="7"/>
    </row>
    <row r="561" spans="8:10" x14ac:dyDescent="0.25">
      <c r="H561" s="7"/>
      <c r="I561" s="7"/>
      <c r="J561" s="7"/>
    </row>
    <row r="562" spans="8:10" x14ac:dyDescent="0.25">
      <c r="H562" s="7"/>
      <c r="I562" s="7"/>
      <c r="J562" s="7"/>
    </row>
    <row r="563" spans="8:10" x14ac:dyDescent="0.25">
      <c r="H563" s="7"/>
      <c r="I563" s="7"/>
      <c r="J563" s="7"/>
    </row>
    <row r="564" spans="8:10" x14ac:dyDescent="0.25">
      <c r="H564" s="7"/>
      <c r="I564" s="7"/>
      <c r="J564" s="7"/>
    </row>
    <row r="565" spans="8:10" x14ac:dyDescent="0.25">
      <c r="H565" s="7"/>
      <c r="I565" s="7"/>
      <c r="J565" s="7"/>
    </row>
    <row r="566" spans="8:10" x14ac:dyDescent="0.25">
      <c r="H566" s="7"/>
      <c r="I566" s="7"/>
      <c r="J566" s="7"/>
    </row>
    <row r="567" spans="8:10" x14ac:dyDescent="0.25">
      <c r="H567" s="7"/>
      <c r="I567" s="7"/>
      <c r="J567" s="7"/>
    </row>
    <row r="568" spans="8:10" x14ac:dyDescent="0.25">
      <c r="H568" s="7"/>
      <c r="I568" s="7"/>
      <c r="J568" s="7"/>
    </row>
    <row r="569" spans="8:10" x14ac:dyDescent="0.25">
      <c r="H569" s="7"/>
      <c r="I569" s="7"/>
      <c r="J569" s="7"/>
    </row>
    <row r="570" spans="8:10" x14ac:dyDescent="0.25">
      <c r="H570" s="7"/>
      <c r="I570" s="7"/>
      <c r="J570" s="7"/>
    </row>
    <row r="571" spans="8:10" x14ac:dyDescent="0.25">
      <c r="H571" s="7"/>
      <c r="I571" s="7"/>
      <c r="J571" s="7"/>
    </row>
    <row r="572" spans="8:10" x14ac:dyDescent="0.25">
      <c r="H572" s="7"/>
      <c r="I572" s="7"/>
      <c r="J572" s="7"/>
    </row>
    <row r="573" spans="8:10" x14ac:dyDescent="0.25">
      <c r="H573" s="7"/>
      <c r="I573" s="7"/>
      <c r="J573" s="7"/>
    </row>
    <row r="574" spans="8:10" x14ac:dyDescent="0.25">
      <c r="H574" s="7"/>
      <c r="I574" s="7"/>
      <c r="J574" s="7"/>
    </row>
    <row r="575" spans="8:10" x14ac:dyDescent="0.25">
      <c r="H575" s="7"/>
      <c r="I575" s="7"/>
      <c r="J575" s="7"/>
    </row>
    <row r="576" spans="8:10" x14ac:dyDescent="0.25">
      <c r="H576" s="7"/>
      <c r="I576" s="7"/>
      <c r="J576" s="7"/>
    </row>
    <row r="577" spans="8:10" x14ac:dyDescent="0.25">
      <c r="H577" s="7"/>
      <c r="I577" s="7"/>
      <c r="J577" s="7"/>
    </row>
    <row r="578" spans="8:10" x14ac:dyDescent="0.25">
      <c r="H578" s="7"/>
      <c r="I578" s="7"/>
      <c r="J578" s="7"/>
    </row>
    <row r="579" spans="8:10" x14ac:dyDescent="0.25">
      <c r="H579" s="7"/>
      <c r="I579" s="7"/>
      <c r="J579" s="7"/>
    </row>
    <row r="580" spans="8:10" x14ac:dyDescent="0.25">
      <c r="H580" s="7"/>
      <c r="I580" s="7"/>
      <c r="J580" s="7"/>
    </row>
    <row r="581" spans="8:10" x14ac:dyDescent="0.25">
      <c r="H581" s="7"/>
      <c r="I581" s="7"/>
      <c r="J581" s="7"/>
    </row>
    <row r="582" spans="8:10" x14ac:dyDescent="0.25">
      <c r="H582" s="7"/>
      <c r="I582" s="7"/>
      <c r="J582" s="7"/>
    </row>
    <row r="583" spans="8:10" x14ac:dyDescent="0.25">
      <c r="H583" s="7"/>
      <c r="I583" s="7"/>
      <c r="J583" s="7"/>
    </row>
    <row r="584" spans="8:10" x14ac:dyDescent="0.25">
      <c r="H584" s="7"/>
      <c r="I584" s="7"/>
      <c r="J584" s="7"/>
    </row>
    <row r="585" spans="8:10" x14ac:dyDescent="0.25">
      <c r="H585" s="7"/>
      <c r="I585" s="7"/>
      <c r="J585" s="7"/>
    </row>
    <row r="586" spans="8:10" x14ac:dyDescent="0.25">
      <c r="H586" s="7"/>
      <c r="I586" s="7"/>
      <c r="J586" s="7"/>
    </row>
    <row r="587" spans="8:10" x14ac:dyDescent="0.25">
      <c r="H587" s="7"/>
      <c r="I587" s="7"/>
      <c r="J587" s="7"/>
    </row>
    <row r="588" spans="8:10" x14ac:dyDescent="0.25">
      <c r="H588" s="7"/>
      <c r="I588" s="7"/>
      <c r="J588" s="7"/>
    </row>
    <row r="589" spans="8:10" x14ac:dyDescent="0.25">
      <c r="H589" s="7"/>
      <c r="I589" s="7"/>
      <c r="J589" s="7"/>
    </row>
    <row r="590" spans="8:10" x14ac:dyDescent="0.25">
      <c r="H590" s="7"/>
      <c r="I590" s="7"/>
      <c r="J590" s="7"/>
    </row>
    <row r="591" spans="8:10" x14ac:dyDescent="0.25">
      <c r="H591" s="7"/>
      <c r="I591" s="7"/>
      <c r="J591" s="7"/>
    </row>
    <row r="592" spans="8:10" x14ac:dyDescent="0.25">
      <c r="H592" s="7"/>
      <c r="I592" s="7"/>
      <c r="J592" s="7"/>
    </row>
    <row r="593" spans="8:10" x14ac:dyDescent="0.25">
      <c r="H593" s="7"/>
      <c r="I593" s="7"/>
      <c r="J593" s="7"/>
    </row>
    <row r="594" spans="8:10" x14ac:dyDescent="0.25">
      <c r="H594" s="7"/>
      <c r="I594" s="7"/>
      <c r="J594" s="7"/>
    </row>
    <row r="595" spans="8:10" x14ac:dyDescent="0.25">
      <c r="H595" s="7"/>
      <c r="I595" s="7"/>
      <c r="J595" s="7"/>
    </row>
    <row r="596" spans="8:10" x14ac:dyDescent="0.25">
      <c r="H596" s="7"/>
      <c r="I596" s="7"/>
      <c r="J596" s="7"/>
    </row>
    <row r="597" spans="8:10" x14ac:dyDescent="0.25">
      <c r="H597" s="7"/>
      <c r="I597" s="7"/>
      <c r="J597" s="7"/>
    </row>
    <row r="598" spans="8:10" x14ac:dyDescent="0.25">
      <c r="H598" s="7"/>
      <c r="I598" s="7"/>
      <c r="J598" s="7"/>
    </row>
    <row r="599" spans="8:10" x14ac:dyDescent="0.25">
      <c r="H599" s="7"/>
      <c r="I599" s="7"/>
      <c r="J599" s="7"/>
    </row>
    <row r="600" spans="8:10" x14ac:dyDescent="0.25">
      <c r="H600" s="7"/>
      <c r="I600" s="7"/>
      <c r="J600" s="7"/>
    </row>
    <row r="601" spans="8:10" x14ac:dyDescent="0.25">
      <c r="H601" s="7"/>
      <c r="I601" s="7"/>
      <c r="J601" s="7"/>
    </row>
    <row r="602" spans="8:10" x14ac:dyDescent="0.25">
      <c r="H602" s="7"/>
      <c r="I602" s="7"/>
      <c r="J602" s="7"/>
    </row>
    <row r="603" spans="8:10" x14ac:dyDescent="0.25">
      <c r="H603" s="7"/>
      <c r="I603" s="7"/>
      <c r="J603" s="7"/>
    </row>
    <row r="604" spans="8:10" x14ac:dyDescent="0.25">
      <c r="H604" s="7"/>
      <c r="I604" s="7"/>
      <c r="J604" s="7"/>
    </row>
    <row r="605" spans="8:10" x14ac:dyDescent="0.25">
      <c r="H605" s="7"/>
      <c r="I605" s="7"/>
      <c r="J605" s="7"/>
    </row>
    <row r="606" spans="8:10" x14ac:dyDescent="0.25">
      <c r="H606" s="7"/>
      <c r="I606" s="7"/>
      <c r="J606" s="7"/>
    </row>
    <row r="607" spans="8:10" x14ac:dyDescent="0.25">
      <c r="H607" s="7"/>
      <c r="I607" s="7"/>
      <c r="J607" s="7"/>
    </row>
    <row r="608" spans="8:10" x14ac:dyDescent="0.25">
      <c r="H608" s="7"/>
      <c r="I608" s="7"/>
      <c r="J608" s="7"/>
    </row>
    <row r="609" spans="8:10" x14ac:dyDescent="0.25">
      <c r="H609" s="7"/>
      <c r="I609" s="7"/>
      <c r="J609" s="7"/>
    </row>
    <row r="610" spans="8:10" x14ac:dyDescent="0.25">
      <c r="H610" s="7"/>
      <c r="I610" s="7"/>
      <c r="J610" s="7"/>
    </row>
    <row r="611" spans="8:10" x14ac:dyDescent="0.25">
      <c r="H611" s="7"/>
      <c r="I611" s="7"/>
      <c r="J611" s="7"/>
    </row>
    <row r="612" spans="8:10" x14ac:dyDescent="0.25">
      <c r="H612" s="7"/>
      <c r="I612" s="7"/>
      <c r="J612" s="7"/>
    </row>
    <row r="613" spans="8:10" x14ac:dyDescent="0.25">
      <c r="H613" s="7"/>
      <c r="I613" s="7"/>
      <c r="J613" s="7"/>
    </row>
    <row r="614" spans="8:10" x14ac:dyDescent="0.25">
      <c r="H614" s="7"/>
      <c r="I614" s="7"/>
      <c r="J614" s="7"/>
    </row>
    <row r="615" spans="8:10" x14ac:dyDescent="0.25">
      <c r="H615" s="7"/>
      <c r="I615" s="7"/>
      <c r="J615" s="7"/>
    </row>
    <row r="616" spans="8:10" x14ac:dyDescent="0.25">
      <c r="H616" s="7"/>
      <c r="I616" s="7"/>
      <c r="J616" s="7"/>
    </row>
    <row r="617" spans="8:10" x14ac:dyDescent="0.25">
      <c r="H617" s="7"/>
      <c r="I617" s="7"/>
      <c r="J617" s="7"/>
    </row>
    <row r="618" spans="8:10" x14ac:dyDescent="0.25">
      <c r="H618" s="7"/>
      <c r="I618" s="7"/>
      <c r="J618" s="7"/>
    </row>
    <row r="619" spans="8:10" x14ac:dyDescent="0.25">
      <c r="H619" s="7"/>
      <c r="I619" s="7"/>
      <c r="J619" s="7"/>
    </row>
    <row r="620" spans="8:10" x14ac:dyDescent="0.25">
      <c r="H620" s="7"/>
      <c r="I620" s="7"/>
      <c r="J620" s="7"/>
    </row>
    <row r="621" spans="8:10" x14ac:dyDescent="0.25">
      <c r="H621" s="7"/>
      <c r="I621" s="7"/>
      <c r="J621" s="7"/>
    </row>
    <row r="622" spans="8:10" x14ac:dyDescent="0.25">
      <c r="H622" s="7"/>
      <c r="I622" s="7"/>
      <c r="J622" s="7"/>
    </row>
    <row r="623" spans="8:10" x14ac:dyDescent="0.25">
      <c r="H623" s="7"/>
      <c r="I623" s="7"/>
      <c r="J623" s="7"/>
    </row>
    <row r="624" spans="8:10" x14ac:dyDescent="0.25">
      <c r="H624" s="7"/>
      <c r="I624" s="7"/>
      <c r="J624" s="7"/>
    </row>
    <row r="625" spans="8:10" x14ac:dyDescent="0.25">
      <c r="H625" s="7"/>
      <c r="I625" s="7"/>
      <c r="J625" s="7"/>
    </row>
    <row r="626" spans="8:10" x14ac:dyDescent="0.25">
      <c r="H626" s="7"/>
      <c r="I626" s="7"/>
      <c r="J626" s="7"/>
    </row>
    <row r="627" spans="8:10" x14ac:dyDescent="0.25">
      <c r="H627" s="7"/>
      <c r="I627" s="7"/>
      <c r="J627" s="7"/>
    </row>
    <row r="628" spans="8:10" x14ac:dyDescent="0.25">
      <c r="H628" s="7"/>
      <c r="I628" s="7"/>
      <c r="J628" s="7"/>
    </row>
    <row r="629" spans="8:10" x14ac:dyDescent="0.25">
      <c r="H629" s="7"/>
      <c r="I629" s="7"/>
      <c r="J629" s="7"/>
    </row>
    <row r="630" spans="8:10" x14ac:dyDescent="0.25">
      <c r="H630" s="7"/>
      <c r="I630" s="7"/>
      <c r="J630" s="7"/>
    </row>
    <row r="631" spans="8:10" x14ac:dyDescent="0.25">
      <c r="H631" s="7"/>
      <c r="I631" s="7"/>
      <c r="J631" s="7"/>
    </row>
    <row r="632" spans="8:10" x14ac:dyDescent="0.25">
      <c r="H632" s="7"/>
      <c r="I632" s="7"/>
      <c r="J632" s="7"/>
    </row>
    <row r="633" spans="8:10" x14ac:dyDescent="0.25">
      <c r="H633" s="7"/>
      <c r="I633" s="7"/>
      <c r="J633" s="7"/>
    </row>
    <row r="634" spans="8:10" x14ac:dyDescent="0.25">
      <c r="H634" s="7"/>
      <c r="I634" s="7"/>
      <c r="J634" s="7"/>
    </row>
    <row r="635" spans="8:10" x14ac:dyDescent="0.25">
      <c r="H635" s="7"/>
      <c r="I635" s="7"/>
      <c r="J635" s="7"/>
    </row>
    <row r="636" spans="8:10" x14ac:dyDescent="0.25">
      <c r="H636" s="7"/>
      <c r="I636" s="7"/>
      <c r="J636" s="7"/>
    </row>
    <row r="637" spans="8:10" x14ac:dyDescent="0.25">
      <c r="H637" s="7"/>
      <c r="I637" s="7"/>
      <c r="J637" s="7"/>
    </row>
    <row r="638" spans="8:10" x14ac:dyDescent="0.25">
      <c r="H638" s="7"/>
      <c r="I638" s="7"/>
      <c r="J638" s="7"/>
    </row>
    <row r="639" spans="8:10" x14ac:dyDescent="0.25">
      <c r="H639" s="7"/>
      <c r="I639" s="7"/>
      <c r="J639" s="7"/>
    </row>
    <row r="640" spans="8:10" x14ac:dyDescent="0.25">
      <c r="H640" s="7"/>
      <c r="I640" s="7"/>
      <c r="J640" s="7"/>
    </row>
    <row r="641" spans="8:10" x14ac:dyDescent="0.25">
      <c r="H641" s="7"/>
      <c r="I641" s="7"/>
      <c r="J641" s="7"/>
    </row>
    <row r="642" spans="8:10" x14ac:dyDescent="0.25">
      <c r="H642" s="7"/>
      <c r="I642" s="7"/>
      <c r="J642" s="7"/>
    </row>
    <row r="643" spans="8:10" x14ac:dyDescent="0.25">
      <c r="H643" s="7"/>
      <c r="I643" s="7"/>
      <c r="J643" s="7"/>
    </row>
    <row r="644" spans="8:10" x14ac:dyDescent="0.25">
      <c r="H644" s="7"/>
      <c r="I644" s="7"/>
      <c r="J644" s="7"/>
    </row>
    <row r="645" spans="8:10" x14ac:dyDescent="0.25">
      <c r="H645" s="7"/>
      <c r="I645" s="7"/>
      <c r="J645" s="7"/>
    </row>
    <row r="646" spans="8:10" x14ac:dyDescent="0.25">
      <c r="H646" s="7"/>
      <c r="I646" s="7"/>
      <c r="J646" s="7"/>
    </row>
    <row r="647" spans="8:10" x14ac:dyDescent="0.25">
      <c r="H647" s="7"/>
      <c r="I647" s="7"/>
      <c r="J647" s="7"/>
    </row>
    <row r="648" spans="8:10" x14ac:dyDescent="0.25">
      <c r="H648" s="7"/>
      <c r="I648" s="7"/>
      <c r="J648" s="7"/>
    </row>
    <row r="649" spans="8:10" x14ac:dyDescent="0.25">
      <c r="H649" s="7"/>
      <c r="I649" s="7"/>
      <c r="J649" s="7"/>
    </row>
    <row r="650" spans="8:10" x14ac:dyDescent="0.25">
      <c r="H650" s="7"/>
      <c r="I650" s="7"/>
      <c r="J650" s="7"/>
    </row>
    <row r="651" spans="8:10" x14ac:dyDescent="0.25">
      <c r="H651" s="7"/>
      <c r="I651" s="7"/>
      <c r="J651" s="7"/>
    </row>
    <row r="652" spans="8:10" x14ac:dyDescent="0.25">
      <c r="H652" s="7"/>
      <c r="I652" s="7"/>
      <c r="J652" s="7"/>
    </row>
    <row r="653" spans="8:10" x14ac:dyDescent="0.25">
      <c r="H653" s="7"/>
      <c r="I653" s="7"/>
      <c r="J653" s="7"/>
    </row>
    <row r="654" spans="8:10" x14ac:dyDescent="0.25">
      <c r="H654" s="7"/>
      <c r="I654" s="7"/>
      <c r="J654" s="7"/>
    </row>
    <row r="655" spans="8:10" x14ac:dyDescent="0.25">
      <c r="H655" s="7"/>
      <c r="I655" s="7"/>
      <c r="J655" s="7"/>
    </row>
    <row r="656" spans="8:10" x14ac:dyDescent="0.25">
      <c r="H656" s="7"/>
      <c r="I656" s="7"/>
      <c r="J656" s="7"/>
    </row>
    <row r="657" spans="8:10" x14ac:dyDescent="0.25">
      <c r="H657" s="7"/>
      <c r="I657" s="7"/>
      <c r="J657" s="7"/>
    </row>
    <row r="658" spans="8:10" x14ac:dyDescent="0.25">
      <c r="H658" s="7"/>
      <c r="I658" s="7"/>
      <c r="J658" s="7"/>
    </row>
    <row r="659" spans="8:10" x14ac:dyDescent="0.25">
      <c r="H659" s="7"/>
      <c r="I659" s="7"/>
      <c r="J659" s="7"/>
    </row>
    <row r="660" spans="8:10" x14ac:dyDescent="0.25">
      <c r="H660" s="7"/>
      <c r="I660" s="7"/>
      <c r="J660" s="7"/>
    </row>
    <row r="661" spans="8:10" x14ac:dyDescent="0.25">
      <c r="H661" s="7"/>
      <c r="I661" s="7"/>
      <c r="J661" s="7"/>
    </row>
    <row r="662" spans="8:10" x14ac:dyDescent="0.25">
      <c r="H662" s="7"/>
      <c r="I662" s="7"/>
      <c r="J662" s="7"/>
    </row>
    <row r="663" spans="8:10" x14ac:dyDescent="0.25">
      <c r="H663" s="7"/>
      <c r="I663" s="7"/>
      <c r="J663" s="7"/>
    </row>
    <row r="664" spans="8:10" x14ac:dyDescent="0.25">
      <c r="H664" s="7"/>
      <c r="I664" s="7"/>
      <c r="J664" s="7"/>
    </row>
    <row r="665" spans="8:10" x14ac:dyDescent="0.25">
      <c r="H665" s="7"/>
      <c r="I665" s="7"/>
      <c r="J665" s="7"/>
    </row>
    <row r="666" spans="8:10" x14ac:dyDescent="0.25">
      <c r="H666" s="7"/>
      <c r="I666" s="7"/>
      <c r="J666" s="7"/>
    </row>
    <row r="667" spans="8:10" x14ac:dyDescent="0.25">
      <c r="H667" s="7"/>
      <c r="I667" s="7"/>
      <c r="J667" s="7"/>
    </row>
    <row r="668" spans="8:10" x14ac:dyDescent="0.25">
      <c r="H668" s="7"/>
      <c r="I668" s="7"/>
      <c r="J668" s="7"/>
    </row>
    <row r="669" spans="8:10" x14ac:dyDescent="0.25">
      <c r="H669" s="7"/>
      <c r="I669" s="7"/>
      <c r="J669" s="7"/>
    </row>
    <row r="670" spans="8:10" x14ac:dyDescent="0.25">
      <c r="H670" s="7"/>
      <c r="I670" s="7"/>
      <c r="J670" s="7"/>
    </row>
    <row r="671" spans="8:10" x14ac:dyDescent="0.25">
      <c r="H671" s="7"/>
      <c r="I671" s="7"/>
      <c r="J671" s="7"/>
    </row>
    <row r="672" spans="8:10" x14ac:dyDescent="0.25">
      <c r="H672" s="7"/>
      <c r="I672" s="7"/>
      <c r="J672" s="7"/>
    </row>
    <row r="673" spans="8:10" x14ac:dyDescent="0.25">
      <c r="H673" s="7"/>
      <c r="I673" s="7"/>
      <c r="J673" s="7"/>
    </row>
    <row r="674" spans="8:10" x14ac:dyDescent="0.25">
      <c r="H674" s="7"/>
      <c r="I674" s="7"/>
      <c r="J674" s="7"/>
    </row>
    <row r="675" spans="8:10" x14ac:dyDescent="0.25">
      <c r="H675" s="7"/>
      <c r="I675" s="7"/>
      <c r="J675" s="7"/>
    </row>
    <row r="676" spans="8:10" x14ac:dyDescent="0.25">
      <c r="H676" s="7"/>
      <c r="I676" s="7"/>
      <c r="J676" s="7"/>
    </row>
    <row r="677" spans="8:10" x14ac:dyDescent="0.25">
      <c r="H677" s="7"/>
      <c r="I677" s="7"/>
      <c r="J677" s="7"/>
    </row>
    <row r="678" spans="8:10" x14ac:dyDescent="0.25">
      <c r="H678" s="7"/>
      <c r="I678" s="7"/>
      <c r="J678" s="7"/>
    </row>
    <row r="679" spans="8:10" x14ac:dyDescent="0.25">
      <c r="H679" s="7"/>
      <c r="I679" s="7"/>
      <c r="J679" s="7"/>
    </row>
    <row r="680" spans="8:10" x14ac:dyDescent="0.25">
      <c r="H680" s="7"/>
      <c r="I680" s="7"/>
      <c r="J680" s="7"/>
    </row>
    <row r="681" spans="8:10" x14ac:dyDescent="0.25">
      <c r="H681" s="7"/>
      <c r="I681" s="7"/>
      <c r="J681" s="7"/>
    </row>
    <row r="682" spans="8:10" x14ac:dyDescent="0.25">
      <c r="H682" s="7"/>
      <c r="I682" s="7"/>
      <c r="J682" s="7"/>
    </row>
    <row r="683" spans="8:10" x14ac:dyDescent="0.25">
      <c r="H683" s="7"/>
      <c r="I683" s="7"/>
      <c r="J683" s="7"/>
    </row>
    <row r="684" spans="8:10" x14ac:dyDescent="0.25">
      <c r="H684" s="7"/>
      <c r="I684" s="7"/>
      <c r="J684" s="7"/>
    </row>
    <row r="685" spans="8:10" x14ac:dyDescent="0.25">
      <c r="H685" s="7"/>
      <c r="I685" s="7"/>
      <c r="J685" s="7"/>
    </row>
    <row r="686" spans="8:10" x14ac:dyDescent="0.25">
      <c r="H686" s="7"/>
      <c r="I686" s="7"/>
      <c r="J686" s="7"/>
    </row>
    <row r="687" spans="8:10" x14ac:dyDescent="0.25">
      <c r="H687" s="7"/>
      <c r="I687" s="7"/>
      <c r="J687" s="7"/>
    </row>
    <row r="688" spans="8:10" x14ac:dyDescent="0.25">
      <c r="H688" s="7"/>
      <c r="I688" s="7"/>
      <c r="J688" s="7"/>
    </row>
    <row r="689" spans="8:10" x14ac:dyDescent="0.25">
      <c r="H689" s="7"/>
      <c r="I689" s="7"/>
      <c r="J689" s="7"/>
    </row>
    <row r="690" spans="8:10" x14ac:dyDescent="0.25">
      <c r="H690" s="7"/>
      <c r="I690" s="7"/>
      <c r="J690" s="7"/>
    </row>
    <row r="691" spans="8:10" x14ac:dyDescent="0.25">
      <c r="H691" s="7"/>
      <c r="I691" s="7"/>
      <c r="J691" s="7"/>
    </row>
    <row r="692" spans="8:10" x14ac:dyDescent="0.25">
      <c r="H692" s="7"/>
      <c r="I692" s="7"/>
      <c r="J692" s="7"/>
    </row>
    <row r="693" spans="8:10" x14ac:dyDescent="0.25">
      <c r="H693" s="7"/>
      <c r="I693" s="7"/>
      <c r="J693" s="7"/>
    </row>
    <row r="694" spans="8:10" x14ac:dyDescent="0.25">
      <c r="H694" s="7"/>
      <c r="I694" s="7"/>
      <c r="J694" s="7"/>
    </row>
    <row r="695" spans="8:10" x14ac:dyDescent="0.25">
      <c r="H695" s="7"/>
      <c r="I695" s="7"/>
      <c r="J695" s="7"/>
    </row>
    <row r="696" spans="8:10" x14ac:dyDescent="0.25">
      <c r="H696" s="7"/>
      <c r="I696" s="7"/>
      <c r="J696" s="7"/>
    </row>
    <row r="697" spans="8:10" x14ac:dyDescent="0.25">
      <c r="H697" s="7"/>
      <c r="I697" s="7"/>
      <c r="J697" s="7"/>
    </row>
    <row r="698" spans="8:10" x14ac:dyDescent="0.25">
      <c r="H698" s="7"/>
      <c r="I698" s="7"/>
      <c r="J698" s="7"/>
    </row>
    <row r="699" spans="8:10" x14ac:dyDescent="0.25">
      <c r="H699" s="7"/>
      <c r="I699" s="7"/>
      <c r="J699" s="7"/>
    </row>
    <row r="700" spans="8:10" x14ac:dyDescent="0.25">
      <c r="H700" s="7"/>
      <c r="I700" s="7"/>
      <c r="J700" s="7"/>
    </row>
    <row r="701" spans="8:10" x14ac:dyDescent="0.25">
      <c r="H701" s="7"/>
      <c r="I701" s="7"/>
      <c r="J701" s="7"/>
    </row>
    <row r="702" spans="8:10" x14ac:dyDescent="0.25">
      <c r="H702" s="7"/>
      <c r="I702" s="7"/>
      <c r="J702" s="7"/>
    </row>
    <row r="703" spans="8:10" x14ac:dyDescent="0.25">
      <c r="H703" s="7"/>
      <c r="I703" s="7"/>
      <c r="J703" s="7"/>
    </row>
    <row r="704" spans="8:10" x14ac:dyDescent="0.25">
      <c r="H704" s="7"/>
      <c r="I704" s="7"/>
      <c r="J704" s="7"/>
    </row>
    <row r="705" spans="8:10" x14ac:dyDescent="0.25">
      <c r="H705" s="7"/>
      <c r="I705" s="7"/>
      <c r="J705" s="7"/>
    </row>
    <row r="706" spans="8:10" x14ac:dyDescent="0.25">
      <c r="H706" s="7"/>
      <c r="I706" s="7"/>
      <c r="J706" s="7"/>
    </row>
    <row r="707" spans="8:10" x14ac:dyDescent="0.25">
      <c r="H707" s="7"/>
      <c r="I707" s="7"/>
      <c r="J707" s="7"/>
    </row>
    <row r="708" spans="8:10" x14ac:dyDescent="0.25">
      <c r="H708" s="7"/>
      <c r="I708" s="7"/>
      <c r="J708" s="7"/>
    </row>
    <row r="709" spans="8:10" x14ac:dyDescent="0.25">
      <c r="H709" s="7"/>
      <c r="I709" s="7"/>
      <c r="J709" s="7"/>
    </row>
    <row r="710" spans="8:10" x14ac:dyDescent="0.25">
      <c r="H710" s="7"/>
      <c r="I710" s="7"/>
      <c r="J710" s="7"/>
    </row>
    <row r="711" spans="8:10" x14ac:dyDescent="0.25">
      <c r="H711" s="7"/>
      <c r="I711" s="7"/>
      <c r="J711" s="7"/>
    </row>
    <row r="712" spans="8:10" x14ac:dyDescent="0.25">
      <c r="H712" s="7"/>
      <c r="I712" s="7"/>
      <c r="J712" s="7"/>
    </row>
    <row r="713" spans="8:10" x14ac:dyDescent="0.25">
      <c r="H713" s="7"/>
      <c r="I713" s="7"/>
      <c r="J713" s="7"/>
    </row>
    <row r="714" spans="8:10" x14ac:dyDescent="0.25">
      <c r="H714" s="7"/>
      <c r="I714" s="7"/>
      <c r="J714" s="7"/>
    </row>
    <row r="715" spans="8:10" x14ac:dyDescent="0.25">
      <c r="H715" s="7"/>
      <c r="I715" s="7"/>
      <c r="J715" s="7"/>
    </row>
    <row r="716" spans="8:10" x14ac:dyDescent="0.25">
      <c r="H716" s="7"/>
      <c r="I716" s="7"/>
      <c r="J716" s="7"/>
    </row>
    <row r="717" spans="8:10" x14ac:dyDescent="0.25">
      <c r="H717" s="7"/>
      <c r="I717" s="7"/>
      <c r="J717" s="7"/>
    </row>
    <row r="718" spans="8:10" x14ac:dyDescent="0.25">
      <c r="H718" s="7"/>
      <c r="I718" s="7"/>
      <c r="J718" s="7"/>
    </row>
    <row r="719" spans="8:10" x14ac:dyDescent="0.25">
      <c r="H719" s="7"/>
      <c r="I719" s="7"/>
      <c r="J719" s="7"/>
    </row>
    <row r="720" spans="8:10" x14ac:dyDescent="0.25">
      <c r="H720" s="7"/>
      <c r="I720" s="7"/>
      <c r="J720" s="7"/>
    </row>
    <row r="721" spans="8:10" x14ac:dyDescent="0.25">
      <c r="H721" s="7"/>
      <c r="I721" s="7"/>
      <c r="J721" s="7"/>
    </row>
    <row r="722" spans="8:10" x14ac:dyDescent="0.25">
      <c r="H722" s="7"/>
      <c r="I722" s="7"/>
      <c r="J722" s="7"/>
    </row>
    <row r="723" spans="8:10" x14ac:dyDescent="0.25">
      <c r="H723" s="7"/>
      <c r="I723" s="7"/>
      <c r="J723" s="7"/>
    </row>
    <row r="724" spans="8:10" x14ac:dyDescent="0.25">
      <c r="H724" s="7"/>
      <c r="I724" s="7"/>
      <c r="J724" s="7"/>
    </row>
    <row r="725" spans="8:10" x14ac:dyDescent="0.25">
      <c r="H725" s="7"/>
      <c r="I725" s="7"/>
      <c r="J725" s="7"/>
    </row>
    <row r="726" spans="8:10" x14ac:dyDescent="0.25">
      <c r="H726" s="7"/>
      <c r="I726" s="7"/>
      <c r="J726" s="7"/>
    </row>
    <row r="727" spans="8:10" x14ac:dyDescent="0.25">
      <c r="H727" s="7"/>
      <c r="I727" s="7"/>
      <c r="J727" s="7"/>
    </row>
    <row r="728" spans="8:10" x14ac:dyDescent="0.25">
      <c r="H728" s="7"/>
      <c r="I728" s="7"/>
      <c r="J728" s="7"/>
    </row>
    <row r="729" spans="8:10" x14ac:dyDescent="0.25">
      <c r="H729" s="7"/>
      <c r="I729" s="7"/>
      <c r="J729" s="7"/>
    </row>
    <row r="730" spans="8:10" x14ac:dyDescent="0.25">
      <c r="H730" s="7"/>
      <c r="I730" s="7"/>
      <c r="J730" s="7"/>
    </row>
    <row r="731" spans="8:10" x14ac:dyDescent="0.25">
      <c r="H731" s="7"/>
      <c r="I731" s="7"/>
      <c r="J731" s="7"/>
    </row>
    <row r="732" spans="8:10" x14ac:dyDescent="0.25">
      <c r="H732" s="7"/>
      <c r="I732" s="7"/>
      <c r="J732" s="7"/>
    </row>
    <row r="733" spans="8:10" x14ac:dyDescent="0.25">
      <c r="H733" s="7"/>
      <c r="I733" s="7"/>
      <c r="J733" s="7"/>
    </row>
    <row r="734" spans="8:10" x14ac:dyDescent="0.25">
      <c r="H734" s="7"/>
      <c r="I734" s="7"/>
      <c r="J734" s="7"/>
    </row>
    <row r="735" spans="8:10" x14ac:dyDescent="0.25">
      <c r="H735" s="7"/>
      <c r="I735" s="7"/>
      <c r="J735" s="7"/>
    </row>
    <row r="736" spans="8:10" x14ac:dyDescent="0.25">
      <c r="H736" s="7"/>
      <c r="I736" s="7"/>
      <c r="J736" s="7"/>
    </row>
    <row r="737" spans="8:10" x14ac:dyDescent="0.25">
      <c r="H737" s="7"/>
      <c r="I737" s="7"/>
      <c r="J737" s="7"/>
    </row>
    <row r="738" spans="8:10" x14ac:dyDescent="0.25">
      <c r="H738" s="7"/>
      <c r="I738" s="7"/>
      <c r="J738" s="7"/>
    </row>
    <row r="739" spans="8:10" x14ac:dyDescent="0.25">
      <c r="H739" s="7"/>
      <c r="I739" s="7"/>
      <c r="J739" s="7"/>
    </row>
    <row r="740" spans="8:10" x14ac:dyDescent="0.25">
      <c r="H740" s="7"/>
      <c r="I740" s="7"/>
      <c r="J740" s="7"/>
    </row>
    <row r="741" spans="8:10" x14ac:dyDescent="0.25">
      <c r="H741" s="7"/>
      <c r="I741" s="7"/>
      <c r="J741" s="7"/>
    </row>
    <row r="742" spans="8:10" x14ac:dyDescent="0.25">
      <c r="H742" s="7"/>
      <c r="I742" s="7"/>
      <c r="J742" s="7"/>
    </row>
    <row r="743" spans="8:10" x14ac:dyDescent="0.25">
      <c r="H743" s="7"/>
      <c r="I743" s="7"/>
      <c r="J743" s="7"/>
    </row>
    <row r="744" spans="8:10" x14ac:dyDescent="0.25">
      <c r="H744" s="7"/>
      <c r="I744" s="7"/>
      <c r="J744" s="7"/>
    </row>
    <row r="745" spans="8:10" x14ac:dyDescent="0.25">
      <c r="H745" s="7"/>
      <c r="I745" s="7"/>
      <c r="J745" s="7"/>
    </row>
    <row r="746" spans="8:10" x14ac:dyDescent="0.25">
      <c r="H746" s="7"/>
      <c r="I746" s="7"/>
      <c r="J746" s="7"/>
    </row>
    <row r="747" spans="8:10" x14ac:dyDescent="0.25">
      <c r="H747" s="7"/>
      <c r="I747" s="7"/>
      <c r="J747" s="7"/>
    </row>
    <row r="748" spans="8:10" x14ac:dyDescent="0.25">
      <c r="H748" s="7"/>
      <c r="I748" s="7"/>
      <c r="J748" s="7"/>
    </row>
    <row r="749" spans="8:10" x14ac:dyDescent="0.25">
      <c r="H749" s="7"/>
      <c r="I749" s="7"/>
      <c r="J749" s="7"/>
    </row>
    <row r="750" spans="8:10" x14ac:dyDescent="0.25">
      <c r="H750" s="7"/>
      <c r="I750" s="7"/>
      <c r="J750" s="7"/>
    </row>
    <row r="751" spans="8:10" x14ac:dyDescent="0.25">
      <c r="H751" s="7"/>
      <c r="I751" s="7"/>
      <c r="J751" s="7"/>
    </row>
    <row r="752" spans="8:10" x14ac:dyDescent="0.25">
      <c r="H752" s="7"/>
      <c r="I752" s="7"/>
      <c r="J752" s="7"/>
    </row>
    <row r="753" spans="8:10" x14ac:dyDescent="0.25">
      <c r="H753" s="7"/>
      <c r="I753" s="7"/>
      <c r="J753" s="7"/>
    </row>
    <row r="754" spans="8:10" x14ac:dyDescent="0.25">
      <c r="H754" s="7"/>
      <c r="I754" s="7"/>
      <c r="J754" s="7"/>
    </row>
    <row r="755" spans="8:10" x14ac:dyDescent="0.25">
      <c r="H755" s="7"/>
      <c r="I755" s="7"/>
      <c r="J755" s="7"/>
    </row>
    <row r="756" spans="8:10" x14ac:dyDescent="0.25">
      <c r="H756" s="7"/>
      <c r="I756" s="7"/>
      <c r="J756" s="7"/>
    </row>
    <row r="757" spans="8:10" x14ac:dyDescent="0.25">
      <c r="H757" s="7"/>
      <c r="I757" s="7"/>
      <c r="J757" s="7"/>
    </row>
    <row r="758" spans="8:10" x14ac:dyDescent="0.25">
      <c r="H758" s="7"/>
      <c r="I758" s="7"/>
      <c r="J758" s="7"/>
    </row>
    <row r="759" spans="8:10" x14ac:dyDescent="0.25">
      <c r="H759" s="7"/>
      <c r="I759" s="7"/>
      <c r="J759" s="7"/>
    </row>
    <row r="760" spans="8:10" x14ac:dyDescent="0.25">
      <c r="H760" s="7"/>
      <c r="I760" s="7"/>
      <c r="J760" s="7"/>
    </row>
    <row r="761" spans="8:10" x14ac:dyDescent="0.25">
      <c r="H761" s="7"/>
      <c r="I761" s="7"/>
      <c r="J761" s="7"/>
    </row>
    <row r="762" spans="8:10" x14ac:dyDescent="0.25">
      <c r="H762" s="7"/>
      <c r="I762" s="7"/>
      <c r="J762" s="7"/>
    </row>
    <row r="763" spans="8:10" x14ac:dyDescent="0.25">
      <c r="H763" s="7"/>
      <c r="I763" s="7"/>
      <c r="J763" s="7"/>
    </row>
    <row r="764" spans="8:10" x14ac:dyDescent="0.25">
      <c r="H764" s="7"/>
      <c r="I764" s="7"/>
      <c r="J764" s="7"/>
    </row>
    <row r="765" spans="8:10" x14ac:dyDescent="0.25">
      <c r="H765" s="7"/>
      <c r="I765" s="7"/>
      <c r="J765" s="7"/>
    </row>
    <row r="766" spans="8:10" x14ac:dyDescent="0.25">
      <c r="H766" s="7"/>
      <c r="I766" s="7"/>
      <c r="J766" s="7"/>
    </row>
    <row r="767" spans="8:10" x14ac:dyDescent="0.25">
      <c r="H767" s="7"/>
      <c r="I767" s="7"/>
      <c r="J767" s="7"/>
    </row>
    <row r="768" spans="8:10" x14ac:dyDescent="0.25">
      <c r="H768" s="7"/>
      <c r="I768" s="7"/>
      <c r="J768" s="7"/>
    </row>
    <row r="769" spans="8:10" x14ac:dyDescent="0.25">
      <c r="H769" s="7"/>
      <c r="I769" s="7"/>
      <c r="J769" s="7"/>
    </row>
    <row r="770" spans="8:10" x14ac:dyDescent="0.25">
      <c r="H770" s="7"/>
      <c r="I770" s="7"/>
      <c r="J770" s="7"/>
    </row>
    <row r="771" spans="8:10" x14ac:dyDescent="0.25">
      <c r="H771" s="7"/>
      <c r="I771" s="7"/>
      <c r="J771" s="7"/>
    </row>
    <row r="772" spans="8:10" x14ac:dyDescent="0.25">
      <c r="H772" s="7"/>
      <c r="I772" s="7"/>
      <c r="J772" s="7"/>
    </row>
    <row r="773" spans="8:10" x14ac:dyDescent="0.25">
      <c r="H773" s="7"/>
      <c r="I773" s="7"/>
      <c r="J773" s="7"/>
    </row>
    <row r="774" spans="8:10" x14ac:dyDescent="0.25">
      <c r="H774" s="7"/>
      <c r="I774" s="7"/>
      <c r="J774" s="7"/>
    </row>
    <row r="775" spans="8:10" x14ac:dyDescent="0.25">
      <c r="H775" s="7"/>
      <c r="I775" s="7"/>
      <c r="J775" s="7"/>
    </row>
    <row r="776" spans="8:10" x14ac:dyDescent="0.25">
      <c r="H776" s="7"/>
      <c r="I776" s="7"/>
      <c r="J776" s="7"/>
    </row>
    <row r="777" spans="8:10" x14ac:dyDescent="0.25">
      <c r="H777" s="7"/>
      <c r="I777" s="7"/>
      <c r="J777" s="7"/>
    </row>
    <row r="778" spans="8:10" x14ac:dyDescent="0.25">
      <c r="H778" s="7"/>
      <c r="I778" s="7"/>
      <c r="J778" s="7"/>
    </row>
    <row r="779" spans="8:10" x14ac:dyDescent="0.25">
      <c r="H779" s="7"/>
      <c r="I779" s="7"/>
      <c r="J779" s="7"/>
    </row>
    <row r="780" spans="8:10" x14ac:dyDescent="0.25">
      <c r="H780" s="7"/>
      <c r="I780" s="7"/>
      <c r="J780" s="7"/>
    </row>
    <row r="781" spans="8:10" x14ac:dyDescent="0.25">
      <c r="H781" s="7"/>
      <c r="I781" s="7"/>
      <c r="J781" s="7"/>
    </row>
    <row r="782" spans="8:10" x14ac:dyDescent="0.25">
      <c r="H782" s="7"/>
      <c r="I782" s="7"/>
      <c r="J782" s="7"/>
    </row>
    <row r="783" spans="8:10" x14ac:dyDescent="0.25">
      <c r="H783" s="7"/>
      <c r="I783" s="7"/>
      <c r="J783" s="7"/>
    </row>
    <row r="784" spans="8:10" x14ac:dyDescent="0.25">
      <c r="H784" s="7"/>
      <c r="I784" s="7"/>
      <c r="J784" s="7"/>
    </row>
    <row r="785" spans="8:10" x14ac:dyDescent="0.25">
      <c r="H785" s="7"/>
      <c r="I785" s="7"/>
      <c r="J785" s="7"/>
    </row>
    <row r="786" spans="8:10" x14ac:dyDescent="0.25">
      <c r="H786" s="7"/>
      <c r="I786" s="7"/>
      <c r="J786" s="7"/>
    </row>
    <row r="787" spans="8:10" x14ac:dyDescent="0.25">
      <c r="H787" s="7"/>
      <c r="I787" s="7"/>
      <c r="J787" s="7"/>
    </row>
    <row r="788" spans="8:10" x14ac:dyDescent="0.25">
      <c r="H788" s="7"/>
      <c r="I788" s="7"/>
      <c r="J788" s="7"/>
    </row>
    <row r="789" spans="8:10" x14ac:dyDescent="0.25">
      <c r="H789" s="7"/>
      <c r="I789" s="7"/>
      <c r="J789" s="7"/>
    </row>
    <row r="790" spans="8:10" x14ac:dyDescent="0.25">
      <c r="H790" s="7"/>
      <c r="I790" s="7"/>
      <c r="J790" s="7"/>
    </row>
    <row r="791" spans="8:10" x14ac:dyDescent="0.25">
      <c r="H791" s="7"/>
      <c r="I791" s="7"/>
      <c r="J791" s="7"/>
    </row>
    <row r="792" spans="8:10" x14ac:dyDescent="0.25">
      <c r="H792" s="7"/>
      <c r="I792" s="7"/>
      <c r="J792" s="7"/>
    </row>
    <row r="793" spans="8:10" x14ac:dyDescent="0.25">
      <c r="H793" s="7"/>
      <c r="I793" s="7"/>
      <c r="J793" s="7"/>
    </row>
    <row r="794" spans="8:10" x14ac:dyDescent="0.25">
      <c r="H794" s="7"/>
      <c r="I794" s="7"/>
      <c r="J794" s="7"/>
    </row>
    <row r="795" spans="8:10" x14ac:dyDescent="0.25">
      <c r="H795" s="7"/>
      <c r="I795" s="7"/>
      <c r="J795" s="7"/>
    </row>
    <row r="796" spans="8:10" x14ac:dyDescent="0.25">
      <c r="H796" s="7"/>
      <c r="I796" s="7"/>
      <c r="J796" s="7"/>
    </row>
    <row r="797" spans="8:10" x14ac:dyDescent="0.25">
      <c r="H797" s="7"/>
      <c r="I797" s="7"/>
      <c r="J797" s="7"/>
    </row>
    <row r="798" spans="8:10" x14ac:dyDescent="0.25">
      <c r="H798" s="7"/>
      <c r="I798" s="7"/>
      <c r="J798" s="7"/>
    </row>
    <row r="799" spans="8:10" x14ac:dyDescent="0.25">
      <c r="H799" s="7"/>
      <c r="I799" s="7"/>
      <c r="J799" s="7"/>
    </row>
    <row r="800" spans="8:10" x14ac:dyDescent="0.25">
      <c r="H800" s="7"/>
      <c r="I800" s="7"/>
      <c r="J800" s="7"/>
    </row>
    <row r="801" spans="8:10" x14ac:dyDescent="0.25">
      <c r="H801" s="7"/>
      <c r="I801" s="7"/>
      <c r="J801" s="7"/>
    </row>
    <row r="802" spans="8:10" x14ac:dyDescent="0.25">
      <c r="H802" s="7"/>
      <c r="I802" s="7"/>
      <c r="J802" s="7"/>
    </row>
    <row r="803" spans="8:10" x14ac:dyDescent="0.25">
      <c r="H803" s="7"/>
      <c r="I803" s="7"/>
      <c r="J803" s="7"/>
    </row>
    <row r="804" spans="8:10" x14ac:dyDescent="0.25">
      <c r="H804" s="7"/>
      <c r="I804" s="7"/>
      <c r="J804" s="7"/>
    </row>
    <row r="805" spans="8:10" x14ac:dyDescent="0.25">
      <c r="H805" s="7"/>
      <c r="I805" s="7"/>
      <c r="J805" s="7"/>
    </row>
    <row r="806" spans="8:10" x14ac:dyDescent="0.25">
      <c r="H806" s="7"/>
      <c r="I806" s="7"/>
      <c r="J806" s="7"/>
    </row>
    <row r="807" spans="8:10" x14ac:dyDescent="0.25">
      <c r="H807" s="7"/>
      <c r="I807" s="7"/>
      <c r="J807" s="7"/>
    </row>
    <row r="808" spans="8:10" x14ac:dyDescent="0.25">
      <c r="H808" s="7"/>
      <c r="I808" s="7"/>
      <c r="J808" s="7"/>
    </row>
    <row r="809" spans="8:10" x14ac:dyDescent="0.25">
      <c r="H809" s="7"/>
      <c r="I809" s="7"/>
      <c r="J809" s="7"/>
    </row>
    <row r="810" spans="8:10" x14ac:dyDescent="0.25">
      <c r="H810" s="7"/>
      <c r="I810" s="7"/>
      <c r="J810" s="7"/>
    </row>
    <row r="811" spans="8:10" x14ac:dyDescent="0.25">
      <c r="H811" s="7"/>
      <c r="I811" s="7"/>
      <c r="J811" s="7"/>
    </row>
    <row r="812" spans="8:10" x14ac:dyDescent="0.25">
      <c r="H812" s="7"/>
      <c r="I812" s="7"/>
      <c r="J812" s="7"/>
    </row>
    <row r="813" spans="8:10" x14ac:dyDescent="0.25">
      <c r="H813" s="7"/>
      <c r="I813" s="7"/>
      <c r="J813" s="7"/>
    </row>
    <row r="814" spans="8:10" x14ac:dyDescent="0.25">
      <c r="H814" s="7"/>
      <c r="I814" s="7"/>
      <c r="J814" s="7"/>
    </row>
    <row r="815" spans="8:10" x14ac:dyDescent="0.25">
      <c r="H815" s="7"/>
      <c r="I815" s="7"/>
      <c r="J815" s="7"/>
    </row>
    <row r="816" spans="8:10" x14ac:dyDescent="0.25">
      <c r="H816" s="7"/>
      <c r="I816" s="7"/>
      <c r="J816" s="7"/>
    </row>
    <row r="817" spans="8:10" x14ac:dyDescent="0.25">
      <c r="H817" s="7"/>
      <c r="I817" s="7"/>
      <c r="J817" s="7"/>
    </row>
    <row r="818" spans="8:10" x14ac:dyDescent="0.25">
      <c r="H818" s="7"/>
      <c r="I818" s="7"/>
      <c r="J818" s="7"/>
    </row>
    <row r="819" spans="8:10" x14ac:dyDescent="0.25">
      <c r="H819" s="7"/>
      <c r="I819" s="7"/>
      <c r="J819" s="7"/>
    </row>
    <row r="820" spans="8:10" x14ac:dyDescent="0.25">
      <c r="H820" s="7"/>
      <c r="I820" s="7"/>
      <c r="J820" s="7"/>
    </row>
    <row r="821" spans="8:10" x14ac:dyDescent="0.25">
      <c r="H821" s="7"/>
      <c r="I821" s="7"/>
      <c r="J821" s="7"/>
    </row>
    <row r="822" spans="8:10" x14ac:dyDescent="0.25">
      <c r="H822" s="7"/>
      <c r="I822" s="7"/>
      <c r="J822" s="7"/>
    </row>
    <row r="823" spans="8:10" x14ac:dyDescent="0.25">
      <c r="H823" s="7"/>
      <c r="I823" s="7"/>
      <c r="J823" s="7"/>
    </row>
    <row r="824" spans="8:10" x14ac:dyDescent="0.25">
      <c r="H824" s="7"/>
      <c r="I824" s="7"/>
      <c r="J824" s="7"/>
    </row>
    <row r="825" spans="8:10" x14ac:dyDescent="0.25">
      <c r="H825" s="7"/>
      <c r="I825" s="7"/>
      <c r="J825" s="7"/>
    </row>
    <row r="826" spans="8:10" x14ac:dyDescent="0.25">
      <c r="H826" s="7"/>
      <c r="I826" s="7"/>
      <c r="J826" s="7"/>
    </row>
    <row r="827" spans="8:10" x14ac:dyDescent="0.25">
      <c r="H827" s="7"/>
      <c r="I827" s="7"/>
      <c r="J827" s="7"/>
    </row>
    <row r="828" spans="8:10" x14ac:dyDescent="0.25">
      <c r="H828" s="7"/>
      <c r="I828" s="7"/>
      <c r="J828" s="7"/>
    </row>
    <row r="829" spans="8:10" x14ac:dyDescent="0.25">
      <c r="H829" s="7"/>
      <c r="I829" s="7"/>
      <c r="J829" s="7"/>
    </row>
    <row r="830" spans="8:10" x14ac:dyDescent="0.25">
      <c r="H830" s="7"/>
      <c r="I830" s="7"/>
      <c r="J830" s="7"/>
    </row>
    <row r="831" spans="8:10" x14ac:dyDescent="0.25">
      <c r="H831" s="7"/>
      <c r="I831" s="7"/>
      <c r="J831" s="7"/>
    </row>
    <row r="832" spans="8:10" x14ac:dyDescent="0.25">
      <c r="H832" s="7"/>
      <c r="I832" s="7"/>
      <c r="J832" s="7"/>
    </row>
    <row r="833" spans="8:10" x14ac:dyDescent="0.25">
      <c r="H833" s="7"/>
      <c r="I833" s="7"/>
      <c r="J833" s="7"/>
    </row>
    <row r="834" spans="8:10" x14ac:dyDescent="0.25">
      <c r="H834" s="7"/>
      <c r="I834" s="7"/>
      <c r="J834" s="7"/>
    </row>
    <row r="835" spans="8:10" x14ac:dyDescent="0.25">
      <c r="H835" s="7"/>
      <c r="I835" s="7"/>
      <c r="J835" s="7"/>
    </row>
    <row r="836" spans="8:10" x14ac:dyDescent="0.25">
      <c r="H836" s="7"/>
      <c r="I836" s="7"/>
      <c r="J836" s="7"/>
    </row>
    <row r="837" spans="8:10" x14ac:dyDescent="0.25">
      <c r="H837" s="7"/>
      <c r="I837" s="7"/>
      <c r="J837" s="7"/>
    </row>
    <row r="838" spans="8:10" x14ac:dyDescent="0.25">
      <c r="H838" s="7"/>
      <c r="I838" s="7"/>
      <c r="J838" s="7"/>
    </row>
    <row r="839" spans="8:10" x14ac:dyDescent="0.25">
      <c r="H839" s="7"/>
      <c r="I839" s="7"/>
      <c r="J839" s="7"/>
    </row>
    <row r="840" spans="8:10" x14ac:dyDescent="0.25">
      <c r="H840" s="7"/>
      <c r="I840" s="7"/>
      <c r="J840" s="7"/>
    </row>
    <row r="841" spans="8:10" x14ac:dyDescent="0.25">
      <c r="H841" s="7"/>
      <c r="I841" s="7"/>
      <c r="J841" s="7"/>
    </row>
    <row r="842" spans="8:10" x14ac:dyDescent="0.25">
      <c r="H842" s="7"/>
      <c r="I842" s="7"/>
      <c r="J842" s="7"/>
    </row>
    <row r="843" spans="8:10" x14ac:dyDescent="0.25">
      <c r="H843" s="7"/>
      <c r="I843" s="7"/>
      <c r="J843" s="7"/>
    </row>
    <row r="844" spans="8:10" x14ac:dyDescent="0.25">
      <c r="H844" s="7"/>
      <c r="I844" s="7"/>
      <c r="J844" s="7"/>
    </row>
    <row r="845" spans="8:10" x14ac:dyDescent="0.25">
      <c r="H845" s="7"/>
      <c r="I845" s="7"/>
      <c r="J845" s="7"/>
    </row>
    <row r="846" spans="8:10" x14ac:dyDescent="0.25">
      <c r="H846" s="7"/>
      <c r="I846" s="7"/>
      <c r="J846" s="7"/>
    </row>
    <row r="847" spans="8:10" x14ac:dyDescent="0.25">
      <c r="H847" s="7"/>
      <c r="I847" s="7"/>
      <c r="J847" s="7"/>
    </row>
    <row r="848" spans="8:10" x14ac:dyDescent="0.25">
      <c r="H848" s="7"/>
      <c r="I848" s="7"/>
      <c r="J848" s="7"/>
    </row>
    <row r="849" spans="8:10" x14ac:dyDescent="0.25">
      <c r="H849" s="7"/>
      <c r="I849" s="7"/>
      <c r="J849" s="7"/>
    </row>
    <row r="850" spans="8:10" x14ac:dyDescent="0.25">
      <c r="H850" s="7"/>
      <c r="I850" s="7"/>
      <c r="J850" s="7"/>
    </row>
    <row r="851" spans="8:10" x14ac:dyDescent="0.25">
      <c r="H851" s="7"/>
      <c r="I851" s="7"/>
      <c r="J851" s="7"/>
    </row>
    <row r="852" spans="8:10" x14ac:dyDescent="0.25">
      <c r="H852" s="7"/>
      <c r="I852" s="7"/>
      <c r="J852" s="7"/>
    </row>
    <row r="853" spans="8:10" x14ac:dyDescent="0.25">
      <c r="H853" s="7"/>
      <c r="I853" s="7"/>
      <c r="J853" s="7"/>
    </row>
    <row r="854" spans="8:10" x14ac:dyDescent="0.25">
      <c r="H854" s="7"/>
      <c r="I854" s="7"/>
      <c r="J854" s="7"/>
    </row>
    <row r="855" spans="8:10" x14ac:dyDescent="0.25">
      <c r="H855" s="7"/>
      <c r="I855" s="7"/>
      <c r="J855" s="7"/>
    </row>
    <row r="856" spans="8:10" x14ac:dyDescent="0.25">
      <c r="H856" s="7"/>
      <c r="I856" s="7"/>
      <c r="J856" s="7"/>
    </row>
    <row r="857" spans="8:10" x14ac:dyDescent="0.25">
      <c r="H857" s="7"/>
      <c r="I857" s="7"/>
      <c r="J857" s="7"/>
    </row>
    <row r="858" spans="8:10" x14ac:dyDescent="0.25">
      <c r="H858" s="7"/>
      <c r="I858" s="7"/>
      <c r="J858" s="7"/>
    </row>
    <row r="859" spans="8:10" x14ac:dyDescent="0.25">
      <c r="H859" s="7"/>
      <c r="I859" s="7"/>
      <c r="J859" s="7"/>
    </row>
    <row r="860" spans="8:10" x14ac:dyDescent="0.25">
      <c r="H860" s="7"/>
      <c r="I860" s="7"/>
      <c r="J860" s="7"/>
    </row>
    <row r="861" spans="8:10" x14ac:dyDescent="0.25">
      <c r="H861" s="7"/>
      <c r="I861" s="7"/>
      <c r="J861" s="7"/>
    </row>
    <row r="862" spans="8:10" x14ac:dyDescent="0.25">
      <c r="H862" s="7"/>
      <c r="I862" s="7"/>
      <c r="J862" s="7"/>
    </row>
    <row r="863" spans="8:10" x14ac:dyDescent="0.25">
      <c r="H863" s="7"/>
      <c r="I863" s="7"/>
      <c r="J863" s="7"/>
    </row>
    <row r="864" spans="8:10" x14ac:dyDescent="0.25">
      <c r="H864" s="7"/>
      <c r="I864" s="7"/>
      <c r="J864" s="7"/>
    </row>
    <row r="865" spans="8:10" x14ac:dyDescent="0.25">
      <c r="H865" s="7"/>
      <c r="I865" s="7"/>
      <c r="J865" s="7"/>
    </row>
    <row r="866" spans="8:10" x14ac:dyDescent="0.25">
      <c r="H866" s="7"/>
      <c r="I866" s="7"/>
      <c r="J866" s="7"/>
    </row>
    <row r="867" spans="8:10" x14ac:dyDescent="0.25">
      <c r="H867" s="7"/>
      <c r="I867" s="7"/>
      <c r="J867" s="7"/>
    </row>
    <row r="868" spans="8:10" x14ac:dyDescent="0.25">
      <c r="H868" s="7"/>
      <c r="I868" s="7"/>
      <c r="J868" s="7"/>
    </row>
    <row r="869" spans="8:10" x14ac:dyDescent="0.25">
      <c r="H869" s="7"/>
      <c r="I869" s="7"/>
      <c r="J869" s="7"/>
    </row>
    <row r="870" spans="8:10" x14ac:dyDescent="0.25">
      <c r="H870" s="7"/>
      <c r="I870" s="7"/>
      <c r="J870" s="7"/>
    </row>
    <row r="871" spans="8:10" x14ac:dyDescent="0.25">
      <c r="H871" s="7"/>
      <c r="I871" s="7"/>
      <c r="J871" s="7"/>
    </row>
    <row r="872" spans="8:10" x14ac:dyDescent="0.25">
      <c r="H872" s="7"/>
      <c r="I872" s="7"/>
      <c r="J872" s="7"/>
    </row>
    <row r="873" spans="8:10" x14ac:dyDescent="0.25">
      <c r="H873" s="7"/>
      <c r="I873" s="7"/>
      <c r="J873" s="7"/>
    </row>
    <row r="874" spans="8:10" x14ac:dyDescent="0.25">
      <c r="H874" s="7"/>
      <c r="I874" s="7"/>
      <c r="J874" s="7"/>
    </row>
    <row r="875" spans="8:10" x14ac:dyDescent="0.25">
      <c r="H875" s="7"/>
      <c r="I875" s="7"/>
      <c r="J875" s="7"/>
    </row>
    <row r="876" spans="8:10" x14ac:dyDescent="0.25">
      <c r="H876" s="7"/>
      <c r="I876" s="7"/>
      <c r="J876" s="7"/>
    </row>
    <row r="877" spans="8:10" x14ac:dyDescent="0.25">
      <c r="H877" s="7"/>
      <c r="I877" s="7"/>
      <c r="J877" s="7"/>
    </row>
    <row r="878" spans="8:10" x14ac:dyDescent="0.25">
      <c r="H878" s="7"/>
      <c r="I878" s="7"/>
      <c r="J878" s="7"/>
    </row>
    <row r="879" spans="8:10" x14ac:dyDescent="0.25">
      <c r="H879" s="7"/>
      <c r="I879" s="7"/>
      <c r="J879" s="7"/>
    </row>
    <row r="880" spans="8:10" x14ac:dyDescent="0.25">
      <c r="H880" s="7"/>
      <c r="I880" s="7"/>
      <c r="J880" s="7"/>
    </row>
    <row r="881" spans="8:10" x14ac:dyDescent="0.25">
      <c r="H881" s="7"/>
      <c r="I881" s="7"/>
      <c r="J881" s="7"/>
    </row>
    <row r="882" spans="8:10" x14ac:dyDescent="0.25">
      <c r="H882" s="7"/>
      <c r="I882" s="7"/>
      <c r="J882" s="7"/>
    </row>
    <row r="883" spans="8:10" x14ac:dyDescent="0.25">
      <c r="H883" s="7"/>
      <c r="I883" s="7"/>
      <c r="J883" s="7"/>
    </row>
    <row r="884" spans="8:10" x14ac:dyDescent="0.25">
      <c r="H884" s="7"/>
      <c r="I884" s="7"/>
      <c r="J884" s="7"/>
    </row>
    <row r="885" spans="8:10" x14ac:dyDescent="0.25">
      <c r="H885" s="7"/>
      <c r="I885" s="7"/>
      <c r="J885" s="7"/>
    </row>
    <row r="886" spans="8:10" x14ac:dyDescent="0.25">
      <c r="H886" s="7"/>
      <c r="I886" s="7"/>
      <c r="J886" s="7"/>
    </row>
    <row r="887" spans="8:10" x14ac:dyDescent="0.25">
      <c r="H887" s="7"/>
      <c r="I887" s="7"/>
      <c r="J887" s="7"/>
    </row>
    <row r="888" spans="8:10" x14ac:dyDescent="0.25">
      <c r="H888" s="7"/>
      <c r="I888" s="7"/>
      <c r="J888" s="7"/>
    </row>
    <row r="889" spans="8:10" x14ac:dyDescent="0.25">
      <c r="H889" s="7"/>
      <c r="I889" s="7"/>
      <c r="J889" s="7"/>
    </row>
    <row r="890" spans="8:10" x14ac:dyDescent="0.25">
      <c r="H890" s="7"/>
      <c r="I890" s="7"/>
      <c r="J890" s="7"/>
    </row>
    <row r="891" spans="8:10" x14ac:dyDescent="0.25">
      <c r="H891" s="7"/>
      <c r="I891" s="7"/>
      <c r="J891" s="7"/>
    </row>
    <row r="892" spans="8:10" x14ac:dyDescent="0.25">
      <c r="H892" s="7"/>
      <c r="I892" s="7"/>
      <c r="J892" s="7"/>
    </row>
    <row r="893" spans="8:10" x14ac:dyDescent="0.25">
      <c r="H893" s="7"/>
      <c r="I893" s="7"/>
      <c r="J893" s="7"/>
    </row>
    <row r="894" spans="8:10" x14ac:dyDescent="0.25">
      <c r="H894" s="7"/>
      <c r="I894" s="7"/>
      <c r="J894" s="7"/>
    </row>
    <row r="895" spans="8:10" x14ac:dyDescent="0.25">
      <c r="H895" s="7"/>
      <c r="I895" s="7"/>
      <c r="J895" s="7"/>
    </row>
    <row r="896" spans="8:10" x14ac:dyDescent="0.25">
      <c r="H896" s="7"/>
      <c r="I896" s="7"/>
      <c r="J896" s="7"/>
    </row>
    <row r="897" spans="8:10" x14ac:dyDescent="0.25">
      <c r="H897" s="7"/>
      <c r="I897" s="7"/>
      <c r="J897" s="7"/>
    </row>
    <row r="898" spans="8:10" x14ac:dyDescent="0.25">
      <c r="H898" s="7"/>
      <c r="I898" s="7"/>
      <c r="J898" s="7"/>
    </row>
    <row r="899" spans="8:10" x14ac:dyDescent="0.25">
      <c r="H899" s="7"/>
      <c r="I899" s="7"/>
      <c r="J899" s="7"/>
    </row>
    <row r="900" spans="8:10" x14ac:dyDescent="0.25">
      <c r="H900" s="7"/>
      <c r="I900" s="7"/>
      <c r="J900" s="7"/>
    </row>
    <row r="901" spans="8:10" x14ac:dyDescent="0.25">
      <c r="H901" s="7"/>
      <c r="I901" s="7"/>
      <c r="J901" s="7"/>
    </row>
    <row r="902" spans="8:10" x14ac:dyDescent="0.25">
      <c r="H902" s="7"/>
      <c r="I902" s="7"/>
      <c r="J902" s="7"/>
    </row>
    <row r="903" spans="8:10" x14ac:dyDescent="0.25">
      <c r="H903" s="7"/>
      <c r="I903" s="7"/>
      <c r="J903" s="7"/>
    </row>
    <row r="904" spans="8:10" x14ac:dyDescent="0.25">
      <c r="H904" s="7"/>
      <c r="I904" s="7"/>
      <c r="J904" s="7"/>
    </row>
    <row r="905" spans="8:10" x14ac:dyDescent="0.25">
      <c r="H905" s="7"/>
      <c r="I905" s="7"/>
      <c r="J905" s="7"/>
    </row>
    <row r="906" spans="8:10" x14ac:dyDescent="0.25">
      <c r="H906" s="7"/>
      <c r="I906" s="7"/>
      <c r="J906" s="7"/>
    </row>
    <row r="907" spans="8:10" x14ac:dyDescent="0.25">
      <c r="H907" s="7"/>
      <c r="I907" s="7"/>
      <c r="J907" s="7"/>
    </row>
    <row r="908" spans="8:10" x14ac:dyDescent="0.25">
      <c r="H908" s="7"/>
      <c r="I908" s="7"/>
      <c r="J908" s="7"/>
    </row>
    <row r="909" spans="8:10" x14ac:dyDescent="0.25">
      <c r="H909" s="7"/>
      <c r="I909" s="7"/>
      <c r="J909" s="7"/>
    </row>
    <row r="910" spans="8:10" x14ac:dyDescent="0.25">
      <c r="H910" s="7"/>
      <c r="I910" s="7"/>
      <c r="J910" s="7"/>
    </row>
    <row r="911" spans="8:10" x14ac:dyDescent="0.25">
      <c r="H911" s="7"/>
      <c r="I911" s="7"/>
      <c r="J911" s="7"/>
    </row>
    <row r="912" spans="8:10" x14ac:dyDescent="0.25">
      <c r="H912" s="7"/>
      <c r="I912" s="7"/>
      <c r="J912" s="7"/>
    </row>
    <row r="913" spans="8:10" x14ac:dyDescent="0.25">
      <c r="H913" s="7"/>
      <c r="I913" s="7"/>
      <c r="J913" s="7"/>
    </row>
    <row r="914" spans="8:10" x14ac:dyDescent="0.25">
      <c r="H914" s="7"/>
      <c r="I914" s="7"/>
      <c r="J914" s="7"/>
    </row>
    <row r="915" spans="8:10" x14ac:dyDescent="0.25">
      <c r="H915" s="7"/>
      <c r="I915" s="7"/>
      <c r="J915" s="7"/>
    </row>
    <row r="916" spans="8:10" x14ac:dyDescent="0.25">
      <c r="H916" s="7"/>
      <c r="I916" s="7"/>
      <c r="J916" s="7"/>
    </row>
    <row r="917" spans="8:10" x14ac:dyDescent="0.25">
      <c r="H917" s="7"/>
      <c r="I917" s="7"/>
      <c r="J917" s="7"/>
    </row>
    <row r="918" spans="8:10" x14ac:dyDescent="0.25">
      <c r="H918" s="7"/>
      <c r="I918" s="7"/>
      <c r="J918" s="7"/>
    </row>
    <row r="919" spans="8:10" x14ac:dyDescent="0.25">
      <c r="H919" s="7"/>
      <c r="I919" s="7"/>
      <c r="J919" s="7"/>
    </row>
    <row r="920" spans="8:10" x14ac:dyDescent="0.25">
      <c r="H920" s="7"/>
      <c r="I920" s="7"/>
      <c r="J920" s="7"/>
    </row>
    <row r="921" spans="8:10" x14ac:dyDescent="0.25">
      <c r="H921" s="7"/>
      <c r="I921" s="7"/>
      <c r="J921" s="7"/>
    </row>
    <row r="922" spans="8:10" x14ac:dyDescent="0.25">
      <c r="H922" s="7"/>
      <c r="I922" s="7"/>
      <c r="J922" s="7"/>
    </row>
    <row r="923" spans="8:10" x14ac:dyDescent="0.25">
      <c r="H923" s="7"/>
      <c r="I923" s="7"/>
      <c r="J923" s="7"/>
    </row>
    <row r="924" spans="8:10" x14ac:dyDescent="0.25">
      <c r="H924" s="7"/>
      <c r="I924" s="7"/>
      <c r="J924" s="7"/>
    </row>
    <row r="925" spans="8:10" x14ac:dyDescent="0.25">
      <c r="H925" s="7"/>
      <c r="I925" s="7"/>
      <c r="J925" s="7"/>
    </row>
    <row r="926" spans="8:10" x14ac:dyDescent="0.25">
      <c r="H926" s="7"/>
      <c r="I926" s="7"/>
      <c r="J926" s="7"/>
    </row>
    <row r="927" spans="8:10" x14ac:dyDescent="0.25">
      <c r="H927" s="7"/>
      <c r="I927" s="7"/>
      <c r="J927" s="7"/>
    </row>
    <row r="928" spans="8:10" x14ac:dyDescent="0.25">
      <c r="H928" s="7"/>
      <c r="I928" s="7"/>
      <c r="J928" s="7"/>
    </row>
    <row r="929" spans="8:10" x14ac:dyDescent="0.25">
      <c r="H929" s="7"/>
      <c r="I929" s="7"/>
      <c r="J929" s="7"/>
    </row>
    <row r="930" spans="8:10" x14ac:dyDescent="0.25">
      <c r="H930" s="7"/>
      <c r="I930" s="7"/>
      <c r="J930" s="7"/>
    </row>
    <row r="931" spans="8:10" x14ac:dyDescent="0.25">
      <c r="H931" s="7"/>
      <c r="I931" s="7"/>
      <c r="J931" s="7"/>
    </row>
    <row r="932" spans="8:10" x14ac:dyDescent="0.25">
      <c r="H932" s="7"/>
      <c r="I932" s="7"/>
      <c r="J932" s="7"/>
    </row>
    <row r="933" spans="8:10" x14ac:dyDescent="0.25">
      <c r="H933" s="7"/>
      <c r="I933" s="7"/>
      <c r="J933" s="7"/>
    </row>
    <row r="934" spans="8:10" x14ac:dyDescent="0.25">
      <c r="H934" s="7"/>
      <c r="I934" s="7"/>
      <c r="J934" s="7"/>
    </row>
    <row r="935" spans="8:10" x14ac:dyDescent="0.25">
      <c r="H935" s="7"/>
      <c r="I935" s="7"/>
      <c r="J935" s="7"/>
    </row>
    <row r="936" spans="8:10" x14ac:dyDescent="0.25">
      <c r="H936" s="7"/>
      <c r="I936" s="7"/>
      <c r="J936" s="7"/>
    </row>
    <row r="937" spans="8:10" x14ac:dyDescent="0.25">
      <c r="H937" s="7"/>
      <c r="I937" s="7"/>
      <c r="J937" s="7"/>
    </row>
    <row r="938" spans="8:10" x14ac:dyDescent="0.25">
      <c r="H938" s="7"/>
      <c r="I938" s="7"/>
      <c r="J938" s="7"/>
    </row>
    <row r="939" spans="8:10" x14ac:dyDescent="0.25">
      <c r="H939" s="7"/>
      <c r="I939" s="7"/>
      <c r="J939" s="7"/>
    </row>
    <row r="940" spans="8:10" x14ac:dyDescent="0.25">
      <c r="H940" s="7"/>
      <c r="I940" s="7"/>
      <c r="J940" s="7"/>
    </row>
    <row r="941" spans="8:10" x14ac:dyDescent="0.25">
      <c r="H941" s="7"/>
      <c r="I941" s="7"/>
      <c r="J941" s="7"/>
    </row>
    <row r="942" spans="8:10" x14ac:dyDescent="0.25">
      <c r="H942" s="7"/>
      <c r="I942" s="7"/>
      <c r="J942" s="7"/>
    </row>
    <row r="943" spans="8:10" x14ac:dyDescent="0.25">
      <c r="H943" s="7"/>
      <c r="I943" s="7"/>
      <c r="J943" s="7"/>
    </row>
    <row r="944" spans="8:10" x14ac:dyDescent="0.25">
      <c r="H944" s="7"/>
      <c r="I944" s="7"/>
      <c r="J944" s="7"/>
    </row>
    <row r="945" spans="8:10" x14ac:dyDescent="0.25">
      <c r="H945" s="7"/>
      <c r="I945" s="7"/>
      <c r="J945" s="7"/>
    </row>
    <row r="946" spans="8:10" x14ac:dyDescent="0.25">
      <c r="H946" s="7"/>
      <c r="I946" s="7"/>
      <c r="J946" s="7"/>
    </row>
    <row r="947" spans="8:10" x14ac:dyDescent="0.25">
      <c r="H947" s="7"/>
      <c r="I947" s="7"/>
      <c r="J947" s="7"/>
    </row>
    <row r="948" spans="8:10" x14ac:dyDescent="0.25">
      <c r="H948" s="7"/>
      <c r="I948" s="7"/>
      <c r="J948" s="7"/>
    </row>
    <row r="949" spans="8:10" x14ac:dyDescent="0.25">
      <c r="H949" s="7"/>
      <c r="I949" s="7"/>
      <c r="J949" s="7"/>
    </row>
    <row r="950" spans="8:10" x14ac:dyDescent="0.25">
      <c r="H950" s="7"/>
      <c r="I950" s="7"/>
      <c r="J950" s="7"/>
    </row>
    <row r="951" spans="8:10" x14ac:dyDescent="0.25">
      <c r="H951" s="7"/>
      <c r="I951" s="7"/>
      <c r="J951" s="7"/>
    </row>
    <row r="952" spans="8:10" x14ac:dyDescent="0.25">
      <c r="H952" s="7"/>
      <c r="I952" s="7"/>
      <c r="J952" s="7"/>
    </row>
    <row r="953" spans="8:10" x14ac:dyDescent="0.25">
      <c r="H953" s="7"/>
      <c r="I953" s="7"/>
      <c r="J953" s="7"/>
    </row>
    <row r="954" spans="8:10" x14ac:dyDescent="0.25">
      <c r="H954" s="7"/>
      <c r="I954" s="7"/>
      <c r="J954" s="7"/>
    </row>
    <row r="955" spans="8:10" x14ac:dyDescent="0.25">
      <c r="H955" s="7"/>
      <c r="I955" s="7"/>
      <c r="J955" s="7"/>
    </row>
    <row r="956" spans="8:10" x14ac:dyDescent="0.25">
      <c r="H956" s="7"/>
      <c r="I956" s="7"/>
      <c r="J956" s="7"/>
    </row>
    <row r="957" spans="8:10" x14ac:dyDescent="0.25">
      <c r="H957" s="7"/>
      <c r="I957" s="7"/>
      <c r="J957" s="7"/>
    </row>
    <row r="958" spans="8:10" x14ac:dyDescent="0.25">
      <c r="H958" s="7"/>
      <c r="I958" s="7"/>
      <c r="J958" s="7"/>
    </row>
    <row r="959" spans="8:10" x14ac:dyDescent="0.25">
      <c r="H959" s="7"/>
      <c r="I959" s="7"/>
      <c r="J959" s="7"/>
    </row>
    <row r="960" spans="8:10" x14ac:dyDescent="0.25">
      <c r="H960" s="7"/>
      <c r="I960" s="7"/>
      <c r="J960" s="7"/>
    </row>
    <row r="961" spans="8:10" x14ac:dyDescent="0.25">
      <c r="H961" s="7"/>
      <c r="I961" s="7"/>
      <c r="J961" s="7"/>
    </row>
    <row r="962" spans="8:10" x14ac:dyDescent="0.25">
      <c r="H962" s="7"/>
      <c r="I962" s="7"/>
      <c r="J962" s="7"/>
    </row>
    <row r="963" spans="8:10" x14ac:dyDescent="0.25">
      <c r="H963" s="7"/>
      <c r="I963" s="7"/>
      <c r="J963" s="7"/>
    </row>
    <row r="964" spans="8:10" x14ac:dyDescent="0.25">
      <c r="H964" s="7"/>
      <c r="I964" s="7"/>
      <c r="J964" s="7"/>
    </row>
    <row r="965" spans="8:10" x14ac:dyDescent="0.25">
      <c r="H965" s="7"/>
      <c r="I965" s="7"/>
      <c r="J965" s="7"/>
    </row>
    <row r="966" spans="8:10" x14ac:dyDescent="0.25">
      <c r="H966" s="7"/>
      <c r="I966" s="7"/>
      <c r="J966" s="7"/>
    </row>
    <row r="967" spans="8:10" x14ac:dyDescent="0.25">
      <c r="H967" s="7"/>
      <c r="I967" s="7"/>
      <c r="J967" s="7"/>
    </row>
    <row r="968" spans="8:10" x14ac:dyDescent="0.25">
      <c r="H968" s="7"/>
      <c r="I968" s="7"/>
      <c r="J968" s="7"/>
    </row>
    <row r="969" spans="8:10" x14ac:dyDescent="0.25">
      <c r="H969" s="7"/>
      <c r="I969" s="7"/>
      <c r="J969" s="7"/>
    </row>
    <row r="970" spans="8:10" x14ac:dyDescent="0.25">
      <c r="H970" s="7"/>
      <c r="I970" s="7"/>
      <c r="J970" s="7"/>
    </row>
    <row r="971" spans="8:10" x14ac:dyDescent="0.25">
      <c r="H971" s="7"/>
      <c r="I971" s="7"/>
      <c r="J971" s="7"/>
    </row>
    <row r="972" spans="8:10" x14ac:dyDescent="0.25">
      <c r="H972" s="7"/>
      <c r="I972" s="7"/>
      <c r="J972" s="7"/>
    </row>
    <row r="973" spans="8:10" x14ac:dyDescent="0.25">
      <c r="H973" s="7"/>
      <c r="I973" s="7"/>
      <c r="J973" s="7"/>
    </row>
    <row r="974" spans="8:10" x14ac:dyDescent="0.25">
      <c r="H974" s="7"/>
      <c r="I974" s="7"/>
      <c r="J974" s="7"/>
    </row>
    <row r="975" spans="8:10" x14ac:dyDescent="0.25">
      <c r="H975" s="7"/>
      <c r="I975" s="7"/>
      <c r="J975" s="7"/>
    </row>
    <row r="976" spans="8:10" x14ac:dyDescent="0.25">
      <c r="H976" s="7"/>
      <c r="I976" s="7"/>
      <c r="J976" s="7"/>
    </row>
    <row r="977" spans="8:10" x14ac:dyDescent="0.25">
      <c r="H977" s="7"/>
      <c r="I977" s="7"/>
      <c r="J977" s="7"/>
    </row>
    <row r="978" spans="8:10" x14ac:dyDescent="0.25">
      <c r="H978" s="7"/>
      <c r="I978" s="7"/>
      <c r="J978" s="7"/>
    </row>
    <row r="979" spans="8:10" x14ac:dyDescent="0.25">
      <c r="H979" s="7"/>
      <c r="I979" s="7"/>
      <c r="J979" s="7"/>
    </row>
    <row r="980" spans="8:10" x14ac:dyDescent="0.25">
      <c r="H980" s="7"/>
      <c r="I980" s="7"/>
      <c r="J980" s="7"/>
    </row>
    <row r="981" spans="8:10" x14ac:dyDescent="0.25">
      <c r="H981" s="7"/>
      <c r="I981" s="7"/>
      <c r="J981" s="7"/>
    </row>
    <row r="982" spans="8:10" x14ac:dyDescent="0.25">
      <c r="H982" s="7"/>
      <c r="I982" s="7"/>
      <c r="J982" s="7"/>
    </row>
    <row r="983" spans="8:10" x14ac:dyDescent="0.25">
      <c r="H983" s="7"/>
      <c r="I983" s="7"/>
      <c r="J983" s="7"/>
    </row>
    <row r="984" spans="8:10" x14ac:dyDescent="0.25">
      <c r="H984" s="7"/>
      <c r="I984" s="7"/>
      <c r="J984" s="7"/>
    </row>
    <row r="985" spans="8:10" x14ac:dyDescent="0.25">
      <c r="H985" s="7"/>
      <c r="I985" s="7"/>
      <c r="J985" s="7"/>
    </row>
    <row r="986" spans="8:10" x14ac:dyDescent="0.25">
      <c r="H986" s="7"/>
      <c r="I986" s="7"/>
      <c r="J986" s="7"/>
    </row>
    <row r="987" spans="8:10" x14ac:dyDescent="0.25">
      <c r="H987" s="7"/>
      <c r="I987" s="7"/>
      <c r="J987" s="7"/>
    </row>
    <row r="988" spans="8:10" x14ac:dyDescent="0.25">
      <c r="H988" s="7"/>
      <c r="I988" s="7"/>
      <c r="J988" s="7"/>
    </row>
    <row r="989" spans="8:10" x14ac:dyDescent="0.25">
      <c r="H989" s="7"/>
      <c r="I989" s="7"/>
      <c r="J989" s="7"/>
    </row>
    <row r="990" spans="8:10" x14ac:dyDescent="0.25">
      <c r="H990" s="7"/>
      <c r="I990" s="7"/>
      <c r="J990" s="7"/>
    </row>
    <row r="991" spans="8:10" x14ac:dyDescent="0.25">
      <c r="H991" s="7"/>
      <c r="I991" s="7"/>
      <c r="J991" s="7"/>
    </row>
    <row r="992" spans="8:10" x14ac:dyDescent="0.25">
      <c r="H992" s="7"/>
      <c r="I992" s="7"/>
      <c r="J992" s="7"/>
    </row>
    <row r="993" spans="8:10" x14ac:dyDescent="0.25">
      <c r="H993" s="7"/>
      <c r="I993" s="7"/>
      <c r="J993" s="7"/>
    </row>
    <row r="994" spans="8:10" x14ac:dyDescent="0.25">
      <c r="H994" s="7"/>
      <c r="I994" s="7"/>
      <c r="J994" s="7"/>
    </row>
    <row r="995" spans="8:10" x14ac:dyDescent="0.25">
      <c r="H995" s="7"/>
      <c r="I995" s="7"/>
      <c r="J995" s="7"/>
    </row>
    <row r="996" spans="8:10" x14ac:dyDescent="0.25">
      <c r="H996" s="7"/>
      <c r="I996" s="7"/>
      <c r="J996" s="7"/>
    </row>
    <row r="997" spans="8:10" x14ac:dyDescent="0.25">
      <c r="H997" s="7"/>
      <c r="I997" s="7"/>
      <c r="J997" s="7"/>
    </row>
    <row r="998" spans="8:10" x14ac:dyDescent="0.25">
      <c r="H998" s="7"/>
      <c r="I998" s="7"/>
      <c r="J998" s="7"/>
    </row>
    <row r="999" spans="8:10" x14ac:dyDescent="0.25">
      <c r="H999" s="7"/>
      <c r="I999" s="7"/>
      <c r="J999" s="7"/>
    </row>
    <row r="1000" spans="8:10" x14ac:dyDescent="0.25">
      <c r="H1000" s="7"/>
      <c r="I1000" s="7"/>
      <c r="J1000" s="7"/>
    </row>
    <row r="1001" spans="8:10" x14ac:dyDescent="0.25">
      <c r="H1001" s="7"/>
      <c r="I1001" s="7"/>
      <c r="J1001" s="7"/>
    </row>
    <row r="1002" spans="8:10" x14ac:dyDescent="0.25">
      <c r="H1002" s="7"/>
      <c r="I1002" s="7"/>
      <c r="J1002" s="7"/>
    </row>
    <row r="1003" spans="8:10" x14ac:dyDescent="0.25">
      <c r="H1003" s="7"/>
      <c r="I1003" s="7"/>
      <c r="J1003" s="7"/>
    </row>
    <row r="1004" spans="8:10" x14ac:dyDescent="0.25">
      <c r="H1004" s="7"/>
      <c r="I1004" s="7"/>
      <c r="J1004" s="7"/>
    </row>
    <row r="1005" spans="8:10" x14ac:dyDescent="0.25">
      <c r="H1005" s="7"/>
      <c r="I1005" s="7"/>
      <c r="J1005" s="7"/>
    </row>
    <row r="1006" spans="8:10" x14ac:dyDescent="0.25">
      <c r="H1006" s="7"/>
      <c r="I1006" s="7"/>
      <c r="J1006" s="7"/>
    </row>
    <row r="1007" spans="8:10" x14ac:dyDescent="0.25">
      <c r="H1007" s="7"/>
      <c r="I1007" s="7"/>
      <c r="J1007" s="7"/>
    </row>
    <row r="1008" spans="8:10" x14ac:dyDescent="0.25">
      <c r="H1008" s="7"/>
      <c r="I1008" s="7"/>
      <c r="J1008" s="7"/>
    </row>
    <row r="1009" spans="8:10" x14ac:dyDescent="0.25">
      <c r="H1009" s="7"/>
      <c r="I1009" s="7"/>
      <c r="J1009" s="7"/>
    </row>
    <row r="1010" spans="8:10" x14ac:dyDescent="0.25">
      <c r="H1010" s="7"/>
      <c r="I1010" s="7"/>
      <c r="J1010" s="7"/>
    </row>
    <row r="1011" spans="8:10" x14ac:dyDescent="0.25">
      <c r="H1011" s="7"/>
      <c r="I1011" s="7"/>
      <c r="J1011" s="7"/>
    </row>
    <row r="1012" spans="8:10" x14ac:dyDescent="0.25">
      <c r="H1012" s="7"/>
      <c r="I1012" s="7"/>
      <c r="J1012" s="7"/>
    </row>
    <row r="1013" spans="8:10" x14ac:dyDescent="0.25">
      <c r="H1013" s="7"/>
      <c r="I1013" s="7"/>
      <c r="J1013" s="7"/>
    </row>
    <row r="1014" spans="8:10" x14ac:dyDescent="0.25">
      <c r="H1014" s="7"/>
      <c r="I1014" s="7"/>
      <c r="J1014" s="7"/>
    </row>
    <row r="1015" spans="8:10" x14ac:dyDescent="0.25">
      <c r="H1015" s="7"/>
      <c r="I1015" s="7"/>
      <c r="J1015" s="7"/>
    </row>
    <row r="1016" spans="8:10" x14ac:dyDescent="0.25">
      <c r="H1016" s="7"/>
      <c r="I1016" s="7"/>
      <c r="J1016" s="7"/>
    </row>
    <row r="1017" spans="8:10" x14ac:dyDescent="0.25">
      <c r="H1017" s="7"/>
      <c r="I1017" s="7"/>
      <c r="J1017" s="7"/>
    </row>
    <row r="1018" spans="8:10" x14ac:dyDescent="0.25">
      <c r="H1018" s="7"/>
      <c r="I1018" s="7"/>
      <c r="J1018" s="7"/>
    </row>
    <row r="1019" spans="8:10" x14ac:dyDescent="0.25">
      <c r="H1019" s="7"/>
      <c r="I1019" s="7"/>
      <c r="J1019" s="7"/>
    </row>
    <row r="1020" spans="8:10" x14ac:dyDescent="0.25">
      <c r="H1020" s="7"/>
      <c r="I1020" s="7"/>
      <c r="J1020" s="7"/>
    </row>
    <row r="1021" spans="8:10" x14ac:dyDescent="0.25">
      <c r="H1021" s="7"/>
      <c r="I1021" s="7"/>
      <c r="J1021" s="7"/>
    </row>
    <row r="1022" spans="8:10" x14ac:dyDescent="0.25">
      <c r="H1022" s="7"/>
      <c r="I1022" s="7"/>
      <c r="J1022" s="7"/>
    </row>
    <row r="1023" spans="8:10" x14ac:dyDescent="0.25">
      <c r="H1023" s="7"/>
      <c r="I1023" s="7"/>
      <c r="J1023" s="7"/>
    </row>
    <row r="1024" spans="8:10" x14ac:dyDescent="0.25">
      <c r="H1024" s="7"/>
      <c r="I1024" s="7"/>
      <c r="J1024" s="7"/>
    </row>
    <row r="1025" spans="8:10" x14ac:dyDescent="0.25">
      <c r="H1025" s="7"/>
      <c r="I1025" s="7"/>
      <c r="J1025" s="7"/>
    </row>
    <row r="1026" spans="8:10" x14ac:dyDescent="0.25">
      <c r="H1026" s="7"/>
      <c r="I1026" s="7"/>
      <c r="J1026" s="7"/>
    </row>
    <row r="1027" spans="8:10" x14ac:dyDescent="0.25">
      <c r="H1027" s="7"/>
      <c r="I1027" s="7"/>
      <c r="J1027" s="7"/>
    </row>
    <row r="1028" spans="8:10" x14ac:dyDescent="0.25">
      <c r="H1028" s="7"/>
      <c r="I1028" s="7"/>
      <c r="J1028" s="7"/>
    </row>
    <row r="1029" spans="8:10" x14ac:dyDescent="0.25">
      <c r="H1029" s="7"/>
      <c r="I1029" s="7"/>
      <c r="J1029" s="7"/>
    </row>
    <row r="1030" spans="8:10" x14ac:dyDescent="0.25">
      <c r="H1030" s="7"/>
      <c r="I1030" s="7"/>
      <c r="J1030" s="7"/>
    </row>
    <row r="1031" spans="8:10" x14ac:dyDescent="0.25">
      <c r="H1031" s="7"/>
      <c r="I1031" s="7"/>
      <c r="J1031" s="7"/>
    </row>
    <row r="1032" spans="8:10" x14ac:dyDescent="0.25">
      <c r="H1032" s="7"/>
      <c r="I1032" s="7"/>
      <c r="J1032" s="7"/>
    </row>
    <row r="1033" spans="8:10" x14ac:dyDescent="0.25">
      <c r="H1033" s="7"/>
      <c r="I1033" s="7"/>
      <c r="J1033" s="7"/>
    </row>
    <row r="1034" spans="8:10" x14ac:dyDescent="0.25">
      <c r="H1034" s="7"/>
      <c r="I1034" s="7"/>
      <c r="J1034" s="7"/>
    </row>
    <row r="1035" spans="8:10" x14ac:dyDescent="0.25">
      <c r="H1035" s="7"/>
      <c r="I1035" s="7"/>
      <c r="J1035" s="7"/>
    </row>
    <row r="1036" spans="8:10" x14ac:dyDescent="0.25">
      <c r="H1036" s="7"/>
      <c r="I1036" s="7"/>
      <c r="J1036" s="7"/>
    </row>
    <row r="1037" spans="8:10" x14ac:dyDescent="0.25">
      <c r="H1037" s="7"/>
      <c r="I1037" s="7"/>
      <c r="J1037" s="7"/>
    </row>
    <row r="1038" spans="8:10" x14ac:dyDescent="0.25">
      <c r="H1038" s="7"/>
      <c r="I1038" s="7"/>
      <c r="J1038" s="7"/>
    </row>
    <row r="1039" spans="8:10" x14ac:dyDescent="0.25">
      <c r="H1039" s="7"/>
      <c r="I1039" s="7"/>
      <c r="J1039" s="7"/>
    </row>
    <row r="1040" spans="8:10" x14ac:dyDescent="0.25">
      <c r="H1040" s="7"/>
      <c r="I1040" s="7"/>
      <c r="J1040" s="7"/>
    </row>
    <row r="1041" spans="8:10" x14ac:dyDescent="0.25">
      <c r="H1041" s="7"/>
      <c r="I1041" s="7"/>
      <c r="J1041" s="7"/>
    </row>
    <row r="1042" spans="8:10" x14ac:dyDescent="0.25">
      <c r="H1042" s="7"/>
      <c r="I1042" s="7"/>
      <c r="J1042" s="7"/>
    </row>
    <row r="1043" spans="8:10" x14ac:dyDescent="0.25">
      <c r="H1043" s="7"/>
      <c r="I1043" s="7"/>
      <c r="J1043" s="7"/>
    </row>
    <row r="1044" spans="8:10" x14ac:dyDescent="0.25">
      <c r="H1044" s="7"/>
      <c r="I1044" s="7"/>
      <c r="J1044" s="7"/>
    </row>
    <row r="1045" spans="8:10" x14ac:dyDescent="0.25">
      <c r="H1045" s="7"/>
      <c r="I1045" s="7"/>
      <c r="J1045" s="7"/>
    </row>
    <row r="1046" spans="8:10" x14ac:dyDescent="0.25">
      <c r="H1046" s="7"/>
      <c r="I1046" s="7"/>
      <c r="J1046" s="7"/>
    </row>
    <row r="1047" spans="8:10" x14ac:dyDescent="0.25">
      <c r="H1047" s="7"/>
      <c r="I1047" s="7"/>
      <c r="J1047" s="7"/>
    </row>
    <row r="1048" spans="8:10" x14ac:dyDescent="0.25">
      <c r="H1048" s="7"/>
      <c r="I1048" s="7"/>
      <c r="J1048" s="7"/>
    </row>
    <row r="1049" spans="8:10" x14ac:dyDescent="0.25">
      <c r="H1049" s="7"/>
      <c r="I1049" s="7"/>
      <c r="J1049" s="7"/>
    </row>
    <row r="1050" spans="8:10" x14ac:dyDescent="0.25">
      <c r="H1050" s="7"/>
      <c r="I1050" s="7"/>
      <c r="J1050" s="7"/>
    </row>
    <row r="1051" spans="8:10" x14ac:dyDescent="0.25">
      <c r="H1051" s="7"/>
      <c r="I1051" s="7"/>
      <c r="J1051" s="7"/>
    </row>
    <row r="1052" spans="8:10" x14ac:dyDescent="0.25">
      <c r="H1052" s="7"/>
      <c r="I1052" s="7"/>
      <c r="J1052" s="7"/>
    </row>
    <row r="1053" spans="8:10" x14ac:dyDescent="0.25">
      <c r="H1053" s="7"/>
      <c r="I1053" s="7"/>
      <c r="J1053" s="7"/>
    </row>
    <row r="1054" spans="8:10" x14ac:dyDescent="0.25">
      <c r="H1054" s="7"/>
      <c r="I1054" s="7"/>
      <c r="J1054" s="7"/>
    </row>
    <row r="1055" spans="8:10" x14ac:dyDescent="0.25">
      <c r="H1055" s="7"/>
      <c r="I1055" s="7"/>
      <c r="J1055" s="7"/>
    </row>
    <row r="1056" spans="8:10" x14ac:dyDescent="0.25">
      <c r="H1056" s="7"/>
      <c r="I1056" s="7"/>
      <c r="J1056" s="7"/>
    </row>
    <row r="1057" spans="8:10" x14ac:dyDescent="0.25">
      <c r="H1057" s="7"/>
      <c r="I1057" s="7"/>
      <c r="J1057" s="7"/>
    </row>
    <row r="1058" spans="8:10" x14ac:dyDescent="0.25">
      <c r="H1058" s="7"/>
      <c r="I1058" s="7"/>
      <c r="J1058" s="7"/>
    </row>
    <row r="1059" spans="8:10" x14ac:dyDescent="0.25">
      <c r="H1059" s="7"/>
      <c r="I1059" s="7"/>
      <c r="J1059" s="7"/>
    </row>
    <row r="1060" spans="8:10" x14ac:dyDescent="0.25">
      <c r="H1060" s="7"/>
      <c r="I1060" s="7"/>
      <c r="J1060" s="7"/>
    </row>
    <row r="1061" spans="8:10" x14ac:dyDescent="0.25">
      <c r="H1061" s="7"/>
      <c r="I1061" s="7"/>
      <c r="J1061" s="7"/>
    </row>
    <row r="1062" spans="8:10" x14ac:dyDescent="0.25">
      <c r="H1062" s="7"/>
      <c r="I1062" s="7"/>
      <c r="J1062" s="7"/>
    </row>
    <row r="1063" spans="8:10" x14ac:dyDescent="0.25">
      <c r="H1063" s="7"/>
      <c r="I1063" s="7"/>
      <c r="J1063" s="7"/>
    </row>
    <row r="1064" spans="8:10" x14ac:dyDescent="0.25">
      <c r="H1064" s="7"/>
      <c r="I1064" s="7"/>
      <c r="J1064" s="7"/>
    </row>
    <row r="1065" spans="8:10" x14ac:dyDescent="0.25">
      <c r="H1065" s="7"/>
      <c r="I1065" s="7"/>
      <c r="J1065" s="7"/>
    </row>
    <row r="1066" spans="8:10" x14ac:dyDescent="0.25">
      <c r="H1066" s="7"/>
      <c r="I1066" s="7"/>
      <c r="J1066" s="7"/>
    </row>
    <row r="1067" spans="8:10" x14ac:dyDescent="0.25">
      <c r="H1067" s="7"/>
      <c r="I1067" s="7"/>
      <c r="J1067" s="7"/>
    </row>
    <row r="1068" spans="8:10" x14ac:dyDescent="0.25">
      <c r="H1068" s="7"/>
      <c r="I1068" s="7"/>
      <c r="J1068" s="7"/>
    </row>
    <row r="1069" spans="8:10" x14ac:dyDescent="0.25">
      <c r="H1069" s="7"/>
      <c r="I1069" s="7"/>
      <c r="J1069" s="7"/>
    </row>
    <row r="1070" spans="8:10" x14ac:dyDescent="0.25">
      <c r="H1070" s="7"/>
      <c r="I1070" s="7"/>
      <c r="J1070" s="7"/>
    </row>
    <row r="1071" spans="8:10" x14ac:dyDescent="0.25">
      <c r="H1071" s="7"/>
      <c r="I1071" s="7"/>
      <c r="J1071" s="7"/>
    </row>
    <row r="1072" spans="8:10" x14ac:dyDescent="0.25">
      <c r="H1072" s="7"/>
      <c r="I1072" s="7"/>
      <c r="J1072" s="7"/>
    </row>
    <row r="1073" spans="8:10" x14ac:dyDescent="0.25">
      <c r="H1073" s="7"/>
      <c r="I1073" s="7"/>
      <c r="J1073" s="7"/>
    </row>
    <row r="1074" spans="8:10" x14ac:dyDescent="0.25">
      <c r="H1074" s="7"/>
      <c r="I1074" s="7"/>
      <c r="J1074" s="7"/>
    </row>
    <row r="1075" spans="8:10" x14ac:dyDescent="0.25">
      <c r="H1075" s="7"/>
      <c r="I1075" s="7"/>
      <c r="J1075" s="7"/>
    </row>
    <row r="1076" spans="8:10" x14ac:dyDescent="0.25">
      <c r="H1076" s="7"/>
      <c r="I1076" s="7"/>
      <c r="J1076" s="7"/>
    </row>
    <row r="1077" spans="8:10" x14ac:dyDescent="0.25">
      <c r="H1077" s="7"/>
      <c r="I1077" s="7"/>
      <c r="J1077" s="7"/>
    </row>
    <row r="1078" spans="8:10" x14ac:dyDescent="0.25">
      <c r="H1078" s="7"/>
      <c r="I1078" s="7"/>
      <c r="J1078" s="7"/>
    </row>
    <row r="1079" spans="8:10" x14ac:dyDescent="0.25">
      <c r="H1079" s="7"/>
      <c r="I1079" s="7"/>
      <c r="J1079" s="7"/>
    </row>
    <row r="1080" spans="8:10" x14ac:dyDescent="0.25">
      <c r="H1080" s="7"/>
      <c r="I1080" s="7"/>
      <c r="J1080" s="7"/>
    </row>
    <row r="1081" spans="8:10" x14ac:dyDescent="0.25">
      <c r="H1081" s="7"/>
      <c r="I1081" s="7"/>
      <c r="J1081" s="7"/>
    </row>
    <row r="1082" spans="8:10" x14ac:dyDescent="0.25">
      <c r="H1082" s="7"/>
      <c r="I1082" s="7"/>
      <c r="J1082" s="7"/>
    </row>
    <row r="1083" spans="8:10" x14ac:dyDescent="0.25">
      <c r="H1083" s="7"/>
      <c r="I1083" s="7"/>
      <c r="J1083" s="7"/>
    </row>
    <row r="1084" spans="8:10" x14ac:dyDescent="0.25">
      <c r="H1084" s="7"/>
      <c r="I1084" s="7"/>
      <c r="J1084" s="7"/>
    </row>
    <row r="1085" spans="8:10" x14ac:dyDescent="0.25">
      <c r="H1085" s="7"/>
      <c r="I1085" s="7"/>
      <c r="J1085" s="7"/>
    </row>
    <row r="1086" spans="8:10" x14ac:dyDescent="0.25">
      <c r="H1086" s="7"/>
      <c r="I1086" s="7"/>
      <c r="J1086" s="7"/>
    </row>
    <row r="1087" spans="8:10" x14ac:dyDescent="0.25">
      <c r="H1087" s="7"/>
      <c r="I1087" s="7"/>
      <c r="J1087" s="7"/>
    </row>
    <row r="1088" spans="8:10" x14ac:dyDescent="0.25">
      <c r="H1088" s="7"/>
      <c r="I1088" s="7"/>
      <c r="J1088" s="7"/>
    </row>
    <row r="1089" spans="8:10" x14ac:dyDescent="0.25">
      <c r="H1089" s="7"/>
      <c r="I1089" s="7"/>
      <c r="J1089" s="7"/>
    </row>
    <row r="1090" spans="8:10" x14ac:dyDescent="0.25">
      <c r="H1090" s="7"/>
      <c r="I1090" s="7"/>
      <c r="J1090" s="7"/>
    </row>
    <row r="1091" spans="8:10" x14ac:dyDescent="0.25">
      <c r="H1091" s="7"/>
      <c r="I1091" s="7"/>
      <c r="J1091" s="7"/>
    </row>
    <row r="1092" spans="8:10" x14ac:dyDescent="0.25">
      <c r="H1092" s="7"/>
      <c r="I1092" s="7"/>
      <c r="J1092" s="7"/>
    </row>
    <row r="1093" spans="8:10" x14ac:dyDescent="0.25">
      <c r="H1093" s="7"/>
      <c r="I1093" s="7"/>
      <c r="J1093" s="7"/>
    </row>
    <row r="1094" spans="8:10" x14ac:dyDescent="0.25">
      <c r="H1094" s="7"/>
      <c r="I1094" s="7"/>
      <c r="J1094" s="7"/>
    </row>
    <row r="1095" spans="8:10" x14ac:dyDescent="0.25">
      <c r="H1095" s="7"/>
      <c r="I1095" s="7"/>
      <c r="J1095" s="7"/>
    </row>
    <row r="1096" spans="8:10" x14ac:dyDescent="0.25">
      <c r="H1096" s="7"/>
      <c r="I1096" s="7"/>
      <c r="J1096" s="7"/>
    </row>
    <row r="1097" spans="8:10" x14ac:dyDescent="0.25">
      <c r="H1097" s="7"/>
      <c r="I1097" s="7"/>
      <c r="J1097" s="7"/>
    </row>
    <row r="1098" spans="8:10" x14ac:dyDescent="0.25">
      <c r="H1098" s="7"/>
      <c r="I1098" s="7"/>
      <c r="J1098" s="7"/>
    </row>
    <row r="1099" spans="8:10" x14ac:dyDescent="0.25">
      <c r="H1099" s="7"/>
      <c r="I1099" s="7"/>
      <c r="J1099" s="7"/>
    </row>
    <row r="1100" spans="8:10" x14ac:dyDescent="0.25">
      <c r="H1100" s="7"/>
      <c r="I1100" s="7"/>
      <c r="J1100" s="7"/>
    </row>
    <row r="1101" spans="8:10" x14ac:dyDescent="0.25">
      <c r="H1101" s="7"/>
      <c r="I1101" s="7"/>
      <c r="J1101" s="7"/>
    </row>
    <row r="1102" spans="8:10" x14ac:dyDescent="0.25">
      <c r="H1102" s="7"/>
      <c r="I1102" s="7"/>
      <c r="J1102" s="7"/>
    </row>
    <row r="1103" spans="8:10" x14ac:dyDescent="0.25">
      <c r="H1103" s="7"/>
      <c r="I1103" s="7"/>
      <c r="J1103" s="7"/>
    </row>
    <row r="1104" spans="8:10" x14ac:dyDescent="0.25">
      <c r="H1104" s="7"/>
      <c r="I1104" s="7"/>
      <c r="J1104" s="7"/>
    </row>
    <row r="1105" spans="8:10" x14ac:dyDescent="0.25">
      <c r="H1105" s="7"/>
      <c r="I1105" s="7"/>
      <c r="J1105" s="7"/>
    </row>
    <row r="1106" spans="8:10" x14ac:dyDescent="0.25">
      <c r="H1106" s="7"/>
      <c r="I1106" s="7"/>
      <c r="J1106" s="7"/>
    </row>
    <row r="1107" spans="8:10" x14ac:dyDescent="0.25">
      <c r="H1107" s="7"/>
      <c r="I1107" s="7"/>
      <c r="J1107" s="7"/>
    </row>
    <row r="1108" spans="8:10" x14ac:dyDescent="0.25">
      <c r="H1108" s="7"/>
      <c r="I1108" s="7"/>
      <c r="J1108" s="7"/>
    </row>
    <row r="1109" spans="8:10" x14ac:dyDescent="0.25">
      <c r="H1109" s="7"/>
      <c r="I1109" s="7"/>
      <c r="J1109" s="7"/>
    </row>
    <row r="1110" spans="8:10" x14ac:dyDescent="0.25">
      <c r="H1110" s="7"/>
      <c r="I1110" s="7"/>
      <c r="J1110" s="7"/>
    </row>
    <row r="1111" spans="8:10" x14ac:dyDescent="0.25">
      <c r="H1111" s="7"/>
      <c r="I1111" s="7"/>
      <c r="J1111" s="7"/>
    </row>
    <row r="1112" spans="8:10" x14ac:dyDescent="0.25">
      <c r="H1112" s="7"/>
      <c r="I1112" s="7"/>
      <c r="J1112" s="7"/>
    </row>
    <row r="1113" spans="8:10" x14ac:dyDescent="0.25">
      <c r="H1113" s="7"/>
      <c r="I1113" s="7"/>
      <c r="J1113" s="7"/>
    </row>
    <row r="1114" spans="8:10" x14ac:dyDescent="0.25">
      <c r="H1114" s="7"/>
      <c r="I1114" s="7"/>
      <c r="J1114" s="7"/>
    </row>
    <row r="1115" spans="8:10" x14ac:dyDescent="0.25">
      <c r="H1115" s="7"/>
      <c r="I1115" s="7"/>
      <c r="J1115" s="7"/>
    </row>
    <row r="1116" spans="8:10" x14ac:dyDescent="0.25">
      <c r="H1116" s="7"/>
      <c r="I1116" s="7"/>
      <c r="J1116" s="7"/>
    </row>
    <row r="1117" spans="8:10" x14ac:dyDescent="0.25">
      <c r="H1117" s="7"/>
      <c r="I1117" s="7"/>
      <c r="J1117" s="7"/>
    </row>
    <row r="1118" spans="8:10" x14ac:dyDescent="0.25">
      <c r="H1118" s="7"/>
      <c r="I1118" s="7"/>
      <c r="J1118" s="7"/>
    </row>
    <row r="1119" spans="8:10" x14ac:dyDescent="0.25">
      <c r="H1119" s="7"/>
      <c r="I1119" s="7"/>
      <c r="J1119" s="7"/>
    </row>
    <row r="1120" spans="8:10" x14ac:dyDescent="0.25">
      <c r="H1120" s="7"/>
      <c r="I1120" s="7"/>
      <c r="J1120" s="7"/>
    </row>
    <row r="1121" spans="8:10" x14ac:dyDescent="0.25">
      <c r="H1121" s="7"/>
      <c r="I1121" s="7"/>
      <c r="J1121" s="7"/>
    </row>
    <row r="1122" spans="8:10" x14ac:dyDescent="0.25">
      <c r="H1122" s="7"/>
      <c r="I1122" s="7"/>
      <c r="J1122" s="7"/>
    </row>
    <row r="1123" spans="8:10" x14ac:dyDescent="0.25">
      <c r="H1123" s="7"/>
      <c r="I1123" s="7"/>
      <c r="J1123" s="7"/>
    </row>
    <row r="1124" spans="8:10" x14ac:dyDescent="0.25">
      <c r="H1124" s="7"/>
      <c r="I1124" s="7"/>
      <c r="J1124" s="7"/>
    </row>
    <row r="1125" spans="8:10" x14ac:dyDescent="0.25">
      <c r="H1125" s="7"/>
      <c r="I1125" s="7"/>
      <c r="J1125" s="7"/>
    </row>
    <row r="1126" spans="8:10" x14ac:dyDescent="0.25">
      <c r="H1126" s="7"/>
      <c r="I1126" s="7"/>
      <c r="J1126" s="7"/>
    </row>
    <row r="1127" spans="8:10" x14ac:dyDescent="0.25">
      <c r="H1127" s="7"/>
      <c r="I1127" s="7"/>
      <c r="J1127" s="7"/>
    </row>
    <row r="1128" spans="8:10" x14ac:dyDescent="0.25">
      <c r="H1128" s="7"/>
      <c r="I1128" s="7"/>
      <c r="J1128" s="7"/>
    </row>
    <row r="1129" spans="8:10" x14ac:dyDescent="0.25">
      <c r="H1129" s="7"/>
      <c r="I1129" s="7"/>
      <c r="J1129" s="7"/>
    </row>
    <row r="1130" spans="8:10" x14ac:dyDescent="0.25">
      <c r="H1130" s="7"/>
      <c r="I1130" s="7"/>
      <c r="J1130" s="7"/>
    </row>
    <row r="1131" spans="8:10" x14ac:dyDescent="0.25">
      <c r="H1131" s="7"/>
      <c r="I1131" s="7"/>
      <c r="J1131" s="7"/>
    </row>
    <row r="1132" spans="8:10" x14ac:dyDescent="0.25">
      <c r="H1132" s="7"/>
      <c r="I1132" s="7"/>
      <c r="J1132" s="7"/>
    </row>
    <row r="1133" spans="8:10" x14ac:dyDescent="0.25">
      <c r="H1133" s="7"/>
      <c r="I1133" s="7"/>
      <c r="J1133" s="7"/>
    </row>
    <row r="1134" spans="8:10" x14ac:dyDescent="0.25">
      <c r="H1134" s="7"/>
      <c r="I1134" s="7"/>
      <c r="J1134" s="7"/>
    </row>
    <row r="1135" spans="8:10" x14ac:dyDescent="0.25">
      <c r="H1135" s="7"/>
      <c r="I1135" s="7"/>
      <c r="J1135" s="7"/>
    </row>
    <row r="1136" spans="8:10" x14ac:dyDescent="0.25">
      <c r="H1136" s="7"/>
      <c r="I1136" s="7"/>
      <c r="J1136" s="7"/>
    </row>
    <row r="1137" spans="8:10" x14ac:dyDescent="0.25">
      <c r="H1137" s="7"/>
      <c r="I1137" s="7"/>
      <c r="J1137" s="7"/>
    </row>
    <row r="1138" spans="8:10" x14ac:dyDescent="0.25">
      <c r="H1138" s="7"/>
      <c r="I1138" s="7"/>
      <c r="J1138" s="7"/>
    </row>
    <row r="1139" spans="8:10" x14ac:dyDescent="0.25">
      <c r="H1139" s="7"/>
      <c r="I1139" s="7"/>
      <c r="J1139" s="7"/>
    </row>
    <row r="1140" spans="8:10" x14ac:dyDescent="0.25">
      <c r="H1140" s="7"/>
      <c r="I1140" s="7"/>
      <c r="J1140" s="7"/>
    </row>
    <row r="1141" spans="8:10" x14ac:dyDescent="0.25">
      <c r="H1141" s="7"/>
      <c r="I1141" s="7"/>
      <c r="J1141" s="7"/>
    </row>
    <row r="1142" spans="8:10" x14ac:dyDescent="0.25">
      <c r="H1142" s="7"/>
      <c r="I1142" s="7"/>
      <c r="J1142" s="7"/>
    </row>
    <row r="1143" spans="8:10" x14ac:dyDescent="0.25">
      <c r="H1143" s="7"/>
      <c r="I1143" s="7"/>
      <c r="J1143" s="7"/>
    </row>
    <row r="1144" spans="8:10" x14ac:dyDescent="0.25">
      <c r="H1144" s="7"/>
      <c r="I1144" s="7"/>
      <c r="J1144" s="7"/>
    </row>
    <row r="1145" spans="8:10" x14ac:dyDescent="0.25">
      <c r="H1145" s="7"/>
      <c r="I1145" s="7"/>
      <c r="J1145" s="7"/>
    </row>
    <row r="1146" spans="8:10" x14ac:dyDescent="0.25">
      <c r="H1146" s="7"/>
      <c r="I1146" s="7"/>
      <c r="J1146" s="7"/>
    </row>
    <row r="1147" spans="8:10" x14ac:dyDescent="0.25">
      <c r="H1147" s="7"/>
      <c r="I1147" s="7"/>
      <c r="J1147" s="7"/>
    </row>
    <row r="1148" spans="8:10" x14ac:dyDescent="0.25">
      <c r="H1148" s="7"/>
      <c r="I1148" s="7"/>
      <c r="J1148" s="7"/>
    </row>
    <row r="1149" spans="8:10" x14ac:dyDescent="0.25">
      <c r="H1149" s="7"/>
      <c r="I1149" s="7"/>
      <c r="J1149" s="7"/>
    </row>
    <row r="1150" spans="8:10" x14ac:dyDescent="0.25">
      <c r="H1150" s="7"/>
      <c r="I1150" s="7"/>
      <c r="J1150" s="7"/>
    </row>
    <row r="1151" spans="8:10" x14ac:dyDescent="0.25">
      <c r="H1151" s="7"/>
      <c r="I1151" s="7"/>
      <c r="J1151" s="7"/>
    </row>
    <row r="1152" spans="8:10" x14ac:dyDescent="0.25">
      <c r="H1152" s="7"/>
      <c r="I1152" s="7"/>
      <c r="J1152" s="7"/>
    </row>
    <row r="1153" spans="8:10" x14ac:dyDescent="0.25">
      <c r="H1153" s="7"/>
      <c r="I1153" s="7"/>
      <c r="J1153" s="7"/>
    </row>
    <row r="1154" spans="8:10" x14ac:dyDescent="0.25">
      <c r="H1154" s="7"/>
      <c r="I1154" s="7"/>
      <c r="J1154" s="7"/>
    </row>
    <row r="1155" spans="8:10" x14ac:dyDescent="0.25">
      <c r="H1155" s="7"/>
      <c r="I1155" s="7"/>
      <c r="J1155" s="7"/>
    </row>
    <row r="1156" spans="8:10" x14ac:dyDescent="0.25">
      <c r="H1156" s="7"/>
      <c r="I1156" s="7"/>
      <c r="J1156" s="7"/>
    </row>
    <row r="1157" spans="8:10" x14ac:dyDescent="0.25">
      <c r="H1157" s="7"/>
      <c r="I1157" s="7"/>
      <c r="J1157" s="7"/>
    </row>
    <row r="1158" spans="8:10" x14ac:dyDescent="0.25">
      <c r="H1158" s="7"/>
      <c r="I1158" s="7"/>
      <c r="J1158" s="7"/>
    </row>
    <row r="1159" spans="8:10" x14ac:dyDescent="0.25">
      <c r="H1159" s="7"/>
      <c r="I1159" s="7"/>
      <c r="J1159" s="7"/>
    </row>
    <row r="1160" spans="8:10" x14ac:dyDescent="0.25">
      <c r="H1160" s="7"/>
      <c r="I1160" s="7"/>
      <c r="J1160" s="7"/>
    </row>
    <row r="1161" spans="8:10" x14ac:dyDescent="0.25">
      <c r="H1161" s="7"/>
      <c r="I1161" s="7"/>
      <c r="J1161" s="7"/>
    </row>
    <row r="1162" spans="8:10" x14ac:dyDescent="0.25">
      <c r="H1162" s="7"/>
      <c r="I1162" s="7"/>
      <c r="J1162" s="7"/>
    </row>
    <row r="1163" spans="8:10" x14ac:dyDescent="0.25">
      <c r="H1163" s="7"/>
      <c r="I1163" s="7"/>
      <c r="J1163" s="7"/>
    </row>
    <row r="1164" spans="8:10" x14ac:dyDescent="0.25">
      <c r="H1164" s="7"/>
      <c r="I1164" s="7"/>
      <c r="J1164" s="7"/>
    </row>
    <row r="1165" spans="8:10" x14ac:dyDescent="0.25">
      <c r="H1165" s="7"/>
      <c r="I1165" s="7"/>
      <c r="J1165" s="7"/>
    </row>
    <row r="1166" spans="8:10" x14ac:dyDescent="0.25">
      <c r="H1166" s="7"/>
      <c r="I1166" s="7"/>
      <c r="J1166" s="7"/>
    </row>
    <row r="1167" spans="8:10" x14ac:dyDescent="0.25">
      <c r="H1167" s="7"/>
      <c r="I1167" s="7"/>
      <c r="J1167" s="7"/>
    </row>
    <row r="1168" spans="8:10" x14ac:dyDescent="0.25">
      <c r="H1168" s="7"/>
      <c r="I1168" s="7"/>
      <c r="J1168" s="7"/>
    </row>
    <row r="1169" spans="8:10" x14ac:dyDescent="0.25">
      <c r="H1169" s="7"/>
      <c r="I1169" s="7"/>
      <c r="J1169" s="7"/>
    </row>
    <row r="1170" spans="8:10" x14ac:dyDescent="0.25">
      <c r="H1170" s="7"/>
      <c r="I1170" s="7"/>
      <c r="J1170" s="7"/>
    </row>
    <row r="1171" spans="8:10" x14ac:dyDescent="0.25">
      <c r="H1171" s="7"/>
      <c r="I1171" s="7"/>
      <c r="J1171" s="7"/>
    </row>
    <row r="1172" spans="8:10" x14ac:dyDescent="0.25">
      <c r="H1172" s="7"/>
      <c r="I1172" s="7"/>
      <c r="J1172" s="7"/>
    </row>
    <row r="1173" spans="8:10" x14ac:dyDescent="0.25">
      <c r="H1173" s="7"/>
      <c r="I1173" s="7"/>
      <c r="J1173" s="7"/>
    </row>
    <row r="1174" spans="8:10" x14ac:dyDescent="0.25">
      <c r="H1174" s="7"/>
      <c r="I1174" s="7"/>
      <c r="J1174" s="7"/>
    </row>
    <row r="1175" spans="8:10" x14ac:dyDescent="0.25">
      <c r="H1175" s="7"/>
      <c r="I1175" s="7"/>
      <c r="J1175" s="7"/>
    </row>
    <row r="1176" spans="8:10" x14ac:dyDescent="0.25">
      <c r="H1176" s="7"/>
      <c r="I1176" s="7"/>
      <c r="J1176" s="7"/>
    </row>
    <row r="1177" spans="8:10" x14ac:dyDescent="0.25">
      <c r="H1177" s="7"/>
      <c r="I1177" s="7"/>
      <c r="J1177" s="7"/>
    </row>
    <row r="1178" spans="8:10" x14ac:dyDescent="0.25">
      <c r="H1178" s="7"/>
      <c r="I1178" s="7"/>
      <c r="J1178" s="7"/>
    </row>
    <row r="1179" spans="8:10" x14ac:dyDescent="0.25">
      <c r="H1179" s="7"/>
      <c r="I1179" s="7"/>
      <c r="J1179" s="7"/>
    </row>
    <row r="1180" spans="8:10" x14ac:dyDescent="0.25">
      <c r="H1180" s="7"/>
      <c r="I1180" s="7"/>
      <c r="J1180" s="7"/>
    </row>
    <row r="1181" spans="8:10" x14ac:dyDescent="0.25">
      <c r="H1181" s="7"/>
      <c r="I1181" s="7"/>
      <c r="J1181" s="7"/>
    </row>
    <row r="1182" spans="8:10" x14ac:dyDescent="0.25">
      <c r="H1182" s="7"/>
      <c r="I1182" s="7"/>
      <c r="J1182" s="7"/>
    </row>
    <row r="1183" spans="8:10" x14ac:dyDescent="0.25">
      <c r="H1183" s="7"/>
      <c r="I1183" s="7"/>
      <c r="J1183" s="7"/>
    </row>
    <row r="1184" spans="8:10" x14ac:dyDescent="0.25">
      <c r="H1184" s="7"/>
      <c r="I1184" s="7"/>
      <c r="J1184" s="7"/>
    </row>
    <row r="1185" spans="8:10" x14ac:dyDescent="0.25">
      <c r="H1185" s="7"/>
      <c r="I1185" s="7"/>
      <c r="J1185" s="7"/>
    </row>
    <row r="1186" spans="8:10" x14ac:dyDescent="0.25">
      <c r="H1186" s="7"/>
      <c r="I1186" s="7"/>
      <c r="J1186" s="7"/>
    </row>
    <row r="1187" spans="8:10" x14ac:dyDescent="0.25">
      <c r="H1187" s="7"/>
      <c r="I1187" s="7"/>
      <c r="J1187" s="7"/>
    </row>
    <row r="1188" spans="8:10" x14ac:dyDescent="0.25">
      <c r="H1188" s="7"/>
      <c r="I1188" s="7"/>
      <c r="J1188" s="7"/>
    </row>
    <row r="1189" spans="8:10" x14ac:dyDescent="0.25">
      <c r="H1189" s="7"/>
      <c r="I1189" s="7"/>
      <c r="J1189" s="7"/>
    </row>
    <row r="1190" spans="8:10" x14ac:dyDescent="0.25">
      <c r="H1190" s="7"/>
      <c r="I1190" s="7"/>
      <c r="J1190" s="7"/>
    </row>
    <row r="1191" spans="8:10" x14ac:dyDescent="0.25">
      <c r="H1191" s="7"/>
      <c r="I1191" s="7"/>
      <c r="J1191" s="7"/>
    </row>
    <row r="1192" spans="8:10" x14ac:dyDescent="0.25">
      <c r="H1192" s="7"/>
      <c r="I1192" s="7"/>
      <c r="J1192" s="7"/>
    </row>
    <row r="1193" spans="8:10" x14ac:dyDescent="0.25">
      <c r="H1193" s="7"/>
      <c r="I1193" s="7"/>
      <c r="J1193" s="7"/>
    </row>
    <row r="1194" spans="8:10" x14ac:dyDescent="0.25">
      <c r="H1194" s="7"/>
      <c r="I1194" s="7"/>
      <c r="J1194" s="7"/>
    </row>
    <row r="1195" spans="8:10" x14ac:dyDescent="0.25">
      <c r="H1195" s="7"/>
      <c r="I1195" s="7"/>
      <c r="J1195" s="7"/>
    </row>
    <row r="1196" spans="8:10" x14ac:dyDescent="0.25">
      <c r="H1196" s="7"/>
      <c r="I1196" s="7"/>
      <c r="J1196" s="7"/>
    </row>
    <row r="1197" spans="8:10" x14ac:dyDescent="0.25">
      <c r="H1197" s="7"/>
      <c r="I1197" s="7"/>
      <c r="J1197" s="7"/>
    </row>
    <row r="1198" spans="8:10" x14ac:dyDescent="0.25">
      <c r="H1198" s="7"/>
      <c r="I1198" s="7"/>
      <c r="J1198" s="7"/>
    </row>
    <row r="1199" spans="8:10" x14ac:dyDescent="0.25">
      <c r="H1199" s="7"/>
      <c r="I1199" s="7"/>
      <c r="J1199" s="7"/>
    </row>
    <row r="1200" spans="8:10" x14ac:dyDescent="0.25">
      <c r="H1200" s="7"/>
      <c r="I1200" s="7"/>
      <c r="J1200" s="7"/>
    </row>
    <row r="1201" spans="8:10" x14ac:dyDescent="0.25">
      <c r="H1201" s="7"/>
      <c r="I1201" s="7"/>
      <c r="J1201" s="7"/>
    </row>
    <row r="1202" spans="8:10" x14ac:dyDescent="0.25">
      <c r="H1202" s="7"/>
      <c r="I1202" s="7"/>
      <c r="J1202" s="7"/>
    </row>
    <row r="1203" spans="8:10" x14ac:dyDescent="0.25">
      <c r="H1203" s="7"/>
      <c r="I1203" s="7"/>
      <c r="J1203" s="7"/>
    </row>
    <row r="1204" spans="8:10" x14ac:dyDescent="0.25">
      <c r="H1204" s="7"/>
      <c r="I1204" s="7"/>
      <c r="J1204" s="7"/>
    </row>
    <row r="1205" spans="8:10" x14ac:dyDescent="0.25">
      <c r="H1205" s="7"/>
      <c r="I1205" s="7"/>
      <c r="J1205" s="7"/>
    </row>
    <row r="1206" spans="8:10" x14ac:dyDescent="0.25">
      <c r="H1206" s="7"/>
      <c r="I1206" s="7"/>
      <c r="J1206" s="7"/>
    </row>
    <row r="1207" spans="8:10" x14ac:dyDescent="0.25">
      <c r="H1207" s="7"/>
      <c r="I1207" s="7"/>
      <c r="J1207" s="7"/>
    </row>
    <row r="1208" spans="8:10" x14ac:dyDescent="0.25">
      <c r="H1208" s="7"/>
      <c r="I1208" s="7"/>
      <c r="J1208" s="7"/>
    </row>
    <row r="1209" spans="8:10" x14ac:dyDescent="0.25">
      <c r="H1209" s="7"/>
      <c r="I1209" s="7"/>
      <c r="J1209" s="7"/>
    </row>
    <row r="1210" spans="8:10" x14ac:dyDescent="0.25">
      <c r="H1210" s="7"/>
      <c r="I1210" s="7"/>
      <c r="J1210" s="7"/>
    </row>
    <row r="1211" spans="8:10" x14ac:dyDescent="0.25">
      <c r="H1211" s="7"/>
      <c r="I1211" s="7"/>
      <c r="J1211" s="7"/>
    </row>
    <row r="1212" spans="8:10" x14ac:dyDescent="0.25">
      <c r="H1212" s="7"/>
      <c r="I1212" s="7"/>
      <c r="J1212" s="7"/>
    </row>
    <row r="1213" spans="8:10" x14ac:dyDescent="0.25">
      <c r="H1213" s="7"/>
      <c r="I1213" s="7"/>
      <c r="J1213" s="7"/>
    </row>
    <row r="1214" spans="8:10" x14ac:dyDescent="0.25">
      <c r="H1214" s="7"/>
      <c r="I1214" s="7"/>
      <c r="J1214" s="7"/>
    </row>
    <row r="1215" spans="8:10" x14ac:dyDescent="0.25">
      <c r="H1215" s="7"/>
      <c r="I1215" s="7"/>
      <c r="J1215" s="7"/>
    </row>
    <row r="1216" spans="8:10" x14ac:dyDescent="0.25">
      <c r="H1216" s="7"/>
      <c r="I1216" s="7"/>
      <c r="J1216" s="7"/>
    </row>
    <row r="1217" spans="8:10" x14ac:dyDescent="0.25">
      <c r="H1217" s="7"/>
      <c r="I1217" s="7"/>
      <c r="J1217" s="7"/>
    </row>
    <row r="1218" spans="8:10" x14ac:dyDescent="0.25">
      <c r="H1218" s="7"/>
      <c r="I1218" s="7"/>
      <c r="J1218" s="7"/>
    </row>
    <row r="1219" spans="8:10" x14ac:dyDescent="0.25">
      <c r="H1219" s="7"/>
      <c r="I1219" s="7"/>
      <c r="J1219" s="7"/>
    </row>
    <row r="1220" spans="8:10" x14ac:dyDescent="0.25">
      <c r="H1220" s="7"/>
      <c r="I1220" s="7"/>
      <c r="J1220" s="7"/>
    </row>
    <row r="1221" spans="8:10" x14ac:dyDescent="0.25">
      <c r="H1221" s="7"/>
      <c r="I1221" s="7"/>
      <c r="J1221" s="7"/>
    </row>
    <row r="1222" spans="8:10" x14ac:dyDescent="0.25">
      <c r="H1222" s="7"/>
      <c r="I1222" s="7"/>
      <c r="J1222" s="7"/>
    </row>
    <row r="1223" spans="8:10" x14ac:dyDescent="0.25">
      <c r="H1223" s="7"/>
      <c r="I1223" s="7"/>
      <c r="J1223" s="7"/>
    </row>
    <row r="1224" spans="8:10" x14ac:dyDescent="0.25">
      <c r="H1224" s="7"/>
      <c r="I1224" s="7"/>
      <c r="J1224" s="7"/>
    </row>
    <row r="1225" spans="8:10" x14ac:dyDescent="0.25">
      <c r="H1225" s="7"/>
      <c r="I1225" s="7"/>
      <c r="J1225" s="7"/>
    </row>
    <row r="1226" spans="8:10" x14ac:dyDescent="0.25">
      <c r="H1226" s="7"/>
      <c r="I1226" s="7"/>
      <c r="J1226" s="7"/>
    </row>
    <row r="1227" spans="8:10" x14ac:dyDescent="0.25">
      <c r="H1227" s="7"/>
      <c r="I1227" s="7"/>
      <c r="J1227" s="7"/>
    </row>
    <row r="1228" spans="8:10" x14ac:dyDescent="0.25">
      <c r="H1228" s="7"/>
      <c r="I1228" s="7"/>
      <c r="J1228" s="7"/>
    </row>
    <row r="1229" spans="8:10" x14ac:dyDescent="0.25">
      <c r="H1229" s="7"/>
      <c r="I1229" s="7"/>
      <c r="J1229" s="7"/>
    </row>
    <row r="1230" spans="8:10" x14ac:dyDescent="0.25">
      <c r="H1230" s="7"/>
      <c r="I1230" s="7"/>
      <c r="J1230" s="7"/>
    </row>
    <row r="1231" spans="8:10" x14ac:dyDescent="0.25">
      <c r="H1231" s="7"/>
      <c r="I1231" s="7"/>
      <c r="J1231" s="7"/>
    </row>
    <row r="1232" spans="8:10" x14ac:dyDescent="0.25">
      <c r="H1232" s="7"/>
      <c r="I1232" s="7"/>
      <c r="J1232" s="7"/>
    </row>
    <row r="1233" spans="8:10" x14ac:dyDescent="0.25">
      <c r="H1233" s="7"/>
      <c r="I1233" s="7"/>
      <c r="J1233" s="7"/>
    </row>
    <row r="1234" spans="8:10" x14ac:dyDescent="0.25">
      <c r="H1234" s="7"/>
      <c r="I1234" s="7"/>
      <c r="J1234" s="7"/>
    </row>
    <row r="1235" spans="8:10" x14ac:dyDescent="0.25">
      <c r="H1235" s="7"/>
      <c r="I1235" s="7"/>
      <c r="J1235" s="7"/>
    </row>
    <row r="1236" spans="8:10" x14ac:dyDescent="0.25">
      <c r="H1236" s="7"/>
      <c r="I1236" s="7"/>
      <c r="J1236" s="7"/>
    </row>
    <row r="1237" spans="8:10" x14ac:dyDescent="0.25">
      <c r="H1237" s="7"/>
      <c r="I1237" s="7"/>
      <c r="J1237" s="7"/>
    </row>
    <row r="1238" spans="8:10" x14ac:dyDescent="0.25">
      <c r="H1238" s="7"/>
      <c r="I1238" s="7"/>
      <c r="J1238" s="7"/>
    </row>
    <row r="1239" spans="8:10" x14ac:dyDescent="0.25">
      <c r="H1239" s="7"/>
      <c r="I1239" s="7"/>
      <c r="J1239" s="7"/>
    </row>
    <row r="1240" spans="8:10" x14ac:dyDescent="0.25">
      <c r="H1240" s="7"/>
      <c r="I1240" s="7"/>
      <c r="J1240" s="7"/>
    </row>
    <row r="1241" spans="8:10" x14ac:dyDescent="0.25">
      <c r="H1241" s="7"/>
      <c r="I1241" s="7"/>
      <c r="J1241" s="7"/>
    </row>
    <row r="1242" spans="8:10" x14ac:dyDescent="0.25">
      <c r="H1242" s="7"/>
      <c r="I1242" s="7"/>
      <c r="J1242" s="7"/>
    </row>
    <row r="1243" spans="8:10" x14ac:dyDescent="0.25">
      <c r="H1243" s="7"/>
      <c r="I1243" s="7"/>
      <c r="J1243" s="7"/>
    </row>
    <row r="1244" spans="8:10" x14ac:dyDescent="0.25">
      <c r="H1244" s="7"/>
      <c r="I1244" s="7"/>
      <c r="J1244" s="7"/>
    </row>
    <row r="1245" spans="8:10" x14ac:dyDescent="0.25">
      <c r="H1245" s="7"/>
      <c r="I1245" s="7"/>
      <c r="J1245" s="7"/>
    </row>
    <row r="1246" spans="8:10" x14ac:dyDescent="0.25">
      <c r="H1246" s="7"/>
      <c r="I1246" s="7"/>
      <c r="J1246" s="7"/>
    </row>
    <row r="1247" spans="8:10" x14ac:dyDescent="0.25">
      <c r="H1247" s="7"/>
      <c r="I1247" s="7"/>
      <c r="J1247" s="7"/>
    </row>
    <row r="1248" spans="8:10" x14ac:dyDescent="0.25">
      <c r="H1248" s="7"/>
      <c r="I1248" s="7"/>
      <c r="J1248" s="7"/>
    </row>
    <row r="1249" spans="8:10" x14ac:dyDescent="0.25">
      <c r="H1249" s="7"/>
      <c r="I1249" s="7"/>
      <c r="J1249" s="7"/>
    </row>
    <row r="1250" spans="8:10" x14ac:dyDescent="0.25">
      <c r="H1250" s="7"/>
      <c r="I1250" s="7"/>
      <c r="J1250" s="7"/>
    </row>
    <row r="1251" spans="8:10" x14ac:dyDescent="0.25">
      <c r="H1251" s="7"/>
      <c r="I1251" s="7"/>
      <c r="J1251" s="7"/>
    </row>
    <row r="1252" spans="8:10" x14ac:dyDescent="0.25">
      <c r="H1252" s="7"/>
      <c r="I1252" s="7"/>
      <c r="J1252" s="7"/>
    </row>
    <row r="1253" spans="8:10" x14ac:dyDescent="0.25">
      <c r="H1253" s="7"/>
      <c r="I1253" s="7"/>
      <c r="J1253" s="7"/>
    </row>
    <row r="1254" spans="8:10" x14ac:dyDescent="0.25">
      <c r="H1254" s="7"/>
      <c r="I1254" s="7"/>
      <c r="J1254" s="7"/>
    </row>
    <row r="1255" spans="8:10" x14ac:dyDescent="0.25">
      <c r="H1255" s="7"/>
      <c r="I1255" s="7"/>
      <c r="J1255" s="7"/>
    </row>
    <row r="1256" spans="8:10" x14ac:dyDescent="0.25">
      <c r="H1256" s="7"/>
      <c r="I1256" s="7"/>
      <c r="J1256" s="7"/>
    </row>
    <row r="1257" spans="8:10" x14ac:dyDescent="0.25">
      <c r="H1257" s="7"/>
      <c r="I1257" s="7"/>
      <c r="J1257" s="7"/>
    </row>
    <row r="1258" spans="8:10" x14ac:dyDescent="0.25">
      <c r="H1258" s="7"/>
      <c r="I1258" s="7"/>
      <c r="J1258" s="7"/>
    </row>
    <row r="1259" spans="8:10" x14ac:dyDescent="0.25">
      <c r="H1259" s="7"/>
      <c r="I1259" s="7"/>
      <c r="J1259" s="7"/>
    </row>
    <row r="1260" spans="8:10" x14ac:dyDescent="0.25">
      <c r="H1260" s="7"/>
      <c r="I1260" s="7"/>
      <c r="J1260" s="7"/>
    </row>
    <row r="1261" spans="8:10" x14ac:dyDescent="0.25">
      <c r="H1261" s="7"/>
      <c r="I1261" s="7"/>
      <c r="J1261" s="7"/>
    </row>
    <row r="1262" spans="8:10" x14ac:dyDescent="0.25">
      <c r="H1262" s="7"/>
      <c r="I1262" s="7"/>
      <c r="J1262" s="7"/>
    </row>
    <row r="1263" spans="8:10" x14ac:dyDescent="0.25">
      <c r="H1263" s="7"/>
      <c r="I1263" s="7"/>
      <c r="J1263" s="7"/>
    </row>
    <row r="1264" spans="8:10" x14ac:dyDescent="0.25">
      <c r="H1264" s="7"/>
      <c r="I1264" s="7"/>
      <c r="J1264" s="7"/>
    </row>
    <row r="1265" spans="8:10" x14ac:dyDescent="0.25">
      <c r="H1265" s="7"/>
      <c r="I1265" s="7"/>
      <c r="J1265" s="7"/>
    </row>
    <row r="1266" spans="8:10" x14ac:dyDescent="0.25">
      <c r="H1266" s="7"/>
      <c r="I1266" s="7"/>
      <c r="J1266" s="7"/>
    </row>
    <row r="1267" spans="8:10" x14ac:dyDescent="0.25">
      <c r="H1267" s="7"/>
      <c r="I1267" s="7"/>
      <c r="J1267" s="7"/>
    </row>
    <row r="1268" spans="8:10" x14ac:dyDescent="0.25">
      <c r="H1268" s="7"/>
      <c r="I1268" s="7"/>
      <c r="J1268" s="7"/>
    </row>
    <row r="1269" spans="8:10" x14ac:dyDescent="0.25">
      <c r="H1269" s="7"/>
      <c r="I1269" s="7"/>
      <c r="J1269" s="7"/>
    </row>
    <row r="1270" spans="8:10" x14ac:dyDescent="0.25">
      <c r="H1270" s="7"/>
      <c r="I1270" s="7"/>
      <c r="J1270" s="7"/>
    </row>
    <row r="1271" spans="8:10" x14ac:dyDescent="0.25">
      <c r="H1271" s="7"/>
      <c r="I1271" s="7"/>
      <c r="J1271" s="7"/>
    </row>
    <row r="1272" spans="8:10" x14ac:dyDescent="0.25">
      <c r="H1272" s="7"/>
      <c r="I1272" s="7"/>
      <c r="J1272" s="7"/>
    </row>
    <row r="1273" spans="8:10" x14ac:dyDescent="0.25">
      <c r="H1273" s="7"/>
      <c r="I1273" s="7"/>
      <c r="J1273" s="7"/>
    </row>
    <row r="1274" spans="8:10" x14ac:dyDescent="0.25">
      <c r="H1274" s="7"/>
      <c r="I1274" s="7"/>
      <c r="J1274" s="7"/>
    </row>
    <row r="1275" spans="8:10" x14ac:dyDescent="0.25">
      <c r="H1275" s="7"/>
      <c r="I1275" s="7"/>
      <c r="J1275" s="7"/>
    </row>
    <row r="1276" spans="8:10" x14ac:dyDescent="0.25">
      <c r="H1276" s="7"/>
      <c r="I1276" s="7"/>
      <c r="J1276" s="7"/>
    </row>
    <row r="1277" spans="8:10" x14ac:dyDescent="0.25">
      <c r="H1277" s="7"/>
      <c r="I1277" s="7"/>
      <c r="J1277" s="7"/>
    </row>
    <row r="1278" spans="8:10" x14ac:dyDescent="0.25">
      <c r="H1278" s="7"/>
      <c r="I1278" s="7"/>
      <c r="J1278" s="7"/>
    </row>
    <row r="1279" spans="8:10" x14ac:dyDescent="0.25">
      <c r="H1279" s="7"/>
      <c r="I1279" s="7"/>
      <c r="J1279" s="7"/>
    </row>
    <row r="1280" spans="8:10" x14ac:dyDescent="0.25">
      <c r="H1280" s="7"/>
      <c r="I1280" s="7"/>
      <c r="J1280" s="7"/>
    </row>
    <row r="1281" spans="8:10" x14ac:dyDescent="0.25">
      <c r="H1281" s="7"/>
      <c r="I1281" s="7"/>
      <c r="J1281" s="7"/>
    </row>
    <row r="1282" spans="8:10" x14ac:dyDescent="0.25">
      <c r="H1282" s="7"/>
      <c r="I1282" s="7"/>
      <c r="J1282" s="7"/>
    </row>
    <row r="1283" spans="8:10" x14ac:dyDescent="0.25">
      <c r="H1283" s="7"/>
      <c r="I1283" s="7"/>
      <c r="J1283" s="7"/>
    </row>
    <row r="1284" spans="8:10" x14ac:dyDescent="0.25">
      <c r="H1284" s="7"/>
      <c r="I1284" s="7"/>
      <c r="J1284" s="7"/>
    </row>
    <row r="1285" spans="8:10" x14ac:dyDescent="0.25">
      <c r="H1285" s="7"/>
      <c r="I1285" s="7"/>
      <c r="J1285" s="7"/>
    </row>
    <row r="1286" spans="8:10" x14ac:dyDescent="0.25">
      <c r="H1286" s="7"/>
      <c r="I1286" s="7"/>
      <c r="J1286" s="7"/>
    </row>
    <row r="1287" spans="8:10" x14ac:dyDescent="0.25">
      <c r="H1287" s="7"/>
      <c r="I1287" s="7"/>
      <c r="J1287" s="7"/>
    </row>
    <row r="1288" spans="8:10" x14ac:dyDescent="0.25">
      <c r="H1288" s="7"/>
      <c r="I1288" s="7"/>
      <c r="J1288" s="7"/>
    </row>
    <row r="1289" spans="8:10" x14ac:dyDescent="0.25">
      <c r="H1289" s="7"/>
      <c r="I1289" s="7"/>
      <c r="J1289" s="7"/>
    </row>
    <row r="1290" spans="8:10" x14ac:dyDescent="0.25">
      <c r="H1290" s="7"/>
      <c r="I1290" s="7"/>
      <c r="J1290" s="7"/>
    </row>
    <row r="1291" spans="8:10" x14ac:dyDescent="0.25">
      <c r="H1291" s="7"/>
      <c r="I1291" s="7"/>
      <c r="J1291" s="7"/>
    </row>
    <row r="1292" spans="8:10" x14ac:dyDescent="0.25">
      <c r="H1292" s="7"/>
      <c r="I1292" s="7"/>
      <c r="J1292" s="7"/>
    </row>
    <row r="1293" spans="8:10" x14ac:dyDescent="0.25">
      <c r="H1293" s="7"/>
      <c r="I1293" s="7"/>
      <c r="J1293" s="7"/>
    </row>
    <row r="1294" spans="8:10" x14ac:dyDescent="0.25">
      <c r="H1294" s="7"/>
      <c r="I1294" s="7"/>
      <c r="J1294" s="7"/>
    </row>
    <row r="1295" spans="8:10" x14ac:dyDescent="0.25">
      <c r="H1295" s="7"/>
      <c r="I1295" s="7"/>
      <c r="J1295" s="7"/>
    </row>
    <row r="1296" spans="8:10" x14ac:dyDescent="0.25">
      <c r="H1296" s="7"/>
      <c r="I1296" s="7"/>
      <c r="J1296" s="7"/>
    </row>
    <row r="1297" spans="8:10" x14ac:dyDescent="0.25">
      <c r="H1297" s="7"/>
      <c r="I1297" s="7"/>
      <c r="J1297" s="7"/>
    </row>
    <row r="1298" spans="8:10" x14ac:dyDescent="0.25">
      <c r="H1298" s="7"/>
      <c r="I1298" s="7"/>
      <c r="J1298" s="7"/>
    </row>
    <row r="1299" spans="8:10" x14ac:dyDescent="0.25">
      <c r="H1299" s="7"/>
      <c r="I1299" s="7"/>
      <c r="J1299" s="7"/>
    </row>
    <row r="1300" spans="8:10" x14ac:dyDescent="0.25">
      <c r="H1300" s="7"/>
      <c r="I1300" s="7"/>
      <c r="J1300" s="7"/>
    </row>
    <row r="1301" spans="8:10" x14ac:dyDescent="0.25">
      <c r="H1301" s="7"/>
      <c r="I1301" s="7"/>
      <c r="J1301" s="7"/>
    </row>
    <row r="1302" spans="8:10" x14ac:dyDescent="0.25">
      <c r="H1302" s="7"/>
      <c r="I1302" s="7"/>
      <c r="J1302" s="7"/>
    </row>
    <row r="1303" spans="8:10" x14ac:dyDescent="0.25">
      <c r="H1303" s="7"/>
      <c r="I1303" s="7"/>
      <c r="J1303" s="7"/>
    </row>
    <row r="1304" spans="8:10" x14ac:dyDescent="0.25">
      <c r="H1304" s="7"/>
      <c r="I1304" s="7"/>
      <c r="J1304" s="7"/>
    </row>
    <row r="1305" spans="8:10" x14ac:dyDescent="0.25">
      <c r="H1305" s="7"/>
      <c r="I1305" s="7"/>
      <c r="J1305" s="7"/>
    </row>
    <row r="1306" spans="8:10" x14ac:dyDescent="0.25">
      <c r="H1306" s="7"/>
      <c r="I1306" s="7"/>
      <c r="J1306" s="7"/>
    </row>
    <row r="1307" spans="8:10" x14ac:dyDescent="0.25">
      <c r="H1307" s="7"/>
      <c r="I1307" s="7"/>
      <c r="J1307" s="7"/>
    </row>
    <row r="1308" spans="8:10" x14ac:dyDescent="0.25">
      <c r="H1308" s="7"/>
      <c r="I1308" s="7"/>
      <c r="J1308" s="7"/>
    </row>
    <row r="1309" spans="8:10" x14ac:dyDescent="0.25">
      <c r="H1309" s="7"/>
      <c r="I1309" s="7"/>
      <c r="J1309" s="7"/>
    </row>
    <row r="1310" spans="8:10" x14ac:dyDescent="0.25">
      <c r="H1310" s="7"/>
      <c r="I1310" s="7"/>
      <c r="J1310" s="7"/>
    </row>
    <row r="1311" spans="8:10" x14ac:dyDescent="0.25">
      <c r="H1311" s="7"/>
      <c r="I1311" s="7"/>
      <c r="J1311" s="7"/>
    </row>
    <row r="1312" spans="8:10" x14ac:dyDescent="0.25">
      <c r="H1312" s="7"/>
      <c r="I1312" s="7"/>
      <c r="J1312" s="7"/>
    </row>
    <row r="1313" spans="8:10" x14ac:dyDescent="0.25">
      <c r="H1313" s="7"/>
      <c r="I1313" s="7"/>
      <c r="J1313" s="7"/>
    </row>
    <row r="1314" spans="8:10" x14ac:dyDescent="0.25">
      <c r="H1314" s="7"/>
      <c r="I1314" s="7"/>
      <c r="J1314" s="7"/>
    </row>
    <row r="1315" spans="8:10" x14ac:dyDescent="0.25">
      <c r="H1315" s="7"/>
      <c r="I1315" s="7"/>
      <c r="J1315" s="7"/>
    </row>
    <row r="1316" spans="8:10" x14ac:dyDescent="0.25">
      <c r="H1316" s="7"/>
      <c r="I1316" s="7"/>
      <c r="J1316" s="7"/>
    </row>
    <row r="1317" spans="8:10" x14ac:dyDescent="0.25">
      <c r="H1317" s="7"/>
      <c r="I1317" s="7"/>
      <c r="J1317" s="7"/>
    </row>
    <row r="1318" spans="8:10" x14ac:dyDescent="0.25">
      <c r="H1318" s="7"/>
      <c r="I1318" s="7"/>
      <c r="J1318" s="7"/>
    </row>
    <row r="1319" spans="8:10" x14ac:dyDescent="0.25">
      <c r="H1319" s="7"/>
      <c r="I1319" s="7"/>
      <c r="J1319" s="7"/>
    </row>
    <row r="1320" spans="8:10" x14ac:dyDescent="0.25">
      <c r="H1320" s="7"/>
      <c r="I1320" s="7"/>
      <c r="J1320" s="7"/>
    </row>
    <row r="1321" spans="8:10" x14ac:dyDescent="0.25">
      <c r="H1321" s="7"/>
      <c r="I1321" s="7"/>
      <c r="J1321" s="7"/>
    </row>
    <row r="1322" spans="8:10" x14ac:dyDescent="0.25">
      <c r="H1322" s="7"/>
      <c r="I1322" s="7"/>
      <c r="J1322" s="7"/>
    </row>
    <row r="1323" spans="8:10" x14ac:dyDescent="0.25">
      <c r="H1323" s="7"/>
      <c r="I1323" s="7"/>
      <c r="J1323" s="7"/>
    </row>
    <row r="1324" spans="8:10" x14ac:dyDescent="0.25">
      <c r="H1324" s="7"/>
      <c r="I1324" s="7"/>
      <c r="J1324" s="7"/>
    </row>
    <row r="1325" spans="8:10" x14ac:dyDescent="0.25">
      <c r="H1325" s="7"/>
      <c r="I1325" s="7"/>
      <c r="J1325" s="7"/>
    </row>
    <row r="1326" spans="8:10" x14ac:dyDescent="0.25">
      <c r="H1326" s="7"/>
      <c r="I1326" s="7"/>
      <c r="J1326" s="7"/>
    </row>
    <row r="1327" spans="8:10" x14ac:dyDescent="0.25">
      <c r="H1327" s="7"/>
      <c r="I1327" s="7"/>
      <c r="J1327" s="7"/>
    </row>
    <row r="1328" spans="8:10" x14ac:dyDescent="0.25">
      <c r="H1328" s="7"/>
      <c r="I1328" s="7"/>
      <c r="J1328" s="7"/>
    </row>
    <row r="1329" spans="8:10" x14ac:dyDescent="0.25">
      <c r="H1329" s="7"/>
      <c r="I1329" s="7"/>
      <c r="J1329" s="7"/>
    </row>
    <row r="1330" spans="8:10" x14ac:dyDescent="0.25">
      <c r="H1330" s="7"/>
      <c r="I1330" s="7"/>
      <c r="J1330" s="7"/>
    </row>
    <row r="1331" spans="8:10" x14ac:dyDescent="0.25">
      <c r="H1331" s="7"/>
      <c r="I1331" s="7"/>
      <c r="J1331" s="7"/>
    </row>
    <row r="1332" spans="8:10" x14ac:dyDescent="0.25">
      <c r="H1332" s="7"/>
      <c r="I1332" s="7"/>
      <c r="J1332" s="7"/>
    </row>
    <row r="1333" spans="8:10" x14ac:dyDescent="0.25">
      <c r="H1333" s="7"/>
      <c r="I1333" s="7"/>
      <c r="J1333" s="7"/>
    </row>
    <row r="1334" spans="8:10" x14ac:dyDescent="0.25">
      <c r="H1334" s="7"/>
      <c r="I1334" s="7"/>
      <c r="J1334" s="7"/>
    </row>
    <row r="1335" spans="8:10" x14ac:dyDescent="0.25">
      <c r="H1335" s="7"/>
      <c r="I1335" s="7"/>
      <c r="J1335" s="7"/>
    </row>
    <row r="1336" spans="8:10" x14ac:dyDescent="0.25">
      <c r="H1336" s="7"/>
      <c r="I1336" s="7"/>
      <c r="J1336" s="7"/>
    </row>
    <row r="1337" spans="8:10" x14ac:dyDescent="0.25">
      <c r="H1337" s="7"/>
      <c r="I1337" s="7"/>
      <c r="J1337" s="7"/>
    </row>
    <row r="1338" spans="8:10" x14ac:dyDescent="0.25">
      <c r="H1338" s="7"/>
      <c r="I1338" s="7"/>
      <c r="J1338" s="7"/>
    </row>
    <row r="1339" spans="8:10" x14ac:dyDescent="0.25">
      <c r="H1339" s="7"/>
      <c r="I1339" s="7"/>
      <c r="J1339" s="7"/>
    </row>
    <row r="1340" spans="8:10" x14ac:dyDescent="0.25">
      <c r="H1340" s="7"/>
      <c r="I1340" s="7"/>
      <c r="J1340" s="7"/>
    </row>
    <row r="1341" spans="8:10" x14ac:dyDescent="0.25">
      <c r="H1341" s="7"/>
      <c r="I1341" s="7"/>
      <c r="J1341" s="7"/>
    </row>
    <row r="1342" spans="8:10" x14ac:dyDescent="0.25">
      <c r="H1342" s="7"/>
      <c r="I1342" s="7"/>
      <c r="J1342" s="7"/>
    </row>
    <row r="1343" spans="8:10" x14ac:dyDescent="0.25">
      <c r="H1343" s="7"/>
      <c r="I1343" s="7"/>
      <c r="J1343" s="7"/>
    </row>
    <row r="1344" spans="8:10" x14ac:dyDescent="0.25">
      <c r="H1344" s="7"/>
      <c r="I1344" s="7"/>
      <c r="J1344" s="7"/>
    </row>
    <row r="1345" spans="8:10" x14ac:dyDescent="0.25">
      <c r="H1345" s="7"/>
      <c r="I1345" s="7"/>
      <c r="J1345" s="7"/>
    </row>
    <row r="1346" spans="8:10" x14ac:dyDescent="0.25">
      <c r="H1346" s="7"/>
      <c r="I1346" s="7"/>
      <c r="J1346" s="7"/>
    </row>
    <row r="1347" spans="8:10" x14ac:dyDescent="0.25">
      <c r="H1347" s="7"/>
      <c r="I1347" s="7"/>
      <c r="J1347" s="7"/>
    </row>
    <row r="1348" spans="8:10" x14ac:dyDescent="0.25">
      <c r="H1348" s="7"/>
      <c r="I1348" s="7"/>
      <c r="J1348" s="7"/>
    </row>
    <row r="1349" spans="8:10" x14ac:dyDescent="0.25">
      <c r="H1349" s="7"/>
      <c r="I1349" s="7"/>
      <c r="J1349" s="7"/>
    </row>
    <row r="1350" spans="8:10" x14ac:dyDescent="0.25">
      <c r="H1350" s="7"/>
      <c r="I1350" s="7"/>
      <c r="J1350" s="7"/>
    </row>
    <row r="1351" spans="8:10" x14ac:dyDescent="0.25">
      <c r="H1351" s="7"/>
      <c r="I1351" s="7"/>
      <c r="J1351" s="7"/>
    </row>
    <row r="1352" spans="8:10" x14ac:dyDescent="0.25">
      <c r="H1352" s="7"/>
      <c r="I1352" s="7"/>
      <c r="J1352" s="7"/>
    </row>
    <row r="1353" spans="8:10" x14ac:dyDescent="0.25">
      <c r="H1353" s="7"/>
      <c r="I1353" s="7"/>
      <c r="J1353" s="7"/>
    </row>
    <row r="1354" spans="8:10" x14ac:dyDescent="0.25">
      <c r="H1354" s="7"/>
      <c r="I1354" s="7"/>
      <c r="J1354" s="7"/>
    </row>
    <row r="1355" spans="8:10" x14ac:dyDescent="0.25">
      <c r="H1355" s="7"/>
      <c r="I1355" s="7"/>
      <c r="J1355" s="7"/>
    </row>
    <row r="1356" spans="8:10" x14ac:dyDescent="0.25">
      <c r="H1356" s="7"/>
      <c r="I1356" s="7"/>
      <c r="J1356" s="7"/>
    </row>
    <row r="1357" spans="8:10" x14ac:dyDescent="0.25">
      <c r="H1357" s="7"/>
      <c r="I1357" s="7"/>
      <c r="J1357" s="7"/>
    </row>
    <row r="1358" spans="8:10" x14ac:dyDescent="0.25">
      <c r="H1358" s="7"/>
      <c r="I1358" s="7"/>
      <c r="J1358" s="7"/>
    </row>
    <row r="1359" spans="8:10" x14ac:dyDescent="0.25">
      <c r="H1359" s="7"/>
      <c r="I1359" s="7"/>
      <c r="J1359" s="7"/>
    </row>
    <row r="1360" spans="8:10" x14ac:dyDescent="0.25">
      <c r="H1360" s="7"/>
      <c r="I1360" s="7"/>
      <c r="J1360" s="7"/>
    </row>
    <row r="1361" spans="8:10" x14ac:dyDescent="0.25">
      <c r="H1361" s="7"/>
      <c r="I1361" s="7"/>
      <c r="J1361" s="7"/>
    </row>
    <row r="1362" spans="8:10" x14ac:dyDescent="0.25">
      <c r="H1362" s="7"/>
      <c r="I1362" s="7"/>
      <c r="J1362" s="7"/>
    </row>
    <row r="1363" spans="8:10" x14ac:dyDescent="0.25">
      <c r="H1363" s="7"/>
      <c r="I1363" s="7"/>
      <c r="J1363" s="7"/>
    </row>
    <row r="1364" spans="8:10" x14ac:dyDescent="0.25">
      <c r="H1364" s="7"/>
      <c r="I1364" s="7"/>
      <c r="J1364" s="7"/>
    </row>
    <row r="1365" spans="8:10" x14ac:dyDescent="0.25">
      <c r="H1365" s="7"/>
      <c r="I1365" s="7"/>
      <c r="J1365" s="7"/>
    </row>
    <row r="1366" spans="8:10" x14ac:dyDescent="0.25">
      <c r="H1366" s="7"/>
      <c r="I1366" s="7"/>
      <c r="J1366" s="7"/>
    </row>
    <row r="1367" spans="8:10" x14ac:dyDescent="0.25">
      <c r="H1367" s="7"/>
      <c r="I1367" s="7"/>
      <c r="J1367" s="7"/>
    </row>
    <row r="1368" spans="8:10" x14ac:dyDescent="0.25">
      <c r="H1368" s="7"/>
      <c r="I1368" s="7"/>
      <c r="J1368" s="7"/>
    </row>
    <row r="1369" spans="8:10" x14ac:dyDescent="0.25">
      <c r="H1369" s="7"/>
      <c r="I1369" s="7"/>
      <c r="J1369" s="7"/>
    </row>
    <row r="1370" spans="8:10" x14ac:dyDescent="0.25">
      <c r="H1370" s="7"/>
      <c r="I1370" s="7"/>
      <c r="J1370" s="7"/>
    </row>
    <row r="1371" spans="8:10" x14ac:dyDescent="0.25">
      <c r="H1371" s="7"/>
      <c r="I1371" s="7"/>
      <c r="J1371" s="7"/>
    </row>
    <row r="1372" spans="8:10" x14ac:dyDescent="0.25">
      <c r="H1372" s="7"/>
      <c r="I1372" s="7"/>
      <c r="J1372" s="7"/>
    </row>
    <row r="1373" spans="8:10" x14ac:dyDescent="0.25">
      <c r="H1373" s="7"/>
      <c r="I1373" s="7"/>
      <c r="J1373" s="7"/>
    </row>
    <row r="1374" spans="8:10" x14ac:dyDescent="0.25">
      <c r="H1374" s="7"/>
      <c r="I1374" s="7"/>
      <c r="J1374" s="7"/>
    </row>
    <row r="1375" spans="8:10" x14ac:dyDescent="0.25">
      <c r="H1375" s="7"/>
      <c r="I1375" s="7"/>
      <c r="J1375" s="7"/>
    </row>
    <row r="1376" spans="8:10" x14ac:dyDescent="0.25">
      <c r="H1376" s="7"/>
      <c r="I1376" s="7"/>
      <c r="J1376" s="7"/>
    </row>
    <row r="1377" spans="8:10" x14ac:dyDescent="0.25">
      <c r="H1377" s="7"/>
      <c r="I1377" s="7"/>
      <c r="J1377" s="7"/>
    </row>
    <row r="1378" spans="8:10" x14ac:dyDescent="0.25">
      <c r="H1378" s="7"/>
      <c r="I1378" s="7"/>
      <c r="J1378" s="7"/>
    </row>
    <row r="1379" spans="8:10" x14ac:dyDescent="0.25">
      <c r="H1379" s="7"/>
      <c r="I1379" s="7"/>
      <c r="J1379" s="7"/>
    </row>
    <row r="1380" spans="8:10" x14ac:dyDescent="0.25">
      <c r="H1380" s="7"/>
      <c r="I1380" s="7"/>
      <c r="J1380" s="7"/>
    </row>
    <row r="1381" spans="8:10" x14ac:dyDescent="0.25">
      <c r="H1381" s="7"/>
      <c r="I1381" s="7"/>
      <c r="J1381" s="7"/>
    </row>
    <row r="1382" spans="8:10" x14ac:dyDescent="0.25">
      <c r="H1382" s="7"/>
      <c r="I1382" s="7"/>
      <c r="J1382" s="7"/>
    </row>
    <row r="1383" spans="8:10" x14ac:dyDescent="0.25">
      <c r="H1383" s="7"/>
      <c r="I1383" s="7"/>
      <c r="J1383" s="7"/>
    </row>
    <row r="1384" spans="8:10" x14ac:dyDescent="0.25">
      <c r="H1384" s="7"/>
      <c r="I1384" s="7"/>
      <c r="J1384" s="7"/>
    </row>
    <row r="1385" spans="8:10" x14ac:dyDescent="0.25">
      <c r="H1385" s="7"/>
      <c r="I1385" s="7"/>
      <c r="J1385" s="7"/>
    </row>
    <row r="1386" spans="8:10" x14ac:dyDescent="0.25">
      <c r="H1386" s="7"/>
      <c r="I1386" s="7"/>
      <c r="J1386" s="7"/>
    </row>
    <row r="1387" spans="8:10" x14ac:dyDescent="0.25">
      <c r="H1387" s="7"/>
      <c r="I1387" s="7"/>
      <c r="J1387" s="7"/>
    </row>
    <row r="1388" spans="8:10" x14ac:dyDescent="0.25">
      <c r="H1388" s="7"/>
      <c r="I1388" s="7"/>
      <c r="J1388" s="7"/>
    </row>
    <row r="1389" spans="8:10" x14ac:dyDescent="0.25">
      <c r="H1389" s="7"/>
      <c r="I1389" s="7"/>
      <c r="J1389" s="7"/>
    </row>
    <row r="1390" spans="8:10" x14ac:dyDescent="0.25">
      <c r="H1390" s="7"/>
      <c r="I1390" s="7"/>
      <c r="J1390" s="7"/>
    </row>
    <row r="1391" spans="8:10" x14ac:dyDescent="0.25">
      <c r="H1391" s="7"/>
      <c r="I1391" s="7"/>
      <c r="J1391" s="7"/>
    </row>
    <row r="1392" spans="8:10" x14ac:dyDescent="0.25">
      <c r="H1392" s="7"/>
      <c r="I1392" s="7"/>
      <c r="J1392" s="7"/>
    </row>
    <row r="1393" spans="8:10" x14ac:dyDescent="0.25">
      <c r="H1393" s="7"/>
      <c r="I1393" s="7"/>
      <c r="J1393" s="7"/>
    </row>
    <row r="1394" spans="8:10" x14ac:dyDescent="0.25">
      <c r="H1394" s="7"/>
      <c r="I1394" s="7"/>
      <c r="J1394" s="7"/>
    </row>
    <row r="1395" spans="8:10" x14ac:dyDescent="0.25">
      <c r="H1395" s="7"/>
      <c r="I1395" s="7"/>
      <c r="J1395" s="7"/>
    </row>
    <row r="1396" spans="8:10" x14ac:dyDescent="0.25">
      <c r="H1396" s="7"/>
      <c r="I1396" s="7"/>
      <c r="J1396" s="7"/>
    </row>
    <row r="1397" spans="8:10" x14ac:dyDescent="0.25">
      <c r="H1397" s="7"/>
      <c r="I1397" s="7"/>
      <c r="J1397" s="7"/>
    </row>
    <row r="1398" spans="8:10" x14ac:dyDescent="0.25">
      <c r="H1398" s="7"/>
      <c r="I1398" s="7"/>
      <c r="J1398" s="7"/>
    </row>
    <row r="1399" spans="8:10" x14ac:dyDescent="0.25">
      <c r="H1399" s="7"/>
      <c r="I1399" s="7"/>
      <c r="J1399" s="7"/>
    </row>
    <row r="1400" spans="8:10" x14ac:dyDescent="0.25">
      <c r="H1400" s="7"/>
      <c r="I1400" s="7"/>
      <c r="J1400" s="7"/>
    </row>
    <row r="1401" spans="8:10" x14ac:dyDescent="0.25">
      <c r="H1401" s="7"/>
      <c r="I1401" s="7"/>
      <c r="J1401" s="7"/>
    </row>
    <row r="1402" spans="8:10" x14ac:dyDescent="0.25">
      <c r="H1402" s="7"/>
      <c r="I1402" s="7"/>
      <c r="J1402" s="7"/>
    </row>
    <row r="1403" spans="8:10" x14ac:dyDescent="0.25">
      <c r="H1403" s="7"/>
      <c r="I1403" s="7"/>
      <c r="J1403" s="7"/>
    </row>
    <row r="1404" spans="8:10" x14ac:dyDescent="0.25">
      <c r="H1404" s="7"/>
      <c r="I1404" s="7"/>
      <c r="J1404" s="7"/>
    </row>
    <row r="1405" spans="8:10" x14ac:dyDescent="0.25">
      <c r="H1405" s="7"/>
      <c r="I1405" s="7"/>
      <c r="J1405" s="7"/>
    </row>
    <row r="1406" spans="8:10" x14ac:dyDescent="0.25">
      <c r="H1406" s="7"/>
      <c r="I1406" s="7"/>
      <c r="J1406" s="7"/>
    </row>
    <row r="1407" spans="8:10" x14ac:dyDescent="0.25">
      <c r="H1407" s="7"/>
      <c r="I1407" s="7"/>
      <c r="J1407" s="7"/>
    </row>
    <row r="1408" spans="8:10" x14ac:dyDescent="0.25">
      <c r="H1408" s="7"/>
      <c r="I1408" s="7"/>
      <c r="J1408" s="7"/>
    </row>
    <row r="1409" spans="8:10" x14ac:dyDescent="0.25">
      <c r="H1409" s="7"/>
      <c r="I1409" s="7"/>
      <c r="J1409" s="7"/>
    </row>
    <row r="1410" spans="8:10" x14ac:dyDescent="0.25">
      <c r="H1410" s="7"/>
      <c r="I1410" s="7"/>
      <c r="J1410" s="7"/>
    </row>
    <row r="1411" spans="8:10" x14ac:dyDescent="0.25">
      <c r="H1411" s="7"/>
      <c r="I1411" s="7"/>
      <c r="J1411" s="7"/>
    </row>
    <row r="1412" spans="8:10" x14ac:dyDescent="0.25">
      <c r="H1412" s="7"/>
      <c r="I1412" s="7"/>
      <c r="J1412" s="7"/>
    </row>
    <row r="1413" spans="8:10" x14ac:dyDescent="0.25">
      <c r="H1413" s="7"/>
      <c r="I1413" s="7"/>
      <c r="J1413" s="7"/>
    </row>
    <row r="1414" spans="8:10" x14ac:dyDescent="0.25">
      <c r="H1414" s="7"/>
      <c r="I1414" s="7"/>
      <c r="J1414" s="7"/>
    </row>
    <row r="1415" spans="8:10" x14ac:dyDescent="0.25">
      <c r="H1415" s="7"/>
      <c r="I1415" s="7"/>
      <c r="J1415" s="7"/>
    </row>
    <row r="1416" spans="8:10" x14ac:dyDescent="0.25">
      <c r="H1416" s="7"/>
      <c r="I1416" s="7"/>
      <c r="J1416" s="7"/>
    </row>
    <row r="1417" spans="8:10" x14ac:dyDescent="0.25">
      <c r="H1417" s="7"/>
      <c r="I1417" s="7"/>
      <c r="J1417" s="7"/>
    </row>
    <row r="1418" spans="8:10" x14ac:dyDescent="0.25">
      <c r="H1418" s="7"/>
      <c r="I1418" s="7"/>
      <c r="J1418" s="7"/>
    </row>
    <row r="1419" spans="8:10" x14ac:dyDescent="0.25">
      <c r="H1419" s="7"/>
      <c r="I1419" s="7"/>
      <c r="J1419" s="7"/>
    </row>
    <row r="1420" spans="8:10" x14ac:dyDescent="0.25">
      <c r="H1420" s="7"/>
      <c r="I1420" s="7"/>
      <c r="J1420" s="7"/>
    </row>
    <row r="1421" spans="8:10" x14ac:dyDescent="0.25">
      <c r="H1421" s="7"/>
      <c r="I1421" s="7"/>
      <c r="J1421" s="7"/>
    </row>
    <row r="1422" spans="8:10" x14ac:dyDescent="0.25">
      <c r="H1422" s="7"/>
      <c r="I1422" s="7"/>
      <c r="J1422" s="7"/>
    </row>
    <row r="1423" spans="8:10" x14ac:dyDescent="0.25">
      <c r="H1423" s="7"/>
      <c r="I1423" s="7"/>
      <c r="J1423" s="7"/>
    </row>
    <row r="1424" spans="8:10" x14ac:dyDescent="0.25">
      <c r="H1424" s="7"/>
      <c r="I1424" s="7"/>
      <c r="J1424" s="7"/>
    </row>
    <row r="1425" spans="8:10" x14ac:dyDescent="0.25">
      <c r="H1425" s="7"/>
      <c r="I1425" s="7"/>
      <c r="J1425" s="7"/>
    </row>
    <row r="1426" spans="8:10" x14ac:dyDescent="0.25">
      <c r="H1426" s="7"/>
      <c r="I1426" s="7"/>
      <c r="J1426" s="7"/>
    </row>
    <row r="1427" spans="8:10" x14ac:dyDescent="0.25">
      <c r="H1427" s="7"/>
      <c r="I1427" s="7"/>
      <c r="J1427" s="7"/>
    </row>
    <row r="1428" spans="8:10" x14ac:dyDescent="0.25">
      <c r="H1428" s="7"/>
      <c r="I1428" s="7"/>
      <c r="J1428" s="7"/>
    </row>
    <row r="1429" spans="8:10" x14ac:dyDescent="0.25">
      <c r="H1429" s="7"/>
      <c r="I1429" s="7"/>
      <c r="J1429" s="7"/>
    </row>
    <row r="1430" spans="8:10" x14ac:dyDescent="0.25">
      <c r="H1430" s="7"/>
      <c r="I1430" s="7"/>
      <c r="J1430" s="7"/>
    </row>
    <row r="1431" spans="8:10" x14ac:dyDescent="0.25">
      <c r="H1431" s="7"/>
      <c r="I1431" s="7"/>
      <c r="J1431" s="7"/>
    </row>
    <row r="1432" spans="8:10" x14ac:dyDescent="0.25">
      <c r="H1432" s="7"/>
      <c r="I1432" s="7"/>
      <c r="J1432" s="7"/>
    </row>
    <row r="1433" spans="8:10" x14ac:dyDescent="0.25">
      <c r="H1433" s="7"/>
      <c r="I1433" s="7"/>
      <c r="J1433" s="7"/>
    </row>
    <row r="1434" spans="8:10" x14ac:dyDescent="0.25">
      <c r="H1434" s="7"/>
      <c r="I1434" s="7"/>
      <c r="J1434" s="7"/>
    </row>
    <row r="1435" spans="8:10" x14ac:dyDescent="0.25">
      <c r="H1435" s="7"/>
      <c r="I1435" s="7"/>
      <c r="J1435" s="7"/>
    </row>
    <row r="1436" spans="8:10" x14ac:dyDescent="0.25">
      <c r="H1436" s="7"/>
      <c r="I1436" s="7"/>
      <c r="J1436" s="7"/>
    </row>
    <row r="1437" spans="8:10" x14ac:dyDescent="0.25">
      <c r="H1437" s="7"/>
      <c r="I1437" s="7"/>
      <c r="J1437" s="7"/>
    </row>
    <row r="1438" spans="8:10" x14ac:dyDescent="0.25">
      <c r="H1438" s="7"/>
      <c r="I1438" s="7"/>
      <c r="J1438" s="7"/>
    </row>
    <row r="1439" spans="8:10" x14ac:dyDescent="0.25">
      <c r="H1439" s="7"/>
      <c r="I1439" s="7"/>
      <c r="J1439" s="7"/>
    </row>
    <row r="1440" spans="8:10" x14ac:dyDescent="0.25">
      <c r="H1440" s="7"/>
      <c r="I1440" s="7"/>
      <c r="J1440" s="7"/>
    </row>
    <row r="1441" spans="8:10" x14ac:dyDescent="0.25">
      <c r="H1441" s="7"/>
      <c r="I1441" s="7"/>
      <c r="J1441" s="7"/>
    </row>
    <row r="1442" spans="8:10" x14ac:dyDescent="0.25">
      <c r="H1442" s="7"/>
      <c r="I1442" s="7"/>
      <c r="J1442" s="7"/>
    </row>
    <row r="1443" spans="8:10" x14ac:dyDescent="0.25">
      <c r="H1443" s="7"/>
      <c r="I1443" s="7"/>
      <c r="J1443" s="7"/>
    </row>
    <row r="1444" spans="8:10" x14ac:dyDescent="0.25">
      <c r="H1444" s="7"/>
      <c r="I1444" s="7"/>
      <c r="J1444" s="7"/>
    </row>
    <row r="1445" spans="8:10" x14ac:dyDescent="0.25">
      <c r="H1445" s="7"/>
      <c r="I1445" s="7"/>
      <c r="J1445" s="7"/>
    </row>
    <row r="1446" spans="8:10" x14ac:dyDescent="0.25">
      <c r="H1446" s="7"/>
      <c r="I1446" s="7"/>
      <c r="J1446" s="7"/>
    </row>
    <row r="1447" spans="8:10" x14ac:dyDescent="0.25">
      <c r="H1447" s="7"/>
      <c r="I1447" s="7"/>
      <c r="J1447" s="7"/>
    </row>
    <row r="1448" spans="8:10" x14ac:dyDescent="0.25">
      <c r="H1448" s="7"/>
      <c r="I1448" s="7"/>
      <c r="J1448" s="7"/>
    </row>
    <row r="1449" spans="8:10" x14ac:dyDescent="0.25">
      <c r="H1449" s="7"/>
      <c r="I1449" s="7"/>
      <c r="J1449" s="7"/>
    </row>
    <row r="1450" spans="8:10" x14ac:dyDescent="0.25">
      <c r="H1450" s="7"/>
      <c r="I1450" s="7"/>
      <c r="J1450" s="7"/>
    </row>
    <row r="1451" spans="8:10" x14ac:dyDescent="0.25">
      <c r="H1451" s="7"/>
      <c r="I1451" s="7"/>
      <c r="J1451" s="7"/>
    </row>
    <row r="1452" spans="8:10" x14ac:dyDescent="0.25">
      <c r="H1452" s="7"/>
      <c r="I1452" s="7"/>
      <c r="J1452" s="7"/>
    </row>
    <row r="1453" spans="8:10" x14ac:dyDescent="0.25">
      <c r="H1453" s="7"/>
      <c r="I1453" s="7"/>
      <c r="J1453" s="7"/>
    </row>
    <row r="1454" spans="8:10" x14ac:dyDescent="0.25">
      <c r="H1454" s="7"/>
      <c r="I1454" s="7"/>
      <c r="J1454" s="7"/>
    </row>
    <row r="1455" spans="8:10" x14ac:dyDescent="0.25">
      <c r="H1455" s="7"/>
      <c r="I1455" s="7"/>
      <c r="J1455" s="7"/>
    </row>
    <row r="1456" spans="8:10" x14ac:dyDescent="0.25">
      <c r="H1456" s="7"/>
      <c r="I1456" s="7"/>
      <c r="J1456" s="7"/>
    </row>
    <row r="1457" spans="8:10" x14ac:dyDescent="0.25">
      <c r="H1457" s="7"/>
      <c r="I1457" s="7"/>
      <c r="J1457" s="7"/>
    </row>
    <row r="1458" spans="8:10" x14ac:dyDescent="0.25">
      <c r="H1458" s="7"/>
      <c r="I1458" s="7"/>
      <c r="J1458" s="7"/>
    </row>
    <row r="1459" spans="8:10" x14ac:dyDescent="0.25">
      <c r="H1459" s="7"/>
      <c r="I1459" s="7"/>
      <c r="J1459" s="7"/>
    </row>
    <row r="1460" spans="8:10" x14ac:dyDescent="0.25">
      <c r="H1460" s="7"/>
      <c r="I1460" s="7"/>
      <c r="J1460" s="7"/>
    </row>
    <row r="1461" spans="8:10" x14ac:dyDescent="0.25">
      <c r="H1461" s="7"/>
      <c r="I1461" s="7"/>
      <c r="J1461" s="7"/>
    </row>
    <row r="1462" spans="8:10" x14ac:dyDescent="0.25">
      <c r="H1462" s="7"/>
      <c r="I1462" s="7"/>
      <c r="J1462" s="7"/>
    </row>
    <row r="1463" spans="8:10" x14ac:dyDescent="0.25">
      <c r="H1463" s="7"/>
      <c r="I1463" s="7"/>
      <c r="J1463" s="7"/>
    </row>
    <row r="1464" spans="8:10" x14ac:dyDescent="0.25">
      <c r="H1464" s="7"/>
      <c r="I1464" s="7"/>
      <c r="J1464" s="7"/>
    </row>
    <row r="1465" spans="8:10" x14ac:dyDescent="0.25">
      <c r="H1465" s="7"/>
      <c r="I1465" s="7"/>
      <c r="J1465" s="7"/>
    </row>
    <row r="1466" spans="8:10" x14ac:dyDescent="0.25">
      <c r="H1466" s="7"/>
      <c r="I1466" s="7"/>
      <c r="J1466" s="7"/>
    </row>
    <row r="1467" spans="8:10" x14ac:dyDescent="0.25">
      <c r="H1467" s="7"/>
      <c r="I1467" s="7"/>
      <c r="J1467" s="7"/>
    </row>
    <row r="1468" spans="8:10" x14ac:dyDescent="0.25">
      <c r="H1468" s="7"/>
      <c r="I1468" s="7"/>
      <c r="J1468" s="7"/>
    </row>
    <row r="1469" spans="8:10" x14ac:dyDescent="0.25">
      <c r="H1469" s="7"/>
      <c r="I1469" s="7"/>
      <c r="J1469" s="7"/>
    </row>
    <row r="1470" spans="8:10" x14ac:dyDescent="0.25">
      <c r="H1470" s="7"/>
      <c r="I1470" s="7"/>
      <c r="J1470" s="7"/>
    </row>
    <row r="1471" spans="8:10" x14ac:dyDescent="0.25">
      <c r="H1471" s="7"/>
      <c r="I1471" s="7"/>
      <c r="J1471" s="7"/>
    </row>
    <row r="1472" spans="8:10" x14ac:dyDescent="0.25">
      <c r="H1472" s="7"/>
      <c r="I1472" s="7"/>
      <c r="J1472" s="7"/>
    </row>
    <row r="1473" spans="8:10" x14ac:dyDescent="0.25">
      <c r="H1473" s="7"/>
      <c r="I1473" s="7"/>
      <c r="J1473" s="7"/>
    </row>
    <row r="1474" spans="8:10" x14ac:dyDescent="0.25">
      <c r="H1474" s="7"/>
      <c r="I1474" s="7"/>
      <c r="J1474" s="7"/>
    </row>
    <row r="1475" spans="8:10" x14ac:dyDescent="0.25">
      <c r="H1475" s="7"/>
      <c r="I1475" s="7"/>
      <c r="J1475" s="7"/>
    </row>
    <row r="1476" spans="8:10" x14ac:dyDescent="0.25">
      <c r="H1476" s="7"/>
      <c r="I1476" s="7"/>
      <c r="J1476" s="7"/>
    </row>
    <row r="1477" spans="8:10" x14ac:dyDescent="0.25">
      <c r="H1477" s="7"/>
      <c r="I1477" s="7"/>
      <c r="J1477" s="7"/>
    </row>
    <row r="1478" spans="8:10" x14ac:dyDescent="0.25">
      <c r="H1478" s="7"/>
      <c r="I1478" s="7"/>
      <c r="J1478" s="7"/>
    </row>
    <row r="1479" spans="8:10" x14ac:dyDescent="0.25">
      <c r="H1479" s="7"/>
      <c r="I1479" s="7"/>
      <c r="J1479" s="7"/>
    </row>
    <row r="1480" spans="8:10" x14ac:dyDescent="0.25">
      <c r="H1480" s="7"/>
      <c r="I1480" s="7"/>
      <c r="J1480" s="7"/>
    </row>
    <row r="1481" spans="8:10" x14ac:dyDescent="0.25">
      <c r="H1481" s="7"/>
      <c r="I1481" s="7"/>
      <c r="J1481" s="7"/>
    </row>
    <row r="1482" spans="8:10" x14ac:dyDescent="0.25">
      <c r="H1482" s="7"/>
      <c r="I1482" s="7"/>
      <c r="J1482" s="7"/>
    </row>
    <row r="1483" spans="8:10" x14ac:dyDescent="0.25">
      <c r="H1483" s="7"/>
      <c r="I1483" s="7"/>
      <c r="J1483" s="7"/>
    </row>
    <row r="1484" spans="8:10" x14ac:dyDescent="0.25">
      <c r="H1484" s="7"/>
      <c r="I1484" s="7"/>
      <c r="J1484" s="7"/>
    </row>
    <row r="1485" spans="8:10" x14ac:dyDescent="0.25">
      <c r="H1485" s="7"/>
      <c r="I1485" s="7"/>
      <c r="J1485" s="7"/>
    </row>
    <row r="1486" spans="8:10" x14ac:dyDescent="0.25">
      <c r="H1486" s="7"/>
      <c r="I1486" s="7"/>
      <c r="J1486" s="7"/>
    </row>
    <row r="1487" spans="8:10" x14ac:dyDescent="0.25">
      <c r="H1487" s="7"/>
      <c r="I1487" s="7"/>
      <c r="J1487" s="7"/>
    </row>
    <row r="1488" spans="8:10" x14ac:dyDescent="0.25">
      <c r="H1488" s="7"/>
      <c r="I1488" s="7"/>
      <c r="J1488" s="7"/>
    </row>
    <row r="1489" spans="8:10" x14ac:dyDescent="0.25">
      <c r="H1489" s="7"/>
      <c r="I1489" s="7"/>
      <c r="J1489" s="7"/>
    </row>
    <row r="1490" spans="8:10" x14ac:dyDescent="0.25">
      <c r="H1490" s="7"/>
      <c r="I1490" s="7"/>
      <c r="J1490" s="7"/>
    </row>
    <row r="1491" spans="8:10" x14ac:dyDescent="0.25">
      <c r="H1491" s="7"/>
      <c r="I1491" s="7"/>
      <c r="J1491" s="7"/>
    </row>
    <row r="1492" spans="8:10" x14ac:dyDescent="0.25">
      <c r="H1492" s="7"/>
      <c r="I1492" s="7"/>
      <c r="J1492" s="7"/>
    </row>
    <row r="1493" spans="8:10" x14ac:dyDescent="0.25">
      <c r="H1493" s="7"/>
      <c r="I1493" s="7"/>
      <c r="J1493" s="7"/>
    </row>
    <row r="1494" spans="8:10" x14ac:dyDescent="0.25">
      <c r="H1494" s="7"/>
      <c r="I1494" s="7"/>
      <c r="J1494" s="7"/>
    </row>
    <row r="1495" spans="8:10" x14ac:dyDescent="0.25">
      <c r="H1495" s="7"/>
      <c r="I1495" s="7"/>
      <c r="J1495" s="7"/>
    </row>
    <row r="1496" spans="8:10" x14ac:dyDescent="0.25">
      <c r="H1496" s="7"/>
      <c r="I1496" s="7"/>
      <c r="J1496" s="7"/>
    </row>
    <row r="1497" spans="8:10" x14ac:dyDescent="0.25">
      <c r="H1497" s="7"/>
      <c r="I1497" s="7"/>
      <c r="J1497" s="7"/>
    </row>
    <row r="1498" spans="8:10" x14ac:dyDescent="0.25">
      <c r="H1498" s="7"/>
      <c r="I1498" s="7"/>
      <c r="J1498" s="7"/>
    </row>
    <row r="1499" spans="8:10" x14ac:dyDescent="0.25">
      <c r="H1499" s="7"/>
      <c r="I1499" s="7"/>
      <c r="J1499" s="7"/>
    </row>
    <row r="1500" spans="8:10" x14ac:dyDescent="0.25">
      <c r="H1500" s="7"/>
      <c r="I1500" s="7"/>
      <c r="J1500" s="7"/>
    </row>
    <row r="1501" spans="8:10" x14ac:dyDescent="0.25">
      <c r="H1501" s="7"/>
      <c r="I1501" s="7"/>
      <c r="J1501" s="7"/>
    </row>
    <row r="1502" spans="8:10" x14ac:dyDescent="0.25">
      <c r="H1502" s="7"/>
      <c r="I1502" s="7"/>
      <c r="J1502" s="7"/>
    </row>
    <row r="1503" spans="8:10" x14ac:dyDescent="0.25">
      <c r="H1503" s="7"/>
      <c r="I1503" s="7"/>
      <c r="J1503" s="7"/>
    </row>
    <row r="1504" spans="8:10" x14ac:dyDescent="0.25">
      <c r="H1504" s="7"/>
      <c r="I1504" s="7"/>
      <c r="J1504" s="7"/>
    </row>
    <row r="1505" spans="8:10" x14ac:dyDescent="0.25">
      <c r="H1505" s="7"/>
      <c r="I1505" s="7"/>
      <c r="J1505" s="7"/>
    </row>
    <row r="1506" spans="8:10" x14ac:dyDescent="0.25">
      <c r="H1506" s="7"/>
      <c r="I1506" s="7"/>
      <c r="J1506" s="7"/>
    </row>
    <row r="1507" spans="8:10" x14ac:dyDescent="0.25">
      <c r="H1507" s="7"/>
      <c r="I1507" s="7"/>
      <c r="J1507" s="7"/>
    </row>
    <row r="1508" spans="8:10" x14ac:dyDescent="0.25">
      <c r="H1508" s="7"/>
      <c r="I1508" s="7"/>
      <c r="J1508" s="7"/>
    </row>
    <row r="1509" spans="8:10" x14ac:dyDescent="0.25">
      <c r="H1509" s="7"/>
      <c r="I1509" s="7"/>
      <c r="J1509" s="7"/>
    </row>
    <row r="1510" spans="8:10" x14ac:dyDescent="0.25">
      <c r="H1510" s="7"/>
      <c r="I1510" s="7"/>
      <c r="J1510" s="7"/>
    </row>
    <row r="1511" spans="8:10" x14ac:dyDescent="0.25">
      <c r="H1511" s="7"/>
      <c r="I1511" s="7"/>
      <c r="J1511" s="7"/>
    </row>
    <row r="1512" spans="8:10" x14ac:dyDescent="0.25">
      <c r="H1512" s="7"/>
      <c r="I1512" s="7"/>
      <c r="J1512" s="7"/>
    </row>
    <row r="1513" spans="8:10" x14ac:dyDescent="0.25">
      <c r="H1513" s="7"/>
      <c r="I1513" s="7"/>
      <c r="J1513" s="7"/>
    </row>
    <row r="1514" spans="8:10" x14ac:dyDescent="0.25">
      <c r="H1514" s="7"/>
      <c r="I1514" s="7"/>
      <c r="J1514" s="7"/>
    </row>
    <row r="1515" spans="8:10" x14ac:dyDescent="0.25">
      <c r="H1515" s="7"/>
      <c r="I1515" s="7"/>
      <c r="J1515" s="7"/>
    </row>
    <row r="1516" spans="8:10" x14ac:dyDescent="0.25">
      <c r="H1516" s="7"/>
      <c r="I1516" s="7"/>
      <c r="J1516" s="7"/>
    </row>
    <row r="1517" spans="8:10" x14ac:dyDescent="0.25">
      <c r="H1517" s="7"/>
      <c r="I1517" s="7"/>
      <c r="J1517" s="7"/>
    </row>
    <row r="1518" spans="8:10" x14ac:dyDescent="0.25">
      <c r="H1518" s="7"/>
      <c r="I1518" s="7"/>
      <c r="J1518" s="7"/>
    </row>
    <row r="1519" spans="8:10" x14ac:dyDescent="0.25">
      <c r="H1519" s="7"/>
      <c r="I1519" s="7"/>
      <c r="J1519" s="7"/>
    </row>
    <row r="1520" spans="8:10" x14ac:dyDescent="0.25">
      <c r="H1520" s="7"/>
      <c r="I1520" s="7"/>
      <c r="J1520" s="7"/>
    </row>
    <row r="1521" spans="8:10" x14ac:dyDescent="0.25">
      <c r="H1521" s="7"/>
      <c r="I1521" s="7"/>
      <c r="J1521" s="7"/>
    </row>
    <row r="1522" spans="8:10" x14ac:dyDescent="0.25">
      <c r="H1522" s="7"/>
      <c r="I1522" s="7"/>
      <c r="J1522" s="7"/>
    </row>
    <row r="1523" spans="8:10" x14ac:dyDescent="0.25">
      <c r="H1523" s="7"/>
      <c r="I1523" s="7"/>
      <c r="J1523" s="7"/>
    </row>
    <row r="1524" spans="8:10" x14ac:dyDescent="0.25">
      <c r="H1524" s="7"/>
      <c r="I1524" s="7"/>
      <c r="J1524" s="7"/>
    </row>
    <row r="1525" spans="8:10" x14ac:dyDescent="0.25">
      <c r="H1525" s="7"/>
      <c r="I1525" s="7"/>
      <c r="J1525" s="7"/>
    </row>
    <row r="1526" spans="8:10" x14ac:dyDescent="0.25">
      <c r="H1526" s="7"/>
      <c r="I1526" s="7"/>
      <c r="J1526" s="7"/>
    </row>
    <row r="1527" spans="8:10" x14ac:dyDescent="0.25">
      <c r="H1527" s="7"/>
      <c r="I1527" s="7"/>
      <c r="J1527" s="7"/>
    </row>
    <row r="1528" spans="8:10" x14ac:dyDescent="0.25">
      <c r="H1528" s="7"/>
      <c r="I1528" s="7"/>
      <c r="J1528" s="7"/>
    </row>
    <row r="1529" spans="8:10" x14ac:dyDescent="0.25">
      <c r="H1529" s="7"/>
      <c r="I1529" s="7"/>
      <c r="J1529" s="7"/>
    </row>
    <row r="1530" spans="8:10" x14ac:dyDescent="0.25">
      <c r="H1530" s="7"/>
      <c r="I1530" s="7"/>
      <c r="J1530" s="7"/>
    </row>
    <row r="1531" spans="8:10" x14ac:dyDescent="0.25">
      <c r="H1531" s="7"/>
      <c r="I1531" s="7"/>
      <c r="J1531" s="7"/>
    </row>
    <row r="1532" spans="8:10" x14ac:dyDescent="0.25">
      <c r="H1532" s="7"/>
      <c r="I1532" s="7"/>
      <c r="J1532" s="7"/>
    </row>
    <row r="1533" spans="8:10" x14ac:dyDescent="0.25">
      <c r="H1533" s="7"/>
      <c r="I1533" s="7"/>
      <c r="J1533" s="7"/>
    </row>
    <row r="1534" spans="8:10" x14ac:dyDescent="0.25">
      <c r="H1534" s="7"/>
      <c r="I1534" s="7"/>
      <c r="J1534" s="7"/>
    </row>
    <row r="1535" spans="8:10" x14ac:dyDescent="0.25">
      <c r="H1535" s="7"/>
      <c r="I1535" s="7"/>
      <c r="J1535" s="7"/>
    </row>
    <row r="1536" spans="8:10" x14ac:dyDescent="0.25">
      <c r="H1536" s="7"/>
      <c r="I1536" s="7"/>
      <c r="J1536" s="7"/>
    </row>
    <row r="1537" spans="8:10" x14ac:dyDescent="0.25">
      <c r="H1537" s="7"/>
      <c r="I1537" s="7"/>
      <c r="J1537" s="7"/>
    </row>
    <row r="1538" spans="8:10" x14ac:dyDescent="0.25">
      <c r="H1538" s="7"/>
      <c r="I1538" s="7"/>
      <c r="J1538" s="7"/>
    </row>
    <row r="1539" spans="8:10" x14ac:dyDescent="0.25">
      <c r="H1539" s="7"/>
      <c r="I1539" s="7"/>
      <c r="J1539" s="7"/>
    </row>
    <row r="1540" spans="8:10" x14ac:dyDescent="0.25">
      <c r="H1540" s="7"/>
      <c r="I1540" s="7"/>
      <c r="J1540" s="7"/>
    </row>
    <row r="1541" spans="8:10" x14ac:dyDescent="0.25">
      <c r="H1541" s="7"/>
      <c r="I1541" s="7"/>
      <c r="J1541" s="7"/>
    </row>
    <row r="1542" spans="8:10" x14ac:dyDescent="0.25">
      <c r="H1542" s="7"/>
      <c r="I1542" s="7"/>
      <c r="J1542" s="7"/>
    </row>
    <row r="1543" spans="8:10" x14ac:dyDescent="0.25">
      <c r="H1543" s="7"/>
      <c r="I1543" s="7"/>
      <c r="J1543" s="7"/>
    </row>
    <row r="1544" spans="8:10" x14ac:dyDescent="0.25">
      <c r="H1544" s="7"/>
      <c r="I1544" s="7"/>
      <c r="J1544" s="7"/>
    </row>
    <row r="1545" spans="8:10" x14ac:dyDescent="0.25">
      <c r="H1545" s="7"/>
      <c r="I1545" s="7"/>
      <c r="J1545" s="7"/>
    </row>
    <row r="1546" spans="8:10" x14ac:dyDescent="0.25">
      <c r="H1546" s="7"/>
      <c r="I1546" s="7"/>
      <c r="J1546" s="7"/>
    </row>
    <row r="1547" spans="8:10" x14ac:dyDescent="0.25">
      <c r="H1547" s="7"/>
      <c r="I1547" s="7"/>
      <c r="J1547" s="7"/>
    </row>
    <row r="1548" spans="8:10" x14ac:dyDescent="0.25">
      <c r="H1548" s="7"/>
      <c r="I1548" s="7"/>
      <c r="J1548" s="7"/>
    </row>
    <row r="1549" spans="8:10" x14ac:dyDescent="0.25">
      <c r="H1549" s="7"/>
      <c r="I1549" s="7"/>
      <c r="J1549" s="7"/>
    </row>
    <row r="1550" spans="8:10" x14ac:dyDescent="0.25">
      <c r="H1550" s="7"/>
      <c r="I1550" s="7"/>
      <c r="J1550" s="7"/>
    </row>
    <row r="1551" spans="8:10" x14ac:dyDescent="0.25">
      <c r="H1551" s="7"/>
      <c r="I1551" s="7"/>
      <c r="J1551" s="7"/>
    </row>
    <row r="1552" spans="8:10" x14ac:dyDescent="0.25">
      <c r="H1552" s="7"/>
      <c r="I1552" s="7"/>
      <c r="J1552" s="7"/>
    </row>
    <row r="1553" spans="8:10" x14ac:dyDescent="0.25">
      <c r="H1553" s="7"/>
      <c r="I1553" s="7"/>
      <c r="J1553" s="7"/>
    </row>
    <row r="1554" spans="8:10" x14ac:dyDescent="0.25">
      <c r="H1554" s="7"/>
      <c r="I1554" s="7"/>
      <c r="J1554" s="7"/>
    </row>
    <row r="1555" spans="8:10" x14ac:dyDescent="0.25">
      <c r="H1555" s="7"/>
      <c r="I1555" s="7"/>
      <c r="J1555" s="7"/>
    </row>
    <row r="1556" spans="8:10" x14ac:dyDescent="0.25">
      <c r="H1556" s="7"/>
      <c r="I1556" s="7"/>
      <c r="J1556" s="7"/>
    </row>
    <row r="1557" spans="8:10" x14ac:dyDescent="0.25">
      <c r="H1557" s="7"/>
      <c r="I1557" s="7"/>
      <c r="J1557" s="7"/>
    </row>
    <row r="1558" spans="8:10" x14ac:dyDescent="0.25">
      <c r="H1558" s="7"/>
      <c r="I1558" s="7"/>
      <c r="J1558" s="7"/>
    </row>
    <row r="1559" spans="8:10" x14ac:dyDescent="0.25">
      <c r="H1559" s="7"/>
      <c r="I1559" s="7"/>
      <c r="J1559" s="7"/>
    </row>
    <row r="1560" spans="8:10" x14ac:dyDescent="0.25">
      <c r="H1560" s="7"/>
      <c r="I1560" s="7"/>
      <c r="J1560" s="7"/>
    </row>
    <row r="1561" spans="8:10" x14ac:dyDescent="0.25">
      <c r="H1561" s="7"/>
      <c r="I1561" s="7"/>
      <c r="J1561" s="7"/>
    </row>
    <row r="1562" spans="8:10" x14ac:dyDescent="0.25">
      <c r="H1562" s="7"/>
      <c r="I1562" s="7"/>
      <c r="J1562" s="7"/>
    </row>
    <row r="1563" spans="8:10" x14ac:dyDescent="0.25">
      <c r="H1563" s="7"/>
      <c r="I1563" s="7"/>
      <c r="J1563" s="7"/>
    </row>
    <row r="1564" spans="8:10" x14ac:dyDescent="0.25">
      <c r="H1564" s="7"/>
      <c r="I1564" s="7"/>
      <c r="J1564" s="7"/>
    </row>
    <row r="1565" spans="8:10" x14ac:dyDescent="0.25">
      <c r="H1565" s="7"/>
      <c r="I1565" s="7"/>
      <c r="J1565" s="7"/>
    </row>
    <row r="1566" spans="8:10" x14ac:dyDescent="0.25">
      <c r="H1566" s="7"/>
      <c r="I1566" s="7"/>
      <c r="J1566" s="7"/>
    </row>
    <row r="1567" spans="8:10" x14ac:dyDescent="0.25">
      <c r="H1567" s="7"/>
      <c r="I1567" s="7"/>
      <c r="J1567" s="7"/>
    </row>
    <row r="1568" spans="8:10" x14ac:dyDescent="0.25">
      <c r="H1568" s="7"/>
      <c r="I1568" s="7"/>
      <c r="J1568" s="7"/>
    </row>
    <row r="1569" spans="8:10" x14ac:dyDescent="0.25">
      <c r="H1569" s="7"/>
      <c r="I1569" s="7"/>
      <c r="J1569" s="7"/>
    </row>
    <row r="1570" spans="8:10" x14ac:dyDescent="0.25">
      <c r="H1570" s="7"/>
      <c r="I1570" s="7"/>
      <c r="J1570" s="7"/>
    </row>
    <row r="1571" spans="8:10" x14ac:dyDescent="0.25">
      <c r="H1571" s="7"/>
      <c r="I1571" s="7"/>
      <c r="J1571" s="7"/>
    </row>
    <row r="1572" spans="8:10" x14ac:dyDescent="0.25">
      <c r="H1572" s="7"/>
      <c r="I1572" s="7"/>
      <c r="J1572" s="7"/>
    </row>
    <row r="1573" spans="8:10" x14ac:dyDescent="0.25">
      <c r="H1573" s="7"/>
      <c r="I1573" s="7"/>
      <c r="J1573" s="7"/>
    </row>
    <row r="1574" spans="8:10" x14ac:dyDescent="0.25">
      <c r="H1574" s="7"/>
      <c r="I1574" s="7"/>
      <c r="J1574" s="7"/>
    </row>
    <row r="1575" spans="8:10" x14ac:dyDescent="0.25">
      <c r="H1575" s="7"/>
      <c r="I1575" s="7"/>
      <c r="J1575" s="7"/>
    </row>
    <row r="1576" spans="8:10" x14ac:dyDescent="0.25">
      <c r="H1576" s="7"/>
      <c r="I1576" s="7"/>
      <c r="J1576" s="7"/>
    </row>
    <row r="1577" spans="8:10" x14ac:dyDescent="0.25">
      <c r="H1577" s="7"/>
      <c r="I1577" s="7"/>
      <c r="J1577" s="7"/>
    </row>
    <row r="1578" spans="8:10" x14ac:dyDescent="0.25">
      <c r="H1578" s="7"/>
      <c r="I1578" s="7"/>
      <c r="J1578" s="7"/>
    </row>
    <row r="1579" spans="8:10" x14ac:dyDescent="0.25">
      <c r="H1579" s="7"/>
      <c r="I1579" s="7"/>
      <c r="J1579" s="7"/>
    </row>
    <row r="1580" spans="8:10" x14ac:dyDescent="0.25">
      <c r="H1580" s="7"/>
      <c r="I1580" s="7"/>
      <c r="J1580" s="7"/>
    </row>
    <row r="1581" spans="8:10" x14ac:dyDescent="0.25">
      <c r="H1581" s="7"/>
      <c r="I1581" s="7"/>
      <c r="J1581" s="7"/>
    </row>
    <row r="1582" spans="8:10" x14ac:dyDescent="0.25">
      <c r="H1582" s="7"/>
      <c r="I1582" s="7"/>
      <c r="J1582" s="7"/>
    </row>
    <row r="1583" spans="8:10" x14ac:dyDescent="0.25">
      <c r="H1583" s="7"/>
      <c r="I1583" s="7"/>
      <c r="J1583" s="7"/>
    </row>
    <row r="1584" spans="8:10" x14ac:dyDescent="0.25">
      <c r="H1584" s="7"/>
      <c r="I1584" s="7"/>
      <c r="J1584" s="7"/>
    </row>
    <row r="1585" spans="8:10" x14ac:dyDescent="0.25">
      <c r="H1585" s="7"/>
      <c r="I1585" s="7"/>
      <c r="J1585" s="7"/>
    </row>
    <row r="1586" spans="8:10" x14ac:dyDescent="0.25">
      <c r="H1586" s="7"/>
      <c r="I1586" s="7"/>
      <c r="J1586" s="7"/>
    </row>
    <row r="1587" spans="8:10" x14ac:dyDescent="0.25">
      <c r="H1587" s="7"/>
      <c r="I1587" s="7"/>
      <c r="J1587" s="7"/>
    </row>
    <row r="1588" spans="8:10" x14ac:dyDescent="0.25">
      <c r="H1588" s="7"/>
      <c r="I1588" s="7"/>
      <c r="J1588" s="7"/>
    </row>
    <row r="1589" spans="8:10" x14ac:dyDescent="0.25">
      <c r="H1589" s="7"/>
      <c r="I1589" s="7"/>
      <c r="J1589" s="7"/>
    </row>
    <row r="1590" spans="8:10" x14ac:dyDescent="0.25">
      <c r="H1590" s="7"/>
      <c r="I1590" s="7"/>
      <c r="J1590" s="7"/>
    </row>
    <row r="1591" spans="8:10" x14ac:dyDescent="0.25">
      <c r="H1591" s="7"/>
      <c r="I1591" s="7"/>
      <c r="J1591" s="7"/>
    </row>
    <row r="1592" spans="8:10" x14ac:dyDescent="0.25">
      <c r="H1592" s="7"/>
      <c r="I1592" s="7"/>
      <c r="J1592" s="7"/>
    </row>
    <row r="1593" spans="8:10" x14ac:dyDescent="0.25">
      <c r="H1593" s="7"/>
      <c r="I1593" s="7"/>
      <c r="J1593" s="7"/>
    </row>
    <row r="1594" spans="8:10" x14ac:dyDescent="0.25">
      <c r="H1594" s="7"/>
      <c r="I1594" s="7"/>
      <c r="J1594" s="7"/>
    </row>
    <row r="1595" spans="8:10" x14ac:dyDescent="0.25">
      <c r="H1595" s="7"/>
      <c r="I1595" s="7"/>
      <c r="J1595" s="7"/>
    </row>
    <row r="1596" spans="8:10" x14ac:dyDescent="0.25">
      <c r="H1596" s="7"/>
      <c r="I1596" s="7"/>
      <c r="J1596" s="7"/>
    </row>
    <row r="1597" spans="8:10" x14ac:dyDescent="0.25">
      <c r="H1597" s="7"/>
      <c r="I1597" s="7"/>
      <c r="J1597" s="7"/>
    </row>
    <row r="1598" spans="8:10" x14ac:dyDescent="0.25">
      <c r="H1598" s="7"/>
      <c r="I1598" s="7"/>
      <c r="J1598" s="7"/>
    </row>
    <row r="1599" spans="8:10" x14ac:dyDescent="0.25">
      <c r="H1599" s="7"/>
      <c r="I1599" s="7"/>
      <c r="J1599" s="7"/>
    </row>
    <row r="1600" spans="8:10" x14ac:dyDescent="0.25">
      <c r="H1600" s="7"/>
      <c r="I1600" s="7"/>
      <c r="J1600" s="7"/>
    </row>
    <row r="1601" spans="8:10" x14ac:dyDescent="0.25">
      <c r="H1601" s="7"/>
      <c r="I1601" s="7"/>
      <c r="J1601" s="7"/>
    </row>
    <row r="1602" spans="8:10" x14ac:dyDescent="0.25">
      <c r="H1602" s="7"/>
      <c r="I1602" s="7"/>
      <c r="J1602" s="7"/>
    </row>
    <row r="1603" spans="8:10" x14ac:dyDescent="0.25">
      <c r="H1603" s="7"/>
      <c r="I1603" s="7"/>
      <c r="J1603" s="7"/>
    </row>
    <row r="1604" spans="8:10" x14ac:dyDescent="0.25">
      <c r="H1604" s="7"/>
      <c r="I1604" s="7"/>
      <c r="J1604" s="7"/>
    </row>
    <row r="1605" spans="8:10" x14ac:dyDescent="0.25">
      <c r="H1605" s="7"/>
      <c r="I1605" s="7"/>
      <c r="J1605" s="7"/>
    </row>
    <row r="1606" spans="8:10" x14ac:dyDescent="0.25">
      <c r="H1606" s="7"/>
      <c r="I1606" s="7"/>
      <c r="J1606" s="7"/>
    </row>
    <row r="1607" spans="8:10" x14ac:dyDescent="0.25">
      <c r="H1607" s="7"/>
      <c r="I1607" s="7"/>
      <c r="J1607" s="7"/>
    </row>
    <row r="1608" spans="8:10" x14ac:dyDescent="0.25">
      <c r="H1608" s="7"/>
      <c r="I1608" s="7"/>
      <c r="J1608" s="7"/>
    </row>
    <row r="1609" spans="8:10" x14ac:dyDescent="0.25">
      <c r="H1609" s="7"/>
      <c r="I1609" s="7"/>
      <c r="J1609" s="7"/>
    </row>
    <row r="1610" spans="8:10" x14ac:dyDescent="0.25">
      <c r="H1610" s="7"/>
      <c r="I1610" s="7"/>
      <c r="J1610" s="7"/>
    </row>
    <row r="1611" spans="8:10" x14ac:dyDescent="0.25">
      <c r="H1611" s="7"/>
      <c r="I1611" s="7"/>
      <c r="J1611" s="7"/>
    </row>
    <row r="1612" spans="8:10" x14ac:dyDescent="0.25">
      <c r="H1612" s="7"/>
      <c r="I1612" s="7"/>
      <c r="J1612" s="7"/>
    </row>
    <row r="1613" spans="8:10" x14ac:dyDescent="0.25">
      <c r="H1613" s="7"/>
      <c r="I1613" s="7"/>
      <c r="J1613" s="7"/>
    </row>
    <row r="1614" spans="8:10" x14ac:dyDescent="0.25">
      <c r="H1614" s="7"/>
      <c r="I1614" s="7"/>
      <c r="J1614" s="7"/>
    </row>
    <row r="1615" spans="8:10" x14ac:dyDescent="0.25">
      <c r="H1615" s="7"/>
      <c r="I1615" s="7"/>
      <c r="J1615" s="7"/>
    </row>
    <row r="1616" spans="8:10" x14ac:dyDescent="0.25">
      <c r="H1616" s="7"/>
      <c r="I1616" s="7"/>
      <c r="J1616" s="7"/>
    </row>
    <row r="1617" spans="8:10" x14ac:dyDescent="0.25">
      <c r="H1617" s="7"/>
      <c r="I1617" s="7"/>
      <c r="J1617" s="7"/>
    </row>
    <row r="1618" spans="8:10" x14ac:dyDescent="0.25">
      <c r="H1618" s="7"/>
      <c r="I1618" s="7"/>
      <c r="J1618" s="7"/>
    </row>
    <row r="1619" spans="8:10" x14ac:dyDescent="0.25">
      <c r="H1619" s="7"/>
      <c r="I1619" s="7"/>
      <c r="J1619" s="7"/>
    </row>
    <row r="1620" spans="8:10" x14ac:dyDescent="0.25">
      <c r="H1620" s="7"/>
      <c r="I1620" s="7"/>
      <c r="J1620" s="7"/>
    </row>
    <row r="1621" spans="8:10" x14ac:dyDescent="0.25">
      <c r="H1621" s="7"/>
      <c r="I1621" s="7"/>
      <c r="J1621" s="7"/>
    </row>
    <row r="1622" spans="8:10" x14ac:dyDescent="0.25">
      <c r="H1622" s="7"/>
      <c r="I1622" s="7"/>
      <c r="J1622" s="7"/>
    </row>
    <row r="1623" spans="8:10" x14ac:dyDescent="0.25">
      <c r="H1623" s="7"/>
      <c r="I1623" s="7"/>
      <c r="J1623" s="7"/>
    </row>
    <row r="1624" spans="8:10" x14ac:dyDescent="0.25">
      <c r="H1624" s="7"/>
      <c r="I1624" s="7"/>
      <c r="J1624" s="7"/>
    </row>
    <row r="1625" spans="8:10" x14ac:dyDescent="0.25">
      <c r="H1625" s="7"/>
      <c r="I1625" s="7"/>
      <c r="J1625" s="7"/>
    </row>
    <row r="1626" spans="8:10" x14ac:dyDescent="0.25">
      <c r="H1626" s="7"/>
      <c r="I1626" s="7"/>
      <c r="J1626" s="7"/>
    </row>
    <row r="1627" spans="8:10" x14ac:dyDescent="0.25">
      <c r="H1627" s="7"/>
      <c r="I1627" s="7"/>
      <c r="J1627" s="7"/>
    </row>
    <row r="1628" spans="8:10" x14ac:dyDescent="0.25">
      <c r="H1628" s="7"/>
      <c r="I1628" s="7"/>
      <c r="J1628" s="7"/>
    </row>
    <row r="1629" spans="8:10" x14ac:dyDescent="0.25">
      <c r="H1629" s="7"/>
      <c r="I1629" s="7"/>
      <c r="J1629" s="7"/>
    </row>
    <row r="1630" spans="8:10" x14ac:dyDescent="0.25">
      <c r="H1630" s="7"/>
      <c r="I1630" s="7"/>
      <c r="J1630" s="7"/>
    </row>
    <row r="1631" spans="8:10" x14ac:dyDescent="0.25">
      <c r="H1631" s="7"/>
      <c r="I1631" s="7"/>
      <c r="J1631" s="7"/>
    </row>
    <row r="1632" spans="8:10" x14ac:dyDescent="0.25">
      <c r="H1632" s="7"/>
      <c r="I1632" s="7"/>
      <c r="J1632" s="7"/>
    </row>
    <row r="1633" spans="8:10" x14ac:dyDescent="0.25">
      <c r="H1633" s="7"/>
      <c r="I1633" s="7"/>
      <c r="J1633" s="7"/>
    </row>
    <row r="1634" spans="8:10" x14ac:dyDescent="0.25">
      <c r="H1634" s="7"/>
      <c r="I1634" s="7"/>
      <c r="J1634" s="7"/>
    </row>
    <row r="1635" spans="8:10" x14ac:dyDescent="0.25">
      <c r="H1635" s="7"/>
      <c r="I1635" s="7"/>
      <c r="J1635" s="7"/>
    </row>
    <row r="1636" spans="8:10" x14ac:dyDescent="0.25">
      <c r="H1636" s="7"/>
      <c r="I1636" s="7"/>
      <c r="J1636" s="7"/>
    </row>
    <row r="1637" spans="8:10" x14ac:dyDescent="0.25">
      <c r="H1637" s="7"/>
      <c r="I1637" s="7"/>
      <c r="J1637" s="7"/>
    </row>
    <row r="1638" spans="8:10" x14ac:dyDescent="0.25">
      <c r="H1638" s="7"/>
      <c r="I1638" s="7"/>
      <c r="J1638" s="7"/>
    </row>
    <row r="1639" spans="8:10" x14ac:dyDescent="0.25">
      <c r="H1639" s="7"/>
      <c r="I1639" s="7"/>
      <c r="J1639" s="7"/>
    </row>
    <row r="1640" spans="8:10" x14ac:dyDescent="0.25">
      <c r="H1640" s="7"/>
      <c r="I1640" s="7"/>
      <c r="J1640" s="7"/>
    </row>
    <row r="1641" spans="8:10" x14ac:dyDescent="0.25">
      <c r="H1641" s="7"/>
      <c r="I1641" s="7"/>
      <c r="J1641" s="7"/>
    </row>
    <row r="1642" spans="8:10" x14ac:dyDescent="0.25">
      <c r="H1642" s="7"/>
      <c r="I1642" s="7"/>
      <c r="J1642" s="7"/>
    </row>
    <row r="1643" spans="8:10" x14ac:dyDescent="0.25">
      <c r="H1643" s="7"/>
      <c r="I1643" s="7"/>
      <c r="J1643" s="7"/>
    </row>
    <row r="1644" spans="8:10" x14ac:dyDescent="0.25">
      <c r="H1644" s="7"/>
      <c r="I1644" s="7"/>
      <c r="J1644" s="7"/>
    </row>
    <row r="1645" spans="8:10" x14ac:dyDescent="0.25">
      <c r="H1645" s="7"/>
      <c r="I1645" s="7"/>
      <c r="J1645" s="7"/>
    </row>
    <row r="1646" spans="8:10" x14ac:dyDescent="0.25">
      <c r="H1646" s="7"/>
      <c r="I1646" s="7"/>
      <c r="J1646" s="7"/>
    </row>
    <row r="1647" spans="8:10" x14ac:dyDescent="0.25">
      <c r="H1647" s="7"/>
      <c r="I1647" s="7"/>
      <c r="J1647" s="7"/>
    </row>
    <row r="1648" spans="8:10" x14ac:dyDescent="0.25">
      <c r="H1648" s="7"/>
      <c r="I1648" s="7"/>
      <c r="J1648" s="7"/>
    </row>
    <row r="1649" spans="8:10" x14ac:dyDescent="0.25">
      <c r="H1649" s="7"/>
      <c r="I1649" s="7"/>
      <c r="J1649" s="7"/>
    </row>
    <row r="1650" spans="8:10" x14ac:dyDescent="0.25">
      <c r="H1650" s="7"/>
      <c r="I1650" s="7"/>
      <c r="J1650" s="7"/>
    </row>
    <row r="1651" spans="8:10" x14ac:dyDescent="0.25">
      <c r="H1651" s="7"/>
      <c r="I1651" s="7"/>
      <c r="J1651" s="7"/>
    </row>
    <row r="1652" spans="8:10" x14ac:dyDescent="0.25">
      <c r="H1652" s="7"/>
      <c r="I1652" s="7"/>
      <c r="J1652" s="7"/>
    </row>
    <row r="1653" spans="8:10" x14ac:dyDescent="0.25">
      <c r="H1653" s="7"/>
      <c r="I1653" s="7"/>
      <c r="J1653" s="7"/>
    </row>
    <row r="1654" spans="8:10" x14ac:dyDescent="0.25">
      <c r="H1654" s="7"/>
      <c r="I1654" s="7"/>
      <c r="J1654" s="7"/>
    </row>
    <row r="1655" spans="8:10" x14ac:dyDescent="0.25">
      <c r="H1655" s="7"/>
      <c r="I1655" s="7"/>
      <c r="J1655" s="7"/>
    </row>
    <row r="1656" spans="8:10" x14ac:dyDescent="0.25">
      <c r="H1656" s="7"/>
      <c r="I1656" s="7"/>
      <c r="J1656" s="7"/>
    </row>
    <row r="1657" spans="8:10" x14ac:dyDescent="0.25">
      <c r="H1657" s="7"/>
      <c r="I1657" s="7"/>
      <c r="J1657" s="7"/>
    </row>
    <row r="1658" spans="8:10" x14ac:dyDescent="0.25">
      <c r="H1658" s="7"/>
      <c r="I1658" s="7"/>
      <c r="J1658" s="7"/>
    </row>
    <row r="1659" spans="8:10" x14ac:dyDescent="0.25">
      <c r="H1659" s="7"/>
      <c r="I1659" s="7"/>
      <c r="J1659" s="7"/>
    </row>
    <row r="1660" spans="8:10" x14ac:dyDescent="0.25">
      <c r="H1660" s="7"/>
      <c r="I1660" s="7"/>
      <c r="J1660" s="7"/>
    </row>
    <row r="1661" spans="8:10" x14ac:dyDescent="0.25">
      <c r="H1661" s="7"/>
      <c r="I1661" s="7"/>
      <c r="J1661" s="7"/>
    </row>
    <row r="1662" spans="8:10" x14ac:dyDescent="0.25">
      <c r="H1662" s="7"/>
      <c r="I1662" s="7"/>
      <c r="J1662" s="7"/>
    </row>
    <row r="1663" spans="8:10" x14ac:dyDescent="0.25">
      <c r="H1663" s="7"/>
      <c r="I1663" s="7"/>
      <c r="J1663" s="7"/>
    </row>
    <row r="1664" spans="8:10" x14ac:dyDescent="0.25">
      <c r="H1664" s="7"/>
      <c r="I1664" s="7"/>
      <c r="J1664" s="7"/>
    </row>
    <row r="1665" spans="8:10" x14ac:dyDescent="0.25">
      <c r="H1665" s="7"/>
      <c r="I1665" s="7"/>
      <c r="J1665" s="7"/>
    </row>
    <row r="1666" spans="8:10" x14ac:dyDescent="0.25">
      <c r="H1666" s="7"/>
      <c r="I1666" s="7"/>
      <c r="J1666" s="7"/>
    </row>
    <row r="1667" spans="8:10" x14ac:dyDescent="0.25">
      <c r="H1667" s="7"/>
      <c r="I1667" s="7"/>
      <c r="J1667" s="7"/>
    </row>
    <row r="1668" spans="8:10" x14ac:dyDescent="0.25">
      <c r="H1668" s="7"/>
      <c r="I1668" s="7"/>
      <c r="J1668" s="7"/>
    </row>
    <row r="1669" spans="8:10" x14ac:dyDescent="0.25">
      <c r="H1669" s="7"/>
      <c r="I1669" s="7"/>
      <c r="J1669" s="7"/>
    </row>
    <row r="1670" spans="8:10" x14ac:dyDescent="0.25">
      <c r="H1670" s="7"/>
      <c r="I1670" s="7"/>
      <c r="J1670" s="7"/>
    </row>
    <row r="1671" spans="8:10" x14ac:dyDescent="0.25">
      <c r="H1671" s="7"/>
      <c r="I1671" s="7"/>
      <c r="J1671" s="7"/>
    </row>
    <row r="1672" spans="8:10" x14ac:dyDescent="0.25">
      <c r="H1672" s="7"/>
      <c r="I1672" s="7"/>
      <c r="J1672" s="7"/>
    </row>
    <row r="1673" spans="8:10" x14ac:dyDescent="0.25">
      <c r="H1673" s="7"/>
      <c r="I1673" s="7"/>
      <c r="J1673" s="7"/>
    </row>
    <row r="1674" spans="8:10" x14ac:dyDescent="0.25">
      <c r="H1674" s="7"/>
      <c r="I1674" s="7"/>
      <c r="J1674" s="7"/>
    </row>
    <row r="1675" spans="8:10" x14ac:dyDescent="0.25">
      <c r="H1675" s="7"/>
      <c r="I1675" s="7"/>
      <c r="J1675" s="7"/>
    </row>
    <row r="1676" spans="8:10" x14ac:dyDescent="0.25">
      <c r="H1676" s="7"/>
      <c r="I1676" s="7"/>
      <c r="J1676" s="7"/>
    </row>
    <row r="1677" spans="8:10" x14ac:dyDescent="0.25">
      <c r="H1677" s="7"/>
      <c r="I1677" s="7"/>
      <c r="J1677" s="7"/>
    </row>
    <row r="1678" spans="8:10" x14ac:dyDescent="0.25">
      <c r="H1678" s="7"/>
      <c r="I1678" s="7"/>
      <c r="J1678" s="7"/>
    </row>
    <row r="1679" spans="8:10" x14ac:dyDescent="0.25">
      <c r="H1679" s="7"/>
      <c r="I1679" s="7"/>
      <c r="J1679" s="7"/>
    </row>
    <row r="1680" spans="8:10" x14ac:dyDescent="0.25">
      <c r="H1680" s="7"/>
      <c r="I1680" s="7"/>
      <c r="J1680" s="7"/>
    </row>
    <row r="1681" spans="8:10" x14ac:dyDescent="0.25">
      <c r="H1681" s="7"/>
      <c r="I1681" s="7"/>
      <c r="J1681" s="7"/>
    </row>
    <row r="1682" spans="8:10" x14ac:dyDescent="0.25">
      <c r="H1682" s="7"/>
      <c r="I1682" s="7"/>
      <c r="J1682" s="7"/>
    </row>
    <row r="1683" spans="8:10" x14ac:dyDescent="0.25">
      <c r="H1683" s="7"/>
      <c r="I1683" s="7"/>
      <c r="J1683" s="7"/>
    </row>
    <row r="1684" spans="8:10" x14ac:dyDescent="0.25">
      <c r="H1684" s="7"/>
      <c r="I1684" s="7"/>
      <c r="J1684" s="7"/>
    </row>
    <row r="1685" spans="8:10" x14ac:dyDescent="0.25">
      <c r="H1685" s="7"/>
      <c r="I1685" s="7"/>
      <c r="J1685" s="7"/>
    </row>
    <row r="1686" spans="8:10" x14ac:dyDescent="0.25">
      <c r="H1686" s="7"/>
      <c r="I1686" s="7"/>
      <c r="J1686" s="7"/>
    </row>
    <row r="1687" spans="8:10" x14ac:dyDescent="0.25">
      <c r="H1687" s="7"/>
      <c r="I1687" s="7"/>
      <c r="J1687" s="7"/>
    </row>
    <row r="1688" spans="8:10" x14ac:dyDescent="0.25">
      <c r="H1688" s="7"/>
      <c r="I1688" s="7"/>
      <c r="J1688" s="7"/>
    </row>
    <row r="1689" spans="8:10" x14ac:dyDescent="0.25">
      <c r="H1689" s="7"/>
      <c r="I1689" s="7"/>
      <c r="J1689" s="7"/>
    </row>
    <row r="1690" spans="8:10" x14ac:dyDescent="0.25">
      <c r="H1690" s="7"/>
      <c r="I1690" s="7"/>
      <c r="J1690" s="7"/>
    </row>
    <row r="1691" spans="8:10" x14ac:dyDescent="0.25">
      <c r="H1691" s="7"/>
      <c r="I1691" s="7"/>
      <c r="J1691" s="7"/>
    </row>
    <row r="1692" spans="8:10" x14ac:dyDescent="0.25">
      <c r="H1692" s="7"/>
      <c r="I1692" s="7"/>
      <c r="J1692" s="7"/>
    </row>
    <row r="1693" spans="8:10" x14ac:dyDescent="0.25">
      <c r="H1693" s="7"/>
      <c r="I1693" s="7"/>
      <c r="J1693" s="7"/>
    </row>
    <row r="1694" spans="8:10" x14ac:dyDescent="0.25">
      <c r="H1694" s="7"/>
      <c r="I1694" s="7"/>
      <c r="J1694" s="7"/>
    </row>
    <row r="1695" spans="8:10" x14ac:dyDescent="0.25">
      <c r="H1695" s="7"/>
      <c r="I1695" s="7"/>
      <c r="J1695" s="7"/>
    </row>
    <row r="1696" spans="8:10" x14ac:dyDescent="0.25">
      <c r="H1696" s="7"/>
      <c r="I1696" s="7"/>
      <c r="J1696" s="7"/>
    </row>
    <row r="1697" spans="8:10" x14ac:dyDescent="0.25">
      <c r="H1697" s="7"/>
      <c r="I1697" s="7"/>
      <c r="J1697" s="7"/>
    </row>
    <row r="1698" spans="8:10" x14ac:dyDescent="0.25">
      <c r="H1698" s="7"/>
      <c r="I1698" s="7"/>
      <c r="J1698" s="7"/>
    </row>
    <row r="1699" spans="8:10" x14ac:dyDescent="0.25">
      <c r="H1699" s="7"/>
      <c r="I1699" s="7"/>
      <c r="J1699" s="7"/>
    </row>
    <row r="1700" spans="8:10" x14ac:dyDescent="0.25">
      <c r="H1700" s="7"/>
      <c r="I1700" s="7"/>
      <c r="J1700" s="7"/>
    </row>
    <row r="1701" spans="8:10" x14ac:dyDescent="0.25">
      <c r="H1701" s="7"/>
      <c r="I1701" s="7"/>
      <c r="J1701" s="7"/>
    </row>
    <row r="1702" spans="8:10" x14ac:dyDescent="0.25">
      <c r="H1702" s="7"/>
      <c r="I1702" s="7"/>
      <c r="J1702" s="7"/>
    </row>
    <row r="1703" spans="8:10" x14ac:dyDescent="0.25">
      <c r="H1703" s="7"/>
      <c r="I1703" s="7"/>
      <c r="J1703" s="7"/>
    </row>
    <row r="1704" spans="8:10" x14ac:dyDescent="0.25">
      <c r="H1704" s="7"/>
      <c r="I1704" s="7"/>
      <c r="J1704" s="7"/>
    </row>
    <row r="1705" spans="8:10" x14ac:dyDescent="0.25">
      <c r="H1705" s="7"/>
      <c r="I1705" s="7"/>
      <c r="J1705" s="7"/>
    </row>
    <row r="1706" spans="8:10" x14ac:dyDescent="0.25">
      <c r="H1706" s="7"/>
      <c r="I1706" s="7"/>
      <c r="J1706" s="7"/>
    </row>
    <row r="1707" spans="8:10" x14ac:dyDescent="0.25">
      <c r="H1707" s="7"/>
      <c r="I1707" s="7"/>
      <c r="J1707" s="7"/>
    </row>
    <row r="1708" spans="8:10" x14ac:dyDescent="0.25">
      <c r="H1708" s="7"/>
      <c r="I1708" s="7"/>
      <c r="J1708" s="7"/>
    </row>
    <row r="1709" spans="8:10" x14ac:dyDescent="0.25">
      <c r="H1709" s="7"/>
      <c r="I1709" s="7"/>
      <c r="J1709" s="7"/>
    </row>
    <row r="1710" spans="8:10" x14ac:dyDescent="0.25">
      <c r="H1710" s="7"/>
      <c r="I1710" s="7"/>
      <c r="J1710" s="7"/>
    </row>
    <row r="1711" spans="8:10" x14ac:dyDescent="0.25">
      <c r="H1711" s="7"/>
      <c r="I1711" s="7"/>
      <c r="J1711" s="7"/>
    </row>
    <row r="1712" spans="8:10" x14ac:dyDescent="0.25">
      <c r="H1712" s="7"/>
      <c r="I1712" s="7"/>
      <c r="J1712" s="7"/>
    </row>
    <row r="1713" spans="8:10" x14ac:dyDescent="0.25">
      <c r="H1713" s="7"/>
      <c r="I1713" s="7"/>
      <c r="J1713" s="7"/>
    </row>
    <row r="1714" spans="8:10" x14ac:dyDescent="0.25">
      <c r="H1714" s="7"/>
      <c r="I1714" s="7"/>
      <c r="J1714" s="7"/>
    </row>
    <row r="1715" spans="8:10" x14ac:dyDescent="0.25">
      <c r="H1715" s="7"/>
      <c r="I1715" s="7"/>
      <c r="J1715" s="7"/>
    </row>
    <row r="1716" spans="8:10" x14ac:dyDescent="0.25">
      <c r="H1716" s="7"/>
      <c r="I1716" s="7"/>
      <c r="J1716" s="7"/>
    </row>
    <row r="1717" spans="8:10" x14ac:dyDescent="0.25">
      <c r="H1717" s="7"/>
      <c r="I1717" s="7"/>
      <c r="J1717" s="7"/>
    </row>
    <row r="1718" spans="8:10" x14ac:dyDescent="0.25">
      <c r="H1718" s="7"/>
      <c r="I1718" s="7"/>
      <c r="J1718" s="7"/>
    </row>
    <row r="1719" spans="8:10" x14ac:dyDescent="0.25">
      <c r="H1719" s="7"/>
      <c r="I1719" s="7"/>
      <c r="J1719" s="7"/>
    </row>
    <row r="1720" spans="8:10" x14ac:dyDescent="0.25">
      <c r="H1720" s="7"/>
      <c r="I1720" s="7"/>
      <c r="J1720" s="7"/>
    </row>
    <row r="1721" spans="8:10" x14ac:dyDescent="0.25">
      <c r="H1721" s="7"/>
      <c r="I1721" s="7"/>
      <c r="J1721" s="7"/>
    </row>
    <row r="1722" spans="8:10" x14ac:dyDescent="0.25">
      <c r="H1722" s="7"/>
      <c r="I1722" s="7"/>
      <c r="J1722" s="7"/>
    </row>
    <row r="1723" spans="8:10" x14ac:dyDescent="0.25">
      <c r="H1723" s="7"/>
      <c r="I1723" s="7"/>
      <c r="J1723" s="7"/>
    </row>
    <row r="1724" spans="8:10" x14ac:dyDescent="0.25">
      <c r="H1724" s="7"/>
      <c r="I1724" s="7"/>
      <c r="J1724" s="7"/>
    </row>
    <row r="1725" spans="8:10" x14ac:dyDescent="0.25">
      <c r="H1725" s="7"/>
      <c r="I1725" s="7"/>
      <c r="J1725" s="7"/>
    </row>
    <row r="1726" spans="8:10" x14ac:dyDescent="0.25">
      <c r="H1726" s="7"/>
      <c r="I1726" s="7"/>
      <c r="J1726" s="7"/>
    </row>
    <row r="1727" spans="8:10" x14ac:dyDescent="0.25">
      <c r="H1727" s="7"/>
      <c r="I1727" s="7"/>
      <c r="J1727" s="7"/>
    </row>
    <row r="1728" spans="8:10" x14ac:dyDescent="0.25">
      <c r="H1728" s="7"/>
      <c r="I1728" s="7"/>
      <c r="J1728" s="7"/>
    </row>
    <row r="1729" spans="8:10" x14ac:dyDescent="0.25">
      <c r="H1729" s="7"/>
      <c r="I1729" s="7"/>
      <c r="J1729" s="7"/>
    </row>
    <row r="1730" spans="8:10" x14ac:dyDescent="0.25">
      <c r="H1730" s="7"/>
      <c r="I1730" s="7"/>
      <c r="J1730" s="7"/>
    </row>
    <row r="1731" spans="8:10" x14ac:dyDescent="0.25">
      <c r="H1731" s="7"/>
      <c r="I1731" s="7"/>
      <c r="J1731" s="7"/>
    </row>
    <row r="1732" spans="8:10" x14ac:dyDescent="0.25">
      <c r="H1732" s="7"/>
      <c r="I1732" s="7"/>
      <c r="J1732" s="7"/>
    </row>
    <row r="1733" spans="8:10" x14ac:dyDescent="0.25">
      <c r="H1733" s="7"/>
      <c r="I1733" s="7"/>
      <c r="J1733" s="7"/>
    </row>
    <row r="1734" spans="8:10" x14ac:dyDescent="0.25">
      <c r="H1734" s="7"/>
      <c r="I1734" s="7"/>
      <c r="J1734" s="7"/>
    </row>
    <row r="1735" spans="8:10" x14ac:dyDescent="0.25">
      <c r="H1735" s="7"/>
      <c r="I1735" s="7"/>
      <c r="J1735" s="7"/>
    </row>
    <row r="1736" spans="8:10" x14ac:dyDescent="0.25">
      <c r="H1736" s="7"/>
      <c r="I1736" s="7"/>
      <c r="J1736" s="7"/>
    </row>
    <row r="1737" spans="8:10" x14ac:dyDescent="0.25">
      <c r="H1737" s="7"/>
      <c r="I1737" s="7"/>
      <c r="J1737" s="7"/>
    </row>
    <row r="1738" spans="8:10" x14ac:dyDescent="0.25">
      <c r="H1738" s="7"/>
      <c r="I1738" s="7"/>
      <c r="J1738" s="7"/>
    </row>
    <row r="1739" spans="8:10" x14ac:dyDescent="0.25">
      <c r="H1739" s="7"/>
      <c r="I1739" s="7"/>
      <c r="J1739" s="7"/>
    </row>
    <row r="1740" spans="8:10" x14ac:dyDescent="0.25">
      <c r="H1740" s="7"/>
      <c r="I1740" s="7"/>
      <c r="J1740" s="7"/>
    </row>
    <row r="1741" spans="8:10" x14ac:dyDescent="0.25">
      <c r="H1741" s="7"/>
      <c r="I1741" s="7"/>
      <c r="J1741" s="7"/>
    </row>
    <row r="1742" spans="8:10" x14ac:dyDescent="0.25">
      <c r="H1742" s="7"/>
      <c r="I1742" s="7"/>
      <c r="J1742" s="7"/>
    </row>
    <row r="1743" spans="8:10" x14ac:dyDescent="0.25">
      <c r="H1743" s="7"/>
      <c r="I1743" s="7"/>
      <c r="J1743" s="7"/>
    </row>
    <row r="1744" spans="8:10" x14ac:dyDescent="0.25">
      <c r="H1744" s="7"/>
      <c r="I1744" s="7"/>
      <c r="J1744" s="7"/>
    </row>
    <row r="1745" spans="8:10" x14ac:dyDescent="0.25">
      <c r="H1745" s="7"/>
      <c r="I1745" s="7"/>
      <c r="J1745" s="7"/>
    </row>
    <row r="1746" spans="8:10" x14ac:dyDescent="0.25">
      <c r="H1746" s="7"/>
      <c r="I1746" s="7"/>
      <c r="J1746" s="7"/>
    </row>
    <row r="1747" spans="8:10" x14ac:dyDescent="0.25">
      <c r="H1747" s="7"/>
      <c r="I1747" s="7"/>
      <c r="J1747" s="7"/>
    </row>
    <row r="1748" spans="8:10" x14ac:dyDescent="0.25">
      <c r="H1748" s="7"/>
      <c r="I1748" s="7"/>
      <c r="J1748" s="7"/>
    </row>
    <row r="1749" spans="8:10" x14ac:dyDescent="0.25">
      <c r="H1749" s="7"/>
      <c r="I1749" s="7"/>
      <c r="J1749" s="7"/>
    </row>
    <row r="1750" spans="8:10" x14ac:dyDescent="0.25">
      <c r="H1750" s="7"/>
      <c r="I1750" s="7"/>
      <c r="J1750" s="7"/>
    </row>
    <row r="1751" spans="8:10" x14ac:dyDescent="0.25">
      <c r="H1751" s="7"/>
      <c r="I1751" s="7"/>
      <c r="J1751" s="7"/>
    </row>
    <row r="1752" spans="8:10" x14ac:dyDescent="0.25">
      <c r="H1752" s="7"/>
      <c r="I1752" s="7"/>
      <c r="J1752" s="7"/>
    </row>
    <row r="1753" spans="8:10" x14ac:dyDescent="0.25">
      <c r="H1753" s="7"/>
      <c r="I1753" s="7"/>
      <c r="J1753" s="7"/>
    </row>
    <row r="1754" spans="8:10" x14ac:dyDescent="0.25">
      <c r="H1754" s="7"/>
      <c r="I1754" s="7"/>
      <c r="J1754" s="7"/>
    </row>
    <row r="1755" spans="8:10" x14ac:dyDescent="0.25">
      <c r="H1755" s="7"/>
      <c r="I1755" s="7"/>
      <c r="J1755" s="7"/>
    </row>
    <row r="1756" spans="8:10" x14ac:dyDescent="0.25">
      <c r="H1756" s="7"/>
      <c r="I1756" s="7"/>
      <c r="J1756" s="7"/>
    </row>
    <row r="1757" spans="8:10" x14ac:dyDescent="0.25">
      <c r="H1757" s="7"/>
      <c r="I1757" s="7"/>
      <c r="J1757" s="7"/>
    </row>
    <row r="1758" spans="8:10" x14ac:dyDescent="0.25">
      <c r="H1758" s="7"/>
      <c r="I1758" s="7"/>
      <c r="J1758" s="7"/>
    </row>
    <row r="1759" spans="8:10" x14ac:dyDescent="0.25">
      <c r="H1759" s="7"/>
      <c r="I1759" s="7"/>
      <c r="J1759" s="7"/>
    </row>
    <row r="1760" spans="8:10" x14ac:dyDescent="0.25">
      <c r="H1760" s="7"/>
      <c r="I1760" s="7"/>
      <c r="J1760" s="7"/>
    </row>
    <row r="1761" spans="8:10" x14ac:dyDescent="0.25">
      <c r="H1761" s="7"/>
      <c r="I1761" s="7"/>
      <c r="J1761" s="7"/>
    </row>
    <row r="1762" spans="8:10" x14ac:dyDescent="0.25">
      <c r="H1762" s="7"/>
      <c r="I1762" s="7"/>
      <c r="J1762" s="7"/>
    </row>
    <row r="1763" spans="8:10" x14ac:dyDescent="0.25">
      <c r="H1763" s="7"/>
      <c r="I1763" s="7"/>
      <c r="J1763" s="7"/>
    </row>
    <row r="1764" spans="8:10" x14ac:dyDescent="0.25">
      <c r="H1764" s="7"/>
      <c r="I1764" s="7"/>
      <c r="J1764" s="7"/>
    </row>
    <row r="1765" spans="8:10" x14ac:dyDescent="0.25">
      <c r="H1765" s="7"/>
      <c r="I1765" s="7"/>
      <c r="J1765" s="7"/>
    </row>
    <row r="1766" spans="8:10" x14ac:dyDescent="0.25">
      <c r="H1766" s="7"/>
      <c r="I1766" s="7"/>
      <c r="J1766" s="7"/>
    </row>
    <row r="1767" spans="8:10" x14ac:dyDescent="0.25">
      <c r="H1767" s="7"/>
      <c r="I1767" s="7"/>
      <c r="J1767" s="7"/>
    </row>
    <row r="1768" spans="8:10" x14ac:dyDescent="0.25">
      <c r="H1768" s="7"/>
      <c r="I1768" s="7"/>
      <c r="J1768" s="7"/>
    </row>
    <row r="1769" spans="8:10" x14ac:dyDescent="0.25">
      <c r="H1769" s="7"/>
      <c r="I1769" s="7"/>
      <c r="J1769" s="7"/>
    </row>
    <row r="1770" spans="8:10" x14ac:dyDescent="0.25">
      <c r="H1770" s="7"/>
      <c r="I1770" s="7"/>
      <c r="J1770" s="7"/>
    </row>
    <row r="1771" spans="8:10" x14ac:dyDescent="0.25">
      <c r="H1771" s="7"/>
      <c r="I1771" s="7"/>
      <c r="J1771" s="7"/>
    </row>
    <row r="1772" spans="8:10" x14ac:dyDescent="0.25">
      <c r="H1772" s="7"/>
      <c r="I1772" s="7"/>
      <c r="J1772" s="7"/>
    </row>
    <row r="1773" spans="8:10" x14ac:dyDescent="0.25">
      <c r="H1773" s="7"/>
      <c r="I1773" s="7"/>
      <c r="J1773" s="7"/>
    </row>
    <row r="1774" spans="8:10" x14ac:dyDescent="0.25">
      <c r="H1774" s="7"/>
      <c r="I1774" s="7"/>
      <c r="J1774" s="7"/>
    </row>
    <row r="1775" spans="8:10" x14ac:dyDescent="0.25">
      <c r="H1775" s="7"/>
      <c r="I1775" s="7"/>
      <c r="J1775" s="7"/>
    </row>
    <row r="1776" spans="8:10" x14ac:dyDescent="0.25">
      <c r="H1776" s="7"/>
      <c r="I1776" s="7"/>
      <c r="J1776" s="7"/>
    </row>
    <row r="1777" spans="8:10" x14ac:dyDescent="0.25">
      <c r="H1777" s="7"/>
      <c r="I1777" s="7"/>
      <c r="J1777" s="7"/>
    </row>
    <row r="1778" spans="8:10" x14ac:dyDescent="0.25">
      <c r="H1778" s="7"/>
      <c r="I1778" s="7"/>
      <c r="J1778" s="7"/>
    </row>
    <row r="1779" spans="8:10" x14ac:dyDescent="0.25">
      <c r="H1779" s="7"/>
      <c r="I1779" s="7"/>
      <c r="J1779" s="7"/>
    </row>
    <row r="1780" spans="8:10" x14ac:dyDescent="0.25">
      <c r="H1780" s="7"/>
      <c r="I1780" s="7"/>
      <c r="J1780" s="7"/>
    </row>
    <row r="1781" spans="8:10" x14ac:dyDescent="0.25">
      <c r="H1781" s="7"/>
      <c r="I1781" s="7"/>
      <c r="J1781" s="7"/>
    </row>
    <row r="1782" spans="8:10" x14ac:dyDescent="0.25">
      <c r="H1782" s="7"/>
      <c r="I1782" s="7"/>
      <c r="J1782" s="7"/>
    </row>
    <row r="1783" spans="8:10" x14ac:dyDescent="0.25">
      <c r="H1783" s="7"/>
      <c r="I1783" s="7"/>
      <c r="J1783" s="7"/>
    </row>
    <row r="1784" spans="8:10" x14ac:dyDescent="0.25">
      <c r="H1784" s="7"/>
      <c r="I1784" s="7"/>
      <c r="J1784" s="7"/>
    </row>
    <row r="1785" spans="8:10" x14ac:dyDescent="0.25">
      <c r="H1785" s="7"/>
      <c r="I1785" s="7"/>
      <c r="J1785" s="7"/>
    </row>
    <row r="1786" spans="8:10" x14ac:dyDescent="0.25">
      <c r="H1786" s="7"/>
      <c r="I1786" s="7"/>
      <c r="J1786" s="7"/>
    </row>
    <row r="1787" spans="8:10" x14ac:dyDescent="0.25">
      <c r="H1787" s="7"/>
      <c r="I1787" s="7"/>
      <c r="J1787" s="7"/>
    </row>
    <row r="1788" spans="8:10" x14ac:dyDescent="0.25">
      <c r="H1788" s="7"/>
      <c r="I1788" s="7"/>
      <c r="J1788" s="7"/>
    </row>
    <row r="1789" spans="8:10" x14ac:dyDescent="0.25">
      <c r="H1789" s="7"/>
      <c r="I1789" s="7"/>
      <c r="J1789" s="7"/>
    </row>
    <row r="1790" spans="8:10" x14ac:dyDescent="0.25">
      <c r="H1790" s="7"/>
      <c r="I1790" s="7"/>
      <c r="J1790" s="7"/>
    </row>
    <row r="1791" spans="8:10" x14ac:dyDescent="0.25">
      <c r="H1791" s="7"/>
      <c r="I1791" s="7"/>
      <c r="J1791" s="7"/>
    </row>
    <row r="1792" spans="8:10" x14ac:dyDescent="0.25">
      <c r="H1792" s="7"/>
      <c r="I1792" s="7"/>
      <c r="J1792" s="7"/>
    </row>
    <row r="1793" spans="8:10" x14ac:dyDescent="0.25">
      <c r="H1793" s="7"/>
      <c r="I1793" s="7"/>
      <c r="J1793" s="7"/>
    </row>
    <row r="1794" spans="8:10" x14ac:dyDescent="0.25">
      <c r="H1794" s="7"/>
      <c r="I1794" s="7"/>
      <c r="J1794" s="7"/>
    </row>
    <row r="1795" spans="8:10" x14ac:dyDescent="0.25">
      <c r="H1795" s="7"/>
      <c r="I1795" s="7"/>
      <c r="J1795" s="7"/>
    </row>
    <row r="1796" spans="8:10" x14ac:dyDescent="0.25">
      <c r="H1796" s="7"/>
      <c r="I1796" s="7"/>
      <c r="J1796" s="7"/>
    </row>
    <row r="1797" spans="8:10" x14ac:dyDescent="0.25">
      <c r="H1797" s="7"/>
      <c r="I1797" s="7"/>
      <c r="J1797" s="7"/>
    </row>
    <row r="1798" spans="8:10" x14ac:dyDescent="0.25">
      <c r="H1798" s="7"/>
      <c r="I1798" s="7"/>
      <c r="J1798" s="7"/>
    </row>
    <row r="1799" spans="8:10" x14ac:dyDescent="0.25">
      <c r="H1799" s="7"/>
      <c r="I1799" s="7"/>
      <c r="J1799" s="7"/>
    </row>
    <row r="1800" spans="8:10" x14ac:dyDescent="0.25">
      <c r="H1800" s="7"/>
      <c r="I1800" s="7"/>
      <c r="J1800" s="7"/>
    </row>
    <row r="1801" spans="8:10" x14ac:dyDescent="0.25">
      <c r="H1801" s="7"/>
      <c r="I1801" s="7"/>
      <c r="J1801" s="7"/>
    </row>
    <row r="1802" spans="8:10" x14ac:dyDescent="0.25">
      <c r="H1802" s="7"/>
      <c r="I1802" s="7"/>
      <c r="J1802" s="7"/>
    </row>
    <row r="1803" spans="8:10" x14ac:dyDescent="0.25">
      <c r="H1803" s="7"/>
      <c r="I1803" s="7"/>
      <c r="J1803" s="7"/>
    </row>
    <row r="1804" spans="8:10" x14ac:dyDescent="0.25">
      <c r="H1804" s="7"/>
      <c r="I1804" s="7"/>
      <c r="J1804" s="7"/>
    </row>
    <row r="1805" spans="8:10" x14ac:dyDescent="0.25">
      <c r="H1805" s="7"/>
      <c r="I1805" s="7"/>
      <c r="J1805" s="7"/>
    </row>
    <row r="1806" spans="8:10" x14ac:dyDescent="0.25">
      <c r="H1806" s="7"/>
      <c r="I1806" s="7"/>
      <c r="J1806" s="7"/>
    </row>
    <row r="1807" spans="8:10" x14ac:dyDescent="0.25">
      <c r="H1807" s="7"/>
      <c r="I1807" s="7"/>
      <c r="J1807" s="7"/>
    </row>
    <row r="1808" spans="8:10" x14ac:dyDescent="0.25">
      <c r="H1808" s="7"/>
      <c r="I1808" s="7"/>
      <c r="J1808" s="7"/>
    </row>
    <row r="1809" spans="8:10" x14ac:dyDescent="0.25">
      <c r="H1809" s="7"/>
      <c r="I1809" s="7"/>
      <c r="J1809" s="7"/>
    </row>
    <row r="1810" spans="8:10" x14ac:dyDescent="0.25">
      <c r="H1810" s="7"/>
      <c r="I1810" s="7"/>
      <c r="J1810" s="7"/>
    </row>
    <row r="1811" spans="8:10" x14ac:dyDescent="0.25">
      <c r="H1811" s="7"/>
      <c r="I1811" s="7"/>
      <c r="J1811" s="7"/>
    </row>
    <row r="1812" spans="8:10" x14ac:dyDescent="0.25">
      <c r="H1812" s="7"/>
      <c r="I1812" s="7"/>
      <c r="J1812" s="7"/>
    </row>
    <row r="1813" spans="8:10" x14ac:dyDescent="0.25">
      <c r="H1813" s="7"/>
      <c r="I1813" s="7"/>
      <c r="J1813" s="7"/>
    </row>
    <row r="1814" spans="8:10" x14ac:dyDescent="0.25">
      <c r="H1814" s="7"/>
      <c r="I1814" s="7"/>
      <c r="J1814" s="7"/>
    </row>
    <row r="1815" spans="8:10" x14ac:dyDescent="0.25">
      <c r="H1815" s="7"/>
      <c r="I1815" s="7"/>
      <c r="J1815" s="7"/>
    </row>
    <row r="1816" spans="8:10" x14ac:dyDescent="0.25">
      <c r="H1816" s="7"/>
      <c r="I1816" s="7"/>
      <c r="J1816" s="7"/>
    </row>
    <row r="1817" spans="8:10" x14ac:dyDescent="0.25">
      <c r="H1817" s="7"/>
      <c r="I1817" s="7"/>
      <c r="J1817" s="7"/>
    </row>
    <row r="1818" spans="8:10" x14ac:dyDescent="0.25">
      <c r="H1818" s="7"/>
      <c r="I1818" s="7"/>
      <c r="J1818" s="7"/>
    </row>
    <row r="1819" spans="8:10" x14ac:dyDescent="0.25">
      <c r="H1819" s="7"/>
      <c r="I1819" s="7"/>
      <c r="J1819" s="7"/>
    </row>
    <row r="1820" spans="8:10" x14ac:dyDescent="0.25">
      <c r="H1820" s="7"/>
      <c r="I1820" s="7"/>
      <c r="J1820" s="7"/>
    </row>
    <row r="1821" spans="8:10" x14ac:dyDescent="0.25">
      <c r="H1821" s="7"/>
      <c r="I1821" s="7"/>
      <c r="J1821" s="7"/>
    </row>
    <row r="1822" spans="8:10" x14ac:dyDescent="0.25">
      <c r="H1822" s="7"/>
      <c r="I1822" s="7"/>
      <c r="J1822" s="7"/>
    </row>
    <row r="1823" spans="8:10" x14ac:dyDescent="0.25">
      <c r="H1823" s="7"/>
      <c r="I1823" s="7"/>
      <c r="J1823" s="7"/>
    </row>
    <row r="1824" spans="8:10" x14ac:dyDescent="0.25">
      <c r="H1824" s="7"/>
      <c r="I1824" s="7"/>
      <c r="J1824" s="7"/>
    </row>
    <row r="1825" spans="8:10" x14ac:dyDescent="0.25">
      <c r="H1825" s="7"/>
      <c r="I1825" s="7"/>
      <c r="J1825" s="7"/>
    </row>
    <row r="1826" spans="8:10" x14ac:dyDescent="0.25">
      <c r="H1826" s="7"/>
      <c r="I1826" s="7"/>
      <c r="J1826" s="7"/>
    </row>
    <row r="1827" spans="8:10" x14ac:dyDescent="0.25">
      <c r="H1827" s="7"/>
      <c r="I1827" s="7"/>
      <c r="J1827" s="7"/>
    </row>
    <row r="1828" spans="8:10" x14ac:dyDescent="0.25">
      <c r="H1828" s="7"/>
      <c r="I1828" s="7"/>
      <c r="J1828" s="7"/>
    </row>
    <row r="1829" spans="8:10" x14ac:dyDescent="0.25">
      <c r="H1829" s="7"/>
      <c r="I1829" s="7"/>
      <c r="J1829" s="7"/>
    </row>
    <row r="1830" spans="8:10" x14ac:dyDescent="0.25">
      <c r="H1830" s="7"/>
      <c r="I1830" s="7"/>
      <c r="J1830" s="7"/>
    </row>
    <row r="1831" spans="8:10" x14ac:dyDescent="0.25">
      <c r="H1831" s="7"/>
      <c r="I1831" s="7"/>
      <c r="J1831" s="7"/>
    </row>
    <row r="1832" spans="8:10" x14ac:dyDescent="0.25">
      <c r="H1832" s="7"/>
      <c r="I1832" s="7"/>
      <c r="J1832" s="7"/>
    </row>
    <row r="1833" spans="8:10" x14ac:dyDescent="0.25">
      <c r="H1833" s="7"/>
      <c r="I1833" s="7"/>
      <c r="J1833" s="7"/>
    </row>
    <row r="1834" spans="8:10" x14ac:dyDescent="0.25">
      <c r="H1834" s="7"/>
      <c r="I1834" s="7"/>
      <c r="J1834" s="7"/>
    </row>
    <row r="1835" spans="8:10" x14ac:dyDescent="0.25">
      <c r="H1835" s="7"/>
      <c r="I1835" s="7"/>
      <c r="J1835" s="7"/>
    </row>
    <row r="1836" spans="8:10" x14ac:dyDescent="0.25">
      <c r="H1836" s="7"/>
      <c r="I1836" s="7"/>
      <c r="J1836" s="7"/>
    </row>
    <row r="1837" spans="8:10" x14ac:dyDescent="0.25">
      <c r="H1837" s="7"/>
      <c r="I1837" s="7"/>
      <c r="J1837" s="7"/>
    </row>
    <row r="1838" spans="8:10" x14ac:dyDescent="0.25">
      <c r="H1838" s="7"/>
      <c r="I1838" s="7"/>
      <c r="J1838" s="7"/>
    </row>
    <row r="1839" spans="8:10" x14ac:dyDescent="0.25">
      <c r="H1839" s="7"/>
      <c r="I1839" s="7"/>
      <c r="J1839" s="7"/>
    </row>
    <row r="1840" spans="8:10" x14ac:dyDescent="0.25">
      <c r="H1840" s="7"/>
      <c r="I1840" s="7"/>
      <c r="J1840" s="7"/>
    </row>
    <row r="1841" spans="8:10" x14ac:dyDescent="0.25">
      <c r="H1841" s="7"/>
      <c r="I1841" s="7"/>
      <c r="J1841" s="7"/>
    </row>
    <row r="1842" spans="8:10" x14ac:dyDescent="0.25">
      <c r="H1842" s="7"/>
      <c r="I1842" s="7"/>
      <c r="J1842" s="7"/>
    </row>
    <row r="1843" spans="8:10" x14ac:dyDescent="0.25">
      <c r="H1843" s="7"/>
      <c r="I1843" s="7"/>
      <c r="J1843" s="7"/>
    </row>
    <row r="1844" spans="8:10" x14ac:dyDescent="0.25">
      <c r="H1844" s="7"/>
      <c r="I1844" s="7"/>
      <c r="J1844" s="7"/>
    </row>
    <row r="1845" spans="8:10" x14ac:dyDescent="0.25">
      <c r="H1845" s="7"/>
      <c r="I1845" s="7"/>
      <c r="J1845" s="7"/>
    </row>
    <row r="1846" spans="8:10" x14ac:dyDescent="0.25">
      <c r="H1846" s="7"/>
      <c r="I1846" s="7"/>
      <c r="J1846" s="7"/>
    </row>
    <row r="1847" spans="8:10" x14ac:dyDescent="0.25">
      <c r="H1847" s="7"/>
      <c r="I1847" s="7"/>
      <c r="J1847" s="7"/>
    </row>
    <row r="1848" spans="8:10" x14ac:dyDescent="0.25">
      <c r="H1848" s="7"/>
      <c r="I1848" s="7"/>
      <c r="J1848" s="7"/>
    </row>
    <row r="1849" spans="8:10" x14ac:dyDescent="0.25">
      <c r="H1849" s="7"/>
      <c r="I1849" s="7"/>
      <c r="J1849" s="7"/>
    </row>
    <row r="1850" spans="8:10" x14ac:dyDescent="0.25">
      <c r="H1850" s="7"/>
      <c r="I1850" s="7"/>
      <c r="J1850" s="7"/>
    </row>
    <row r="1851" spans="8:10" x14ac:dyDescent="0.25">
      <c r="H1851" s="7"/>
      <c r="I1851" s="7"/>
      <c r="J1851" s="7"/>
    </row>
    <row r="1852" spans="8:10" x14ac:dyDescent="0.25">
      <c r="H1852" s="7"/>
      <c r="I1852" s="7"/>
      <c r="J1852" s="7"/>
    </row>
    <row r="1853" spans="8:10" x14ac:dyDescent="0.25">
      <c r="H1853" s="7"/>
      <c r="I1853" s="7"/>
      <c r="J1853" s="7"/>
    </row>
    <row r="1854" spans="8:10" x14ac:dyDescent="0.25">
      <c r="H1854" s="7"/>
      <c r="I1854" s="7"/>
      <c r="J1854" s="7"/>
    </row>
    <row r="1855" spans="8:10" x14ac:dyDescent="0.25">
      <c r="H1855" s="7"/>
      <c r="I1855" s="7"/>
      <c r="J1855" s="7"/>
    </row>
    <row r="1856" spans="8:10" x14ac:dyDescent="0.25">
      <c r="H1856" s="7"/>
      <c r="I1856" s="7"/>
      <c r="J1856" s="7"/>
    </row>
    <row r="1857" spans="8:10" x14ac:dyDescent="0.25">
      <c r="H1857" s="7"/>
      <c r="I1857" s="7"/>
      <c r="J1857" s="7"/>
    </row>
    <row r="1858" spans="8:10" x14ac:dyDescent="0.25">
      <c r="H1858" s="7"/>
      <c r="I1858" s="7"/>
      <c r="J1858" s="7"/>
    </row>
    <row r="1859" spans="8:10" x14ac:dyDescent="0.25">
      <c r="H1859" s="7"/>
      <c r="I1859" s="7"/>
      <c r="J1859" s="7"/>
    </row>
    <row r="1860" spans="8:10" x14ac:dyDescent="0.25">
      <c r="H1860" s="7"/>
      <c r="I1860" s="7"/>
      <c r="J1860" s="7"/>
    </row>
    <row r="1861" spans="8:10" x14ac:dyDescent="0.25">
      <c r="H1861" s="7"/>
      <c r="I1861" s="7"/>
      <c r="J1861" s="7"/>
    </row>
    <row r="1862" spans="8:10" x14ac:dyDescent="0.25">
      <c r="H1862" s="7"/>
      <c r="I1862" s="7"/>
      <c r="J1862" s="7"/>
    </row>
    <row r="1863" spans="8:10" x14ac:dyDescent="0.25">
      <c r="H1863" s="7"/>
      <c r="I1863" s="7"/>
      <c r="J1863" s="7"/>
    </row>
    <row r="1864" spans="8:10" x14ac:dyDescent="0.25">
      <c r="H1864" s="7"/>
      <c r="I1864" s="7"/>
      <c r="J1864" s="7"/>
    </row>
    <row r="1865" spans="8:10" x14ac:dyDescent="0.25">
      <c r="H1865" s="7"/>
      <c r="I1865" s="7"/>
      <c r="J1865" s="7"/>
    </row>
    <row r="1866" spans="8:10" x14ac:dyDescent="0.25">
      <c r="H1866" s="7"/>
      <c r="I1866" s="7"/>
      <c r="J1866" s="7"/>
    </row>
    <row r="1867" spans="8:10" x14ac:dyDescent="0.25">
      <c r="H1867" s="7"/>
      <c r="I1867" s="7"/>
      <c r="J1867" s="7"/>
    </row>
    <row r="1868" spans="8:10" x14ac:dyDescent="0.25">
      <c r="H1868" s="7"/>
      <c r="I1868" s="7"/>
      <c r="J1868" s="7"/>
    </row>
    <row r="1869" spans="8:10" x14ac:dyDescent="0.25">
      <c r="H1869" s="7"/>
      <c r="I1869" s="7"/>
      <c r="J1869" s="7"/>
    </row>
    <row r="1870" spans="8:10" x14ac:dyDescent="0.25">
      <c r="H1870" s="7"/>
      <c r="I1870" s="7"/>
      <c r="J1870" s="7"/>
    </row>
    <row r="1871" spans="8:10" x14ac:dyDescent="0.25">
      <c r="H1871" s="7"/>
      <c r="I1871" s="7"/>
      <c r="J1871" s="7"/>
    </row>
    <row r="1872" spans="8:10" x14ac:dyDescent="0.25">
      <c r="H1872" s="7"/>
      <c r="I1872" s="7"/>
      <c r="J1872" s="7"/>
    </row>
    <row r="1873" spans="8:10" x14ac:dyDescent="0.25">
      <c r="H1873" s="7"/>
      <c r="I1873" s="7"/>
      <c r="J1873" s="7"/>
    </row>
    <row r="1874" spans="8:10" x14ac:dyDescent="0.25">
      <c r="H1874" s="7"/>
      <c r="I1874" s="7"/>
      <c r="J1874" s="7"/>
    </row>
    <row r="1875" spans="8:10" x14ac:dyDescent="0.25">
      <c r="H1875" s="7"/>
      <c r="I1875" s="7"/>
      <c r="J1875" s="7"/>
    </row>
    <row r="1876" spans="8:10" x14ac:dyDescent="0.25">
      <c r="H1876" s="7"/>
      <c r="I1876" s="7"/>
      <c r="J1876" s="7"/>
    </row>
    <row r="1877" spans="8:10" x14ac:dyDescent="0.25">
      <c r="H1877" s="7"/>
      <c r="I1877" s="7"/>
      <c r="J1877" s="7"/>
    </row>
    <row r="1878" spans="8:10" x14ac:dyDescent="0.25">
      <c r="H1878" s="7"/>
      <c r="I1878" s="7"/>
      <c r="J1878" s="7"/>
    </row>
    <row r="1879" spans="8:10" x14ac:dyDescent="0.25">
      <c r="H1879" s="7"/>
      <c r="I1879" s="7"/>
      <c r="J1879" s="7"/>
    </row>
    <row r="1880" spans="8:10" x14ac:dyDescent="0.25">
      <c r="H1880" s="7"/>
      <c r="I1880" s="7"/>
      <c r="J1880" s="7"/>
    </row>
    <row r="1881" spans="8:10" x14ac:dyDescent="0.25">
      <c r="H1881" s="7"/>
      <c r="I1881" s="7"/>
      <c r="J1881" s="7"/>
    </row>
    <row r="1882" spans="8:10" x14ac:dyDescent="0.25">
      <c r="H1882" s="7"/>
      <c r="I1882" s="7"/>
      <c r="J1882" s="7"/>
    </row>
    <row r="1883" spans="8:10" x14ac:dyDescent="0.25">
      <c r="H1883" s="7"/>
      <c r="I1883" s="7"/>
      <c r="J1883" s="7"/>
    </row>
    <row r="1884" spans="8:10" x14ac:dyDescent="0.25">
      <c r="H1884" s="7"/>
      <c r="I1884" s="7"/>
      <c r="J1884" s="7"/>
    </row>
    <row r="1885" spans="8:10" x14ac:dyDescent="0.25">
      <c r="H1885" s="7"/>
      <c r="I1885" s="7"/>
      <c r="J1885" s="7"/>
    </row>
    <row r="1886" spans="8:10" x14ac:dyDescent="0.25">
      <c r="H1886" s="7"/>
      <c r="I1886" s="7"/>
      <c r="J1886" s="7"/>
    </row>
    <row r="1887" spans="8:10" x14ac:dyDescent="0.25">
      <c r="H1887" s="7"/>
      <c r="I1887" s="7"/>
      <c r="J1887" s="7"/>
    </row>
    <row r="1888" spans="8:10" x14ac:dyDescent="0.25">
      <c r="H1888" s="7"/>
      <c r="I1888" s="7"/>
      <c r="J1888" s="7"/>
    </row>
    <row r="1889" spans="8:10" x14ac:dyDescent="0.25">
      <c r="H1889" s="7"/>
      <c r="I1889" s="7"/>
      <c r="J1889" s="7"/>
    </row>
    <row r="1890" spans="8:10" x14ac:dyDescent="0.25">
      <c r="H1890" s="7"/>
      <c r="I1890" s="7"/>
      <c r="J1890" s="7"/>
    </row>
    <row r="1891" spans="8:10" x14ac:dyDescent="0.25">
      <c r="H1891" s="7"/>
      <c r="I1891" s="7"/>
      <c r="J1891" s="7"/>
    </row>
    <row r="1892" spans="8:10" x14ac:dyDescent="0.25">
      <c r="H1892" s="7"/>
      <c r="I1892" s="7"/>
      <c r="J1892" s="7"/>
    </row>
    <row r="1893" spans="8:10" x14ac:dyDescent="0.25">
      <c r="H1893" s="7"/>
      <c r="I1893" s="7"/>
      <c r="J1893" s="7"/>
    </row>
    <row r="1894" spans="8:10" x14ac:dyDescent="0.25">
      <c r="H1894" s="7"/>
      <c r="I1894" s="7"/>
      <c r="J1894" s="7"/>
    </row>
    <row r="1895" spans="8:10" x14ac:dyDescent="0.25">
      <c r="H1895" s="7"/>
      <c r="I1895" s="7"/>
      <c r="J1895" s="7"/>
    </row>
    <row r="1896" spans="8:10" x14ac:dyDescent="0.25">
      <c r="H1896" s="7"/>
      <c r="I1896" s="7"/>
      <c r="J1896" s="7"/>
    </row>
    <row r="1897" spans="8:10" x14ac:dyDescent="0.25">
      <c r="H1897" s="7"/>
      <c r="I1897" s="7"/>
      <c r="J1897" s="7"/>
    </row>
    <row r="1898" spans="8:10" x14ac:dyDescent="0.25">
      <c r="H1898" s="7"/>
      <c r="I1898" s="7"/>
      <c r="J1898" s="7"/>
    </row>
    <row r="1899" spans="8:10" x14ac:dyDescent="0.25">
      <c r="H1899" s="7"/>
      <c r="I1899" s="7"/>
      <c r="J1899" s="7"/>
    </row>
    <row r="1900" spans="8:10" x14ac:dyDescent="0.25">
      <c r="H1900" s="7"/>
      <c r="I1900" s="7"/>
      <c r="J1900" s="7"/>
    </row>
    <row r="1901" spans="8:10" x14ac:dyDescent="0.25">
      <c r="H1901" s="7"/>
      <c r="I1901" s="7"/>
      <c r="J1901" s="7"/>
    </row>
    <row r="1902" spans="8:10" x14ac:dyDescent="0.25">
      <c r="H1902" s="7"/>
      <c r="I1902" s="7"/>
      <c r="J1902" s="7"/>
    </row>
    <row r="1903" spans="8:10" x14ac:dyDescent="0.25">
      <c r="H1903" s="7"/>
      <c r="I1903" s="7"/>
      <c r="J1903" s="7"/>
    </row>
    <row r="1904" spans="8:10" x14ac:dyDescent="0.25">
      <c r="H1904" s="7"/>
      <c r="I1904" s="7"/>
      <c r="J1904" s="7"/>
    </row>
    <row r="1905" spans="8:10" x14ac:dyDescent="0.25">
      <c r="H1905" s="7"/>
      <c r="I1905" s="7"/>
      <c r="J1905" s="7"/>
    </row>
    <row r="1906" spans="8:10" x14ac:dyDescent="0.25">
      <c r="H1906" s="7"/>
      <c r="I1906" s="7"/>
      <c r="J1906" s="7"/>
    </row>
    <row r="1907" spans="8:10" x14ac:dyDescent="0.25">
      <c r="H1907" s="7"/>
      <c r="I1907" s="7"/>
      <c r="J1907" s="7"/>
    </row>
    <row r="1908" spans="8:10" x14ac:dyDescent="0.25">
      <c r="H1908" s="7"/>
      <c r="I1908" s="7"/>
      <c r="J1908" s="7"/>
    </row>
    <row r="1909" spans="8:10" x14ac:dyDescent="0.25">
      <c r="H1909" s="7"/>
      <c r="I1909" s="7"/>
      <c r="J1909" s="7"/>
    </row>
    <row r="1910" spans="8:10" x14ac:dyDescent="0.25">
      <c r="H1910" s="7"/>
      <c r="I1910" s="7"/>
      <c r="J1910" s="7"/>
    </row>
    <row r="1911" spans="8:10" x14ac:dyDescent="0.25">
      <c r="H1911" s="7"/>
      <c r="I1911" s="7"/>
      <c r="J1911" s="7"/>
    </row>
    <row r="1912" spans="8:10" x14ac:dyDescent="0.25">
      <c r="H1912" s="7"/>
      <c r="I1912" s="7"/>
      <c r="J1912" s="7"/>
    </row>
    <row r="1913" spans="8:10" x14ac:dyDescent="0.25">
      <c r="H1913" s="7"/>
      <c r="I1913" s="7"/>
      <c r="J1913" s="7"/>
    </row>
    <row r="1914" spans="8:10" x14ac:dyDescent="0.25">
      <c r="H1914" s="7"/>
      <c r="I1914" s="7"/>
      <c r="J1914" s="7"/>
    </row>
    <row r="1915" spans="8:10" x14ac:dyDescent="0.25">
      <c r="H1915" s="7"/>
      <c r="I1915" s="7"/>
      <c r="J1915" s="7"/>
    </row>
    <row r="1916" spans="8:10" x14ac:dyDescent="0.25">
      <c r="H1916" s="7"/>
      <c r="I1916" s="7"/>
      <c r="J1916" s="7"/>
    </row>
    <row r="1917" spans="8:10" x14ac:dyDescent="0.25">
      <c r="H1917" s="7"/>
      <c r="I1917" s="7"/>
      <c r="J1917" s="7"/>
    </row>
    <row r="1918" spans="8:10" x14ac:dyDescent="0.25">
      <c r="H1918" s="7"/>
      <c r="I1918" s="7"/>
      <c r="J1918" s="7"/>
    </row>
    <row r="1919" spans="8:10" x14ac:dyDescent="0.25">
      <c r="H1919" s="7"/>
      <c r="I1919" s="7"/>
      <c r="J1919" s="7"/>
    </row>
    <row r="1920" spans="8:10" x14ac:dyDescent="0.25">
      <c r="H1920" s="7"/>
      <c r="I1920" s="7"/>
      <c r="J1920" s="7"/>
    </row>
    <row r="1921" spans="8:10" x14ac:dyDescent="0.25">
      <c r="H1921" s="7"/>
      <c r="I1921" s="7"/>
      <c r="J1921" s="7"/>
    </row>
    <row r="1922" spans="8:10" x14ac:dyDescent="0.25">
      <c r="H1922" s="7"/>
      <c r="I1922" s="7"/>
      <c r="J1922" s="7"/>
    </row>
    <row r="1923" spans="8:10" x14ac:dyDescent="0.25">
      <c r="H1923" s="7"/>
      <c r="I1923" s="7"/>
      <c r="J1923" s="7"/>
    </row>
    <row r="1924" spans="8:10" x14ac:dyDescent="0.25">
      <c r="H1924" s="7"/>
      <c r="I1924" s="7"/>
      <c r="J1924" s="7"/>
    </row>
    <row r="1925" spans="8:10" x14ac:dyDescent="0.25">
      <c r="H1925" s="7"/>
      <c r="I1925" s="7"/>
      <c r="J1925" s="7"/>
    </row>
    <row r="1926" spans="8:10" x14ac:dyDescent="0.25">
      <c r="H1926" s="7"/>
      <c r="I1926" s="7"/>
      <c r="J1926" s="7"/>
    </row>
    <row r="1927" spans="8:10" x14ac:dyDescent="0.25">
      <c r="H1927" s="7"/>
      <c r="I1927" s="7"/>
      <c r="J1927" s="7"/>
    </row>
    <row r="1928" spans="8:10" x14ac:dyDescent="0.25">
      <c r="H1928" s="7"/>
      <c r="I1928" s="7"/>
      <c r="J1928" s="7"/>
    </row>
    <row r="1929" spans="8:10" x14ac:dyDescent="0.25">
      <c r="H1929" s="7"/>
      <c r="I1929" s="7"/>
      <c r="J1929" s="7"/>
    </row>
    <row r="1930" spans="8:10" x14ac:dyDescent="0.25">
      <c r="H1930" s="7"/>
      <c r="I1930" s="7"/>
      <c r="J1930" s="7"/>
    </row>
    <row r="1931" spans="8:10" x14ac:dyDescent="0.25">
      <c r="H1931" s="7"/>
      <c r="I1931" s="7"/>
      <c r="J1931" s="7"/>
    </row>
    <row r="1932" spans="8:10" x14ac:dyDescent="0.25">
      <c r="H1932" s="7"/>
      <c r="I1932" s="7"/>
      <c r="J1932" s="7"/>
    </row>
    <row r="1933" spans="8:10" x14ac:dyDescent="0.25">
      <c r="H1933" s="7"/>
      <c r="I1933" s="7"/>
      <c r="J1933" s="7"/>
    </row>
    <row r="1934" spans="8:10" x14ac:dyDescent="0.25">
      <c r="H1934" s="7"/>
      <c r="I1934" s="7"/>
      <c r="J1934" s="7"/>
    </row>
    <row r="1935" spans="8:10" x14ac:dyDescent="0.25">
      <c r="H1935" s="7"/>
      <c r="I1935" s="7"/>
      <c r="J1935" s="7"/>
    </row>
    <row r="1936" spans="8:10" x14ac:dyDescent="0.25">
      <c r="H1936" s="7"/>
      <c r="I1936" s="7"/>
      <c r="J1936" s="7"/>
    </row>
    <row r="1937" spans="8:10" x14ac:dyDescent="0.25">
      <c r="H1937" s="7"/>
      <c r="I1937" s="7"/>
      <c r="J1937" s="7"/>
    </row>
    <row r="1938" spans="8:10" x14ac:dyDescent="0.25">
      <c r="H1938" s="7"/>
      <c r="I1938" s="7"/>
      <c r="J1938" s="7"/>
    </row>
    <row r="1939" spans="8:10" x14ac:dyDescent="0.25">
      <c r="H1939" s="7"/>
      <c r="I1939" s="7"/>
      <c r="J1939" s="7"/>
    </row>
    <row r="1940" spans="8:10" x14ac:dyDescent="0.25">
      <c r="H1940" s="7"/>
      <c r="I1940" s="7"/>
      <c r="J1940" s="7"/>
    </row>
    <row r="1941" spans="8:10" x14ac:dyDescent="0.25">
      <c r="H1941" s="7"/>
      <c r="I1941" s="7"/>
      <c r="J1941" s="7"/>
    </row>
    <row r="1942" spans="8:10" x14ac:dyDescent="0.25">
      <c r="H1942" s="7"/>
      <c r="I1942" s="7"/>
      <c r="J1942" s="7"/>
    </row>
    <row r="1943" spans="8:10" x14ac:dyDescent="0.25">
      <c r="H1943" s="7"/>
      <c r="I1943" s="7"/>
      <c r="J1943" s="7"/>
    </row>
    <row r="1944" spans="8:10" x14ac:dyDescent="0.25">
      <c r="H1944" s="7"/>
      <c r="I1944" s="7"/>
      <c r="J1944" s="7"/>
    </row>
    <row r="1945" spans="8:10" x14ac:dyDescent="0.25">
      <c r="H1945" s="7"/>
      <c r="I1945" s="7"/>
      <c r="J1945" s="7"/>
    </row>
    <row r="1946" spans="8:10" x14ac:dyDescent="0.25">
      <c r="H1946" s="7"/>
      <c r="I1946" s="7"/>
      <c r="J1946" s="7"/>
    </row>
    <row r="1947" spans="8:10" x14ac:dyDescent="0.25">
      <c r="H1947" s="7"/>
      <c r="I1947" s="7"/>
      <c r="J1947" s="7"/>
    </row>
    <row r="1948" spans="8:10" x14ac:dyDescent="0.25">
      <c r="H1948" s="7"/>
      <c r="I1948" s="7"/>
      <c r="J1948" s="7"/>
    </row>
    <row r="1949" spans="8:10" x14ac:dyDescent="0.25">
      <c r="H1949" s="7"/>
      <c r="I1949" s="7"/>
      <c r="J1949" s="7"/>
    </row>
    <row r="1950" spans="8:10" x14ac:dyDescent="0.25">
      <c r="H1950" s="7"/>
      <c r="I1950" s="7"/>
      <c r="J1950" s="7"/>
    </row>
    <row r="1951" spans="8:10" x14ac:dyDescent="0.25">
      <c r="H1951" s="7"/>
      <c r="I1951" s="7"/>
      <c r="J1951" s="7"/>
    </row>
    <row r="1952" spans="8:10" x14ac:dyDescent="0.25">
      <c r="H1952" s="7"/>
      <c r="I1952" s="7"/>
      <c r="J1952" s="7"/>
    </row>
    <row r="1953" spans="8:10" x14ac:dyDescent="0.25">
      <c r="H1953" s="7"/>
      <c r="I1953" s="7"/>
      <c r="J1953" s="7"/>
    </row>
    <row r="1954" spans="8:10" x14ac:dyDescent="0.25">
      <c r="H1954" s="7"/>
      <c r="I1954" s="7"/>
      <c r="J1954" s="7"/>
    </row>
    <row r="1955" spans="8:10" x14ac:dyDescent="0.25">
      <c r="H1955" s="7"/>
      <c r="I1955" s="7"/>
      <c r="J1955" s="7"/>
    </row>
    <row r="1956" spans="8:10" x14ac:dyDescent="0.25">
      <c r="H1956" s="7"/>
      <c r="I1956" s="7"/>
      <c r="J1956" s="7"/>
    </row>
    <row r="1957" spans="8:10" x14ac:dyDescent="0.25">
      <c r="H1957" s="7"/>
      <c r="I1957" s="7"/>
      <c r="J1957" s="7"/>
    </row>
    <row r="1958" spans="8:10" x14ac:dyDescent="0.25">
      <c r="H1958" s="7"/>
      <c r="I1958" s="7"/>
      <c r="J1958" s="7"/>
    </row>
    <row r="1959" spans="8:10" x14ac:dyDescent="0.25">
      <c r="H1959" s="7"/>
      <c r="I1959" s="7"/>
      <c r="J1959" s="7"/>
    </row>
    <row r="1960" spans="8:10" x14ac:dyDescent="0.25">
      <c r="H1960" s="7"/>
      <c r="I1960" s="7"/>
      <c r="J1960" s="7"/>
    </row>
    <row r="1961" spans="8:10" x14ac:dyDescent="0.25">
      <c r="H1961" s="7"/>
      <c r="I1961" s="7"/>
      <c r="J1961" s="7"/>
    </row>
    <row r="1962" spans="8:10" x14ac:dyDescent="0.25">
      <c r="H1962" s="7"/>
      <c r="I1962" s="7"/>
      <c r="J1962" s="7"/>
    </row>
    <row r="1963" spans="8:10" x14ac:dyDescent="0.25">
      <c r="H1963" s="7"/>
      <c r="I1963" s="7"/>
      <c r="J1963" s="7"/>
    </row>
    <row r="1964" spans="8:10" x14ac:dyDescent="0.25">
      <c r="H1964" s="7"/>
      <c r="I1964" s="7"/>
      <c r="J1964" s="7"/>
    </row>
    <row r="1965" spans="8:10" x14ac:dyDescent="0.25">
      <c r="H1965" s="7"/>
      <c r="I1965" s="7"/>
      <c r="J1965" s="7"/>
    </row>
    <row r="1966" spans="8:10" x14ac:dyDescent="0.25">
      <c r="H1966" s="7"/>
      <c r="I1966" s="7"/>
      <c r="J1966" s="7"/>
    </row>
    <row r="1967" spans="8:10" x14ac:dyDescent="0.25">
      <c r="H1967" s="7"/>
      <c r="I1967" s="7"/>
      <c r="J1967" s="7"/>
    </row>
    <row r="1968" spans="8:10" x14ac:dyDescent="0.25">
      <c r="H1968" s="7"/>
      <c r="I1968" s="7"/>
      <c r="J1968" s="7"/>
    </row>
    <row r="1969" spans="8:10" x14ac:dyDescent="0.25">
      <c r="H1969" s="7"/>
      <c r="I1969" s="7"/>
      <c r="J1969" s="7"/>
    </row>
    <row r="1970" spans="8:10" x14ac:dyDescent="0.25">
      <c r="H1970" s="7"/>
      <c r="I1970" s="7"/>
      <c r="J1970" s="7"/>
    </row>
    <row r="1971" spans="8:10" x14ac:dyDescent="0.25">
      <c r="H1971" s="7"/>
      <c r="I1971" s="7"/>
      <c r="J1971" s="7"/>
    </row>
    <row r="1972" spans="8:10" x14ac:dyDescent="0.25">
      <c r="H1972" s="7"/>
      <c r="I1972" s="7"/>
      <c r="J1972" s="7"/>
    </row>
    <row r="1973" spans="8:10" x14ac:dyDescent="0.25">
      <c r="H1973" s="7"/>
      <c r="I1973" s="7"/>
      <c r="J1973" s="7"/>
    </row>
    <row r="1974" spans="8:10" x14ac:dyDescent="0.25">
      <c r="H1974" s="7"/>
      <c r="I1974" s="7"/>
      <c r="J1974" s="7"/>
    </row>
    <row r="1975" spans="8:10" x14ac:dyDescent="0.25">
      <c r="H1975" s="7"/>
      <c r="I1975" s="7"/>
      <c r="J1975" s="7"/>
    </row>
    <row r="1976" spans="8:10" x14ac:dyDescent="0.25">
      <c r="H1976" s="7"/>
      <c r="I1976" s="7"/>
      <c r="J1976" s="7"/>
    </row>
    <row r="1977" spans="8:10" x14ac:dyDescent="0.25">
      <c r="H1977" s="7"/>
      <c r="I1977" s="7"/>
      <c r="J1977" s="7"/>
    </row>
    <row r="1978" spans="8:10" x14ac:dyDescent="0.25">
      <c r="H1978" s="7"/>
      <c r="I1978" s="7"/>
      <c r="J1978" s="7"/>
    </row>
    <row r="1979" spans="8:10" x14ac:dyDescent="0.25">
      <c r="H1979" s="7"/>
      <c r="I1979" s="7"/>
      <c r="J1979" s="7"/>
    </row>
    <row r="1980" spans="8:10" x14ac:dyDescent="0.25">
      <c r="H1980" s="7"/>
      <c r="I1980" s="7"/>
      <c r="J1980" s="7"/>
    </row>
    <row r="1981" spans="8:10" x14ac:dyDescent="0.25">
      <c r="H1981" s="7"/>
      <c r="I1981" s="7"/>
      <c r="J1981" s="7"/>
    </row>
    <row r="1982" spans="8:10" x14ac:dyDescent="0.25">
      <c r="H1982" s="7"/>
      <c r="I1982" s="7"/>
      <c r="J1982" s="7"/>
    </row>
    <row r="1983" spans="8:10" x14ac:dyDescent="0.25">
      <c r="H1983" s="7"/>
      <c r="I1983" s="7"/>
      <c r="J1983" s="7"/>
    </row>
    <row r="1984" spans="8:10" x14ac:dyDescent="0.25">
      <c r="H1984" s="7"/>
      <c r="I1984" s="7"/>
      <c r="J1984" s="7"/>
    </row>
    <row r="1985" spans="8:10" x14ac:dyDescent="0.25">
      <c r="H1985" s="7"/>
      <c r="I1985" s="7"/>
      <c r="J1985" s="7"/>
    </row>
    <row r="1986" spans="8:10" x14ac:dyDescent="0.25">
      <c r="H1986" s="7"/>
      <c r="I1986" s="7"/>
      <c r="J1986" s="7"/>
    </row>
    <row r="1987" spans="8:10" x14ac:dyDescent="0.25">
      <c r="H1987" s="7"/>
      <c r="I1987" s="7"/>
      <c r="J1987" s="7"/>
    </row>
    <row r="1988" spans="8:10" x14ac:dyDescent="0.25">
      <c r="H1988" s="7"/>
      <c r="I1988" s="7"/>
      <c r="J1988" s="7"/>
    </row>
    <row r="1989" spans="8:10" x14ac:dyDescent="0.25">
      <c r="H1989" s="7"/>
      <c r="I1989" s="7"/>
      <c r="J1989" s="7"/>
    </row>
    <row r="1990" spans="8:10" x14ac:dyDescent="0.25">
      <c r="H1990" s="7"/>
      <c r="I1990" s="7"/>
      <c r="J1990" s="7"/>
    </row>
    <row r="1991" spans="8:10" x14ac:dyDescent="0.25">
      <c r="H1991" s="7"/>
      <c r="I1991" s="7"/>
      <c r="J1991" s="7"/>
    </row>
    <row r="1992" spans="8:10" x14ac:dyDescent="0.25">
      <c r="H1992" s="7"/>
      <c r="I1992" s="7"/>
      <c r="J1992" s="7"/>
    </row>
    <row r="1993" spans="8:10" x14ac:dyDescent="0.25">
      <c r="H1993" s="7"/>
      <c r="I1993" s="7"/>
      <c r="J1993" s="7"/>
    </row>
    <row r="1994" spans="8:10" x14ac:dyDescent="0.25">
      <c r="H1994" s="7"/>
      <c r="I1994" s="7"/>
      <c r="J1994" s="7"/>
    </row>
    <row r="1995" spans="8:10" x14ac:dyDescent="0.25">
      <c r="H1995" s="7"/>
      <c r="I1995" s="7"/>
      <c r="J1995" s="7"/>
    </row>
    <row r="1996" spans="8:10" x14ac:dyDescent="0.25">
      <c r="H1996" s="7"/>
      <c r="I1996" s="7"/>
      <c r="J1996" s="7"/>
    </row>
    <row r="1997" spans="8:10" x14ac:dyDescent="0.25">
      <c r="H1997" s="7"/>
      <c r="I1997" s="7"/>
      <c r="J1997" s="7"/>
    </row>
    <row r="1998" spans="8:10" x14ac:dyDescent="0.25">
      <c r="H1998" s="7"/>
      <c r="I1998" s="7"/>
      <c r="J1998" s="7"/>
    </row>
    <row r="1999" spans="8:10" x14ac:dyDescent="0.25">
      <c r="H1999" s="7"/>
      <c r="I1999" s="7"/>
      <c r="J1999" s="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99"/>
  <sheetViews>
    <sheetView zoomScale="160" zoomScaleNormal="160" workbookViewId="0">
      <selection activeCell="F6" sqref="F6"/>
    </sheetView>
  </sheetViews>
  <sheetFormatPr defaultRowHeight="14.25" x14ac:dyDescent="0.2"/>
  <cols>
    <col min="1" max="1" width="6.42578125" style="2" customWidth="1"/>
    <col min="2" max="2" width="7" style="2" customWidth="1"/>
    <col min="3" max="3" width="12.7109375" style="2" customWidth="1"/>
    <col min="4" max="4" width="26.7109375" style="2" customWidth="1"/>
    <col min="5" max="5" width="6" style="2" customWidth="1"/>
    <col min="6" max="6" width="11.42578125" style="2" customWidth="1"/>
    <col min="7" max="7" width="9.28515625" style="2" customWidth="1"/>
    <col min="8" max="8" width="16.42578125" style="2" customWidth="1"/>
    <col min="9" max="9" width="7.5703125" style="2" customWidth="1"/>
    <col min="10" max="16384" width="9.140625" style="2"/>
  </cols>
  <sheetData>
    <row r="1" spans="1:10" x14ac:dyDescent="0.2">
      <c r="A1" s="2" t="s">
        <v>0</v>
      </c>
      <c r="B1" s="2" t="s">
        <v>9</v>
      </c>
      <c r="C1" s="2" t="s">
        <v>1</v>
      </c>
      <c r="D1" s="2" t="s">
        <v>5</v>
      </c>
      <c r="E1" s="2" t="s">
        <v>4</v>
      </c>
      <c r="F1" s="9" t="s">
        <v>2</v>
      </c>
      <c r="G1" s="9" t="s">
        <v>3</v>
      </c>
      <c r="H1" s="2" t="s">
        <v>6</v>
      </c>
      <c r="I1" s="2" t="s">
        <v>7</v>
      </c>
      <c r="J1" s="2" t="s">
        <v>8</v>
      </c>
    </row>
    <row r="2" spans="1:10" ht="15" x14ac:dyDescent="0.25">
      <c r="A2" s="2">
        <v>1</v>
      </c>
      <c r="B2" s="7" t="s">
        <v>11</v>
      </c>
      <c r="C2" s="5" t="s">
        <v>111</v>
      </c>
      <c r="D2" s="5" t="str">
        <f t="shared" ref="D2:D33" si="0">C2&amp;" | "&amp;J2&amp;" -Votos"</f>
        <v>Aerolândia | 9 -Votos</v>
      </c>
      <c r="E2" s="7">
        <v>80</v>
      </c>
      <c r="F2" s="8">
        <v>-3.7731491165125499</v>
      </c>
      <c r="G2" s="8">
        <v>-38.514716985329301</v>
      </c>
      <c r="H2" s="2" t="str">
        <f t="shared" ref="H2:H33" si="1">B2</f>
        <v>SER 6</v>
      </c>
      <c r="I2">
        <v>9</v>
      </c>
      <c r="J2">
        <v>9</v>
      </c>
    </row>
    <row r="3" spans="1:10" ht="15" x14ac:dyDescent="0.25">
      <c r="A3" s="2">
        <f t="shared" ref="A3:A66" si="2">A2+1</f>
        <v>2</v>
      </c>
      <c r="B3" s="7" t="s">
        <v>15</v>
      </c>
      <c r="C3" s="5" t="s">
        <v>112</v>
      </c>
      <c r="D3" s="5" t="str">
        <f t="shared" si="0"/>
        <v>Aeroporto | 1 -Votos</v>
      </c>
      <c r="E3" s="7">
        <v>118</v>
      </c>
      <c r="F3" s="8">
        <v>-3.78328157008503</v>
      </c>
      <c r="G3" s="8">
        <v>-38.531026819607298</v>
      </c>
      <c r="H3" s="2" t="str">
        <f t="shared" si="1"/>
        <v>SER 4</v>
      </c>
      <c r="I3">
        <v>1</v>
      </c>
      <c r="J3">
        <v>1</v>
      </c>
    </row>
    <row r="4" spans="1:10" ht="15" x14ac:dyDescent="0.25">
      <c r="A4" s="2">
        <f t="shared" si="2"/>
        <v>3</v>
      </c>
      <c r="B4" s="7" t="s">
        <v>10</v>
      </c>
      <c r="C4" s="7" t="s">
        <v>22</v>
      </c>
      <c r="D4" s="5" t="str">
        <f t="shared" si="0"/>
        <v>Aldeota | 66 -Votos</v>
      </c>
      <c r="E4" s="7">
        <v>1</v>
      </c>
      <c r="F4" s="8">
        <v>-3.7339856484838898</v>
      </c>
      <c r="G4" s="8">
        <v>-38.512272533062301</v>
      </c>
      <c r="H4" s="2" t="str">
        <f t="shared" si="1"/>
        <v>SER 2</v>
      </c>
      <c r="I4">
        <v>66</v>
      </c>
      <c r="J4">
        <v>66</v>
      </c>
    </row>
    <row r="5" spans="1:10" ht="15" x14ac:dyDescent="0.25">
      <c r="A5" s="2">
        <f t="shared" si="2"/>
        <v>4</v>
      </c>
      <c r="B5" s="7" t="s">
        <v>10</v>
      </c>
      <c r="C5" s="5" t="s">
        <v>113</v>
      </c>
      <c r="D5" s="5" t="str">
        <f t="shared" si="0"/>
        <v>Alto da Balança | 23 -Votos</v>
      </c>
      <c r="E5" s="7">
        <v>80</v>
      </c>
      <c r="F5" s="8">
        <v>-3.76511099022437</v>
      </c>
      <c r="G5" s="8">
        <v>-38.514011814644199</v>
      </c>
      <c r="H5" s="2" t="str">
        <f t="shared" si="1"/>
        <v>SER 2</v>
      </c>
      <c r="I5">
        <v>23</v>
      </c>
      <c r="J5">
        <v>23</v>
      </c>
    </row>
    <row r="6" spans="1:10" ht="15" x14ac:dyDescent="0.25">
      <c r="A6" s="2">
        <f t="shared" si="2"/>
        <v>5</v>
      </c>
      <c r="B6" s="7" t="s">
        <v>14</v>
      </c>
      <c r="C6" s="7" t="s">
        <v>23</v>
      </c>
      <c r="D6" s="5" t="str">
        <f>D2&amp;" ; "&amp;B2&amp;" -Votos"</f>
        <v>Aerolândia | 9 -Votos ; SER 6 -Votos</v>
      </c>
      <c r="E6" s="7">
        <v>82</v>
      </c>
      <c r="F6" s="8">
        <v>-3.7158519544419502</v>
      </c>
      <c r="G6" s="8">
        <v>-38.572758193784402</v>
      </c>
      <c r="H6" s="2" t="str">
        <f t="shared" si="1"/>
        <v>SER 1</v>
      </c>
      <c r="I6">
        <v>149</v>
      </c>
      <c r="J6">
        <v>149</v>
      </c>
    </row>
    <row r="7" spans="1:10" ht="15" x14ac:dyDescent="0.25">
      <c r="A7" s="2">
        <f t="shared" si="2"/>
        <v>6</v>
      </c>
      <c r="B7" s="7" t="s">
        <v>17</v>
      </c>
      <c r="C7" s="7" t="s">
        <v>24</v>
      </c>
      <c r="D7" s="5" t="str">
        <f t="shared" si="0"/>
        <v>Amadeu Furtado | 10 -Votos</v>
      </c>
      <c r="E7" s="7">
        <v>113</v>
      </c>
      <c r="F7" s="8">
        <v>-3.7444480859003999</v>
      </c>
      <c r="G7" s="8">
        <v>-38.557486657117401</v>
      </c>
      <c r="H7" s="2" t="str">
        <f t="shared" si="1"/>
        <v>SER 3</v>
      </c>
      <c r="I7">
        <v>10</v>
      </c>
      <c r="J7">
        <v>10</v>
      </c>
    </row>
    <row r="8" spans="1:10" ht="15" x14ac:dyDescent="0.25">
      <c r="A8" s="2">
        <f t="shared" si="2"/>
        <v>7</v>
      </c>
      <c r="B8" s="7" t="s">
        <v>16</v>
      </c>
      <c r="C8" s="7" t="s">
        <v>70</v>
      </c>
      <c r="D8" s="5" t="str">
        <f t="shared" si="0"/>
        <v>Ancuri | 5 -Votos</v>
      </c>
      <c r="E8" s="7">
        <v>95</v>
      </c>
      <c r="F8" s="8">
        <v>-3.8648814584649198</v>
      </c>
      <c r="G8" s="8">
        <v>-38.5067770366255</v>
      </c>
      <c r="H8" s="2" t="str">
        <f t="shared" si="1"/>
        <v>SER 9</v>
      </c>
      <c r="I8">
        <v>5</v>
      </c>
      <c r="J8">
        <v>5</v>
      </c>
    </row>
    <row r="9" spans="1:10" ht="15" x14ac:dyDescent="0.25">
      <c r="A9" s="13">
        <f t="shared" si="2"/>
        <v>8</v>
      </c>
      <c r="B9" s="14" t="s">
        <v>17</v>
      </c>
      <c r="C9" s="14" t="s">
        <v>60</v>
      </c>
      <c r="D9" s="5" t="str">
        <f t="shared" si="0"/>
        <v>Antônio Bezerra | 52 -Votos</v>
      </c>
      <c r="E9" s="14">
        <v>85</v>
      </c>
      <c r="F9" s="15">
        <v>-3.7438599910555701</v>
      </c>
      <c r="G9" s="15">
        <v>-38.594170001002098</v>
      </c>
      <c r="H9" s="2" t="str">
        <f t="shared" si="1"/>
        <v>SER 3</v>
      </c>
      <c r="I9">
        <v>52</v>
      </c>
      <c r="J9">
        <v>52</v>
      </c>
    </row>
    <row r="10" spans="1:10" ht="15" x14ac:dyDescent="0.25">
      <c r="A10" s="2">
        <f t="shared" si="2"/>
        <v>9</v>
      </c>
      <c r="B10" s="7" t="s">
        <v>19</v>
      </c>
      <c r="C10" s="7" t="s">
        <v>139</v>
      </c>
      <c r="D10" s="5" t="str">
        <f t="shared" si="0"/>
        <v>Aracapé | 0 -Votos</v>
      </c>
      <c r="E10" s="7">
        <v>117</v>
      </c>
      <c r="F10" s="8">
        <v>-3.8318976001179301</v>
      </c>
      <c r="G10" s="8">
        <v>-38.586396530656202</v>
      </c>
      <c r="H10" s="2" t="str">
        <f t="shared" si="1"/>
        <v>SER 10</v>
      </c>
      <c r="I10" s="8">
        <v>0</v>
      </c>
      <c r="J10" s="8">
        <v>0</v>
      </c>
    </row>
    <row r="11" spans="1:10" ht="15" x14ac:dyDescent="0.25">
      <c r="A11" s="2">
        <f t="shared" si="2"/>
        <v>10</v>
      </c>
      <c r="B11" s="7" t="s">
        <v>18</v>
      </c>
      <c r="C11" s="7" t="s">
        <v>61</v>
      </c>
      <c r="D11" s="5" t="str">
        <f t="shared" si="0"/>
        <v>Autran Nunes | 18 -Votos</v>
      </c>
      <c r="E11" s="7">
        <v>85</v>
      </c>
      <c r="F11" s="8">
        <v>-3.7518792027974102</v>
      </c>
      <c r="G11" s="8">
        <v>-38.596604923459601</v>
      </c>
      <c r="H11" s="2" t="str">
        <f t="shared" si="1"/>
        <v>SER 11</v>
      </c>
      <c r="I11">
        <v>18</v>
      </c>
      <c r="J11">
        <v>18</v>
      </c>
    </row>
    <row r="12" spans="1:10" ht="15" x14ac:dyDescent="0.25">
      <c r="A12" s="2">
        <f t="shared" si="2"/>
        <v>11</v>
      </c>
      <c r="B12" s="7" t="s">
        <v>14</v>
      </c>
      <c r="C12" s="7" t="s">
        <v>26</v>
      </c>
      <c r="D12" s="5" t="str">
        <f t="shared" si="0"/>
        <v>Barra do Ceara | 273 -Votos</v>
      </c>
      <c r="E12" s="7">
        <v>114</v>
      </c>
      <c r="F12" s="8">
        <v>-3.7044707668351502</v>
      </c>
      <c r="G12" s="8">
        <v>-38.577290647687001</v>
      </c>
      <c r="H12" s="2" t="str">
        <f t="shared" si="1"/>
        <v>SER 1</v>
      </c>
      <c r="I12">
        <v>273</v>
      </c>
      <c r="J12">
        <v>273</v>
      </c>
    </row>
    <row r="13" spans="1:10" ht="15" x14ac:dyDescent="0.25">
      <c r="A13" s="2">
        <f t="shared" si="2"/>
        <v>12</v>
      </c>
      <c r="B13" s="7" t="s">
        <v>16</v>
      </c>
      <c r="C13" s="7" t="s">
        <v>71</v>
      </c>
      <c r="D13" s="5" t="str">
        <f t="shared" si="0"/>
        <v>Barroso | 40 -Votos</v>
      </c>
      <c r="E13" s="7">
        <v>95</v>
      </c>
      <c r="F13" s="8">
        <v>-3.8204455093400602</v>
      </c>
      <c r="G13" s="8">
        <v>-38.512645687979401</v>
      </c>
      <c r="H13" s="2" t="str">
        <f t="shared" si="1"/>
        <v>SER 9</v>
      </c>
      <c r="I13">
        <v>40</v>
      </c>
      <c r="J13">
        <v>40</v>
      </c>
    </row>
    <row r="14" spans="1:10" ht="15" x14ac:dyDescent="0.25">
      <c r="A14" s="2">
        <f t="shared" si="2"/>
        <v>13</v>
      </c>
      <c r="B14" s="7" t="s">
        <v>18</v>
      </c>
      <c r="C14" s="5" t="s">
        <v>114</v>
      </c>
      <c r="D14" s="5" t="str">
        <f t="shared" si="0"/>
        <v>Bela Vista | 54 -Votos</v>
      </c>
      <c r="E14" s="7">
        <v>83</v>
      </c>
      <c r="F14" s="8">
        <v>-3.75227870449759</v>
      </c>
      <c r="G14" s="8">
        <v>-38.561010002875797</v>
      </c>
      <c r="H14" s="2" t="str">
        <f t="shared" si="1"/>
        <v>SER 11</v>
      </c>
      <c r="I14">
        <v>54</v>
      </c>
      <c r="J14">
        <v>54</v>
      </c>
    </row>
    <row r="15" spans="1:10" ht="15" x14ac:dyDescent="0.25">
      <c r="A15" s="2">
        <f t="shared" si="2"/>
        <v>14</v>
      </c>
      <c r="B15" s="7" t="s">
        <v>15</v>
      </c>
      <c r="C15" s="7" t="s">
        <v>27</v>
      </c>
      <c r="D15" s="5" t="str">
        <f t="shared" si="0"/>
        <v>Benfica | 48 -Votos</v>
      </c>
      <c r="E15" s="7">
        <v>113</v>
      </c>
      <c r="F15" s="8">
        <v>-3.7435794004401002</v>
      </c>
      <c r="G15" s="8">
        <v>-38.536164699959699</v>
      </c>
      <c r="H15" s="2" t="str">
        <f t="shared" si="1"/>
        <v>SER 4</v>
      </c>
      <c r="I15">
        <v>48</v>
      </c>
      <c r="J15">
        <v>48</v>
      </c>
    </row>
    <row r="16" spans="1:10" ht="15" x14ac:dyDescent="0.25">
      <c r="A16" s="2">
        <f t="shared" si="2"/>
        <v>15</v>
      </c>
      <c r="B16" s="7" t="s">
        <v>20</v>
      </c>
      <c r="C16" s="5" t="s">
        <v>140</v>
      </c>
      <c r="D16" s="5" t="str">
        <f t="shared" si="0"/>
        <v>Boa Vista | 120 -Votos</v>
      </c>
      <c r="E16" s="7">
        <v>118</v>
      </c>
      <c r="F16" s="8">
        <v>-3.7957697992767501</v>
      </c>
      <c r="G16" s="8">
        <v>-38.518971545141397</v>
      </c>
      <c r="H16" s="2" t="str">
        <f t="shared" si="1"/>
        <v>SER 8</v>
      </c>
      <c r="I16">
        <v>120</v>
      </c>
      <c r="J16">
        <v>120</v>
      </c>
    </row>
    <row r="17" spans="1:10" ht="15" x14ac:dyDescent="0.25">
      <c r="A17" s="2">
        <f t="shared" si="2"/>
        <v>16</v>
      </c>
      <c r="B17" s="7" t="s">
        <v>15</v>
      </c>
      <c r="C17" s="7" t="s">
        <v>28</v>
      </c>
      <c r="D17" s="5" t="str">
        <f t="shared" si="0"/>
        <v>Bom Futuro | 58 -Votos</v>
      </c>
      <c r="E17" s="7">
        <v>113</v>
      </c>
      <c r="F17" s="8">
        <v>-3.7582086333092199</v>
      </c>
      <c r="G17" s="8">
        <v>-38.546481255969098</v>
      </c>
      <c r="H17" s="2" t="str">
        <f t="shared" si="1"/>
        <v>SER 4</v>
      </c>
      <c r="I17">
        <v>58</v>
      </c>
      <c r="J17">
        <v>58</v>
      </c>
    </row>
    <row r="18" spans="1:10" ht="15" x14ac:dyDescent="0.25">
      <c r="A18" s="2">
        <f t="shared" si="2"/>
        <v>17</v>
      </c>
      <c r="B18" s="7" t="s">
        <v>141</v>
      </c>
      <c r="C18" s="5" t="s">
        <v>92</v>
      </c>
      <c r="D18" s="5" t="str">
        <f t="shared" si="0"/>
        <v>Bom Jardim | 1421 -Votos</v>
      </c>
      <c r="E18" s="7">
        <v>116</v>
      </c>
      <c r="F18" s="8">
        <v>-3.78731120388623</v>
      </c>
      <c r="G18" s="8">
        <v>-38.605956606855898</v>
      </c>
      <c r="H18" s="2" t="str">
        <f t="shared" si="1"/>
        <v>SER 5</v>
      </c>
      <c r="I18">
        <v>1421</v>
      </c>
      <c r="J18">
        <v>1421</v>
      </c>
    </row>
    <row r="19" spans="1:10" ht="15" x14ac:dyDescent="0.25">
      <c r="A19" s="2">
        <f t="shared" si="2"/>
        <v>18</v>
      </c>
      <c r="B19" s="7" t="s">
        <v>141</v>
      </c>
      <c r="C19" s="5" t="s">
        <v>93</v>
      </c>
      <c r="D19" s="5" t="str">
        <f t="shared" si="0"/>
        <v>Bonsucesso | 201 -Votos</v>
      </c>
      <c r="E19" s="7">
        <v>116</v>
      </c>
      <c r="F19" s="8">
        <v>-3.78040751812869</v>
      </c>
      <c r="G19" s="8">
        <v>-38.588575511233898</v>
      </c>
      <c r="H19" s="2" t="str">
        <f t="shared" si="1"/>
        <v>SER 5</v>
      </c>
      <c r="I19">
        <v>201</v>
      </c>
      <c r="J19">
        <v>201</v>
      </c>
    </row>
    <row r="20" spans="1:10" ht="15" x14ac:dyDescent="0.25">
      <c r="A20" s="2">
        <f t="shared" si="2"/>
        <v>19</v>
      </c>
      <c r="B20" s="7" t="s">
        <v>10</v>
      </c>
      <c r="C20" s="7" t="s">
        <v>128</v>
      </c>
      <c r="D20" s="5" t="str">
        <f t="shared" si="0"/>
        <v>Cais do Porto | 12 -Votos</v>
      </c>
      <c r="E20" s="7">
        <v>1</v>
      </c>
      <c r="F20" s="8">
        <v>-3.71286380822142</v>
      </c>
      <c r="G20" s="8">
        <v>-38.466078519810999</v>
      </c>
      <c r="H20" s="2" t="str">
        <f t="shared" si="1"/>
        <v>SER 2</v>
      </c>
      <c r="I20">
        <v>12</v>
      </c>
      <c r="J20">
        <v>12</v>
      </c>
    </row>
    <row r="21" spans="1:10" ht="15" x14ac:dyDescent="0.25">
      <c r="A21" s="2">
        <f t="shared" si="2"/>
        <v>20</v>
      </c>
      <c r="B21" s="7" t="s">
        <v>16</v>
      </c>
      <c r="C21" s="7" t="s">
        <v>72</v>
      </c>
      <c r="D21" s="5" t="str">
        <f t="shared" si="0"/>
        <v>Cajazeiras | 28 -Votos</v>
      </c>
      <c r="E21" s="7">
        <v>95</v>
      </c>
      <c r="F21" s="8">
        <v>-3.7934683304721299</v>
      </c>
      <c r="G21" s="8">
        <v>-38.508846249037099</v>
      </c>
      <c r="H21" s="2" t="str">
        <f t="shared" si="1"/>
        <v>SER 9</v>
      </c>
      <c r="I21">
        <v>28</v>
      </c>
      <c r="J21">
        <v>28</v>
      </c>
    </row>
    <row r="22" spans="1:10" ht="15" x14ac:dyDescent="0.25">
      <c r="A22" s="2">
        <f t="shared" si="2"/>
        <v>21</v>
      </c>
      <c r="B22" s="7" t="s">
        <v>11</v>
      </c>
      <c r="C22" s="7" t="s">
        <v>73</v>
      </c>
      <c r="D22" s="5" t="str">
        <f t="shared" si="0"/>
        <v>Cambeba | 12 -Votos</v>
      </c>
      <c r="E22" s="7">
        <v>112</v>
      </c>
      <c r="F22" s="8">
        <v>-3.8108687886441301</v>
      </c>
      <c r="G22" s="8">
        <v>-38.4881329505724</v>
      </c>
      <c r="H22" s="2" t="str">
        <f t="shared" si="1"/>
        <v>SER 6</v>
      </c>
      <c r="I22">
        <v>12</v>
      </c>
      <c r="J22">
        <v>12</v>
      </c>
    </row>
    <row r="23" spans="1:10" ht="15" x14ac:dyDescent="0.25">
      <c r="A23" s="2">
        <f t="shared" si="2"/>
        <v>22</v>
      </c>
      <c r="B23" s="7" t="s">
        <v>19</v>
      </c>
      <c r="C23" s="5" t="s">
        <v>94</v>
      </c>
      <c r="D23" s="5" t="str">
        <f t="shared" si="0"/>
        <v>Canindezinho | 99 -Votos</v>
      </c>
      <c r="E23" s="7">
        <v>117</v>
      </c>
      <c r="F23" s="8">
        <v>-3.8088965401008901</v>
      </c>
      <c r="G23" s="8">
        <v>-38.604129302130701</v>
      </c>
      <c r="H23" s="2" t="str">
        <f t="shared" si="1"/>
        <v>SER 10</v>
      </c>
      <c r="I23">
        <v>99</v>
      </c>
      <c r="J23">
        <v>99</v>
      </c>
    </row>
    <row r="24" spans="1:10" ht="15" x14ac:dyDescent="0.25">
      <c r="A24" s="2">
        <f t="shared" si="2"/>
        <v>23</v>
      </c>
      <c r="B24" s="7" t="s">
        <v>14</v>
      </c>
      <c r="C24" s="7" t="s">
        <v>29</v>
      </c>
      <c r="D24" s="5" t="str">
        <f t="shared" si="0"/>
        <v>Carlito Pamplona | 72 -Votos</v>
      </c>
      <c r="E24" s="7">
        <v>82</v>
      </c>
      <c r="F24" s="8">
        <v>-3.7183301235653401</v>
      </c>
      <c r="G24" s="8">
        <v>-38.554508707357897</v>
      </c>
      <c r="H24" s="2" t="str">
        <f t="shared" si="1"/>
        <v>SER 1</v>
      </c>
      <c r="I24">
        <v>72</v>
      </c>
      <c r="J24">
        <v>72</v>
      </c>
    </row>
    <row r="25" spans="1:10" ht="15" x14ac:dyDescent="0.25">
      <c r="A25" s="2">
        <f t="shared" si="2"/>
        <v>24</v>
      </c>
      <c r="B25" s="7" t="s">
        <v>12</v>
      </c>
      <c r="C25" s="7" t="s">
        <v>30</v>
      </c>
      <c r="D25" s="5" t="str">
        <f t="shared" si="0"/>
        <v>Centro | 105 -Votos</v>
      </c>
      <c r="E25" s="7">
        <v>3</v>
      </c>
      <c r="F25" s="8">
        <v>-3.7355947723103302</v>
      </c>
      <c r="G25" s="8">
        <v>-38.5178177041252</v>
      </c>
      <c r="H25" s="2" t="str">
        <f t="shared" si="1"/>
        <v>SER 12</v>
      </c>
      <c r="I25">
        <v>105</v>
      </c>
      <c r="J25">
        <v>105</v>
      </c>
    </row>
    <row r="26" spans="1:10" ht="15" x14ac:dyDescent="0.25">
      <c r="A26" s="2">
        <f t="shared" si="2"/>
        <v>25</v>
      </c>
      <c r="B26" s="7" t="s">
        <v>13</v>
      </c>
      <c r="C26" s="7" t="s">
        <v>129</v>
      </c>
      <c r="D26" s="5" t="str">
        <f t="shared" si="0"/>
        <v>Cidade 2000 | 12 -Votos</v>
      </c>
      <c r="E26" s="7">
        <v>1</v>
      </c>
      <c r="F26" s="8">
        <v>-3.7515629494479001</v>
      </c>
      <c r="G26" s="8">
        <v>-38.473078900891103</v>
      </c>
      <c r="H26" s="2" t="str">
        <f t="shared" si="1"/>
        <v>SER 7</v>
      </c>
      <c r="I26">
        <v>12</v>
      </c>
      <c r="J26">
        <v>12</v>
      </c>
    </row>
    <row r="27" spans="1:10" ht="15" x14ac:dyDescent="0.25">
      <c r="A27" s="2">
        <f t="shared" si="2"/>
        <v>26</v>
      </c>
      <c r="B27" s="7" t="s">
        <v>11</v>
      </c>
      <c r="C27" s="5" t="s">
        <v>74</v>
      </c>
      <c r="D27" s="5" t="str">
        <f t="shared" si="0"/>
        <v>Cidade dos
Funcionários | 29 -Votos</v>
      </c>
      <c r="E27" s="7">
        <v>112</v>
      </c>
      <c r="F27" s="8">
        <v>-3.7940848688483402</v>
      </c>
      <c r="G27" s="8">
        <v>-38.499748705054301</v>
      </c>
      <c r="H27" s="2" t="str">
        <f t="shared" si="1"/>
        <v>SER 6</v>
      </c>
      <c r="I27">
        <v>29</v>
      </c>
      <c r="J27">
        <v>29</v>
      </c>
    </row>
    <row r="28" spans="1:10" ht="15" x14ac:dyDescent="0.25">
      <c r="A28" s="2">
        <f t="shared" si="2"/>
        <v>27</v>
      </c>
      <c r="B28" s="7" t="s">
        <v>11</v>
      </c>
      <c r="C28" s="5" t="s">
        <v>75</v>
      </c>
      <c r="D28" s="5" t="str">
        <f t="shared" si="0"/>
        <v>Coaçu | 4 -Votos</v>
      </c>
      <c r="E28" s="7">
        <v>2</v>
      </c>
      <c r="F28" s="8">
        <v>-3.8461633464172298</v>
      </c>
      <c r="G28" s="8">
        <v>-38.474517251289797</v>
      </c>
      <c r="H28" s="2" t="str">
        <f t="shared" si="1"/>
        <v>SER 6</v>
      </c>
      <c r="I28">
        <v>4</v>
      </c>
      <c r="J28">
        <v>4</v>
      </c>
    </row>
    <row r="29" spans="1:10" ht="15" x14ac:dyDescent="0.25">
      <c r="A29" s="2">
        <f t="shared" si="2"/>
        <v>28</v>
      </c>
      <c r="B29" s="7" t="s">
        <v>13</v>
      </c>
      <c r="C29" s="7" t="s">
        <v>31</v>
      </c>
      <c r="D29" s="5" t="str">
        <f t="shared" si="0"/>
        <v>Cocó | 11 -Votos</v>
      </c>
      <c r="E29" s="7">
        <v>1</v>
      </c>
      <c r="F29" s="8">
        <v>-3.7444528516131901</v>
      </c>
      <c r="G29" s="8">
        <v>-38.4783388321841</v>
      </c>
      <c r="H29" s="2" t="str">
        <f t="shared" si="1"/>
        <v>SER 7</v>
      </c>
      <c r="I29">
        <v>11</v>
      </c>
      <c r="J29">
        <v>11</v>
      </c>
    </row>
    <row r="30" spans="1:10" ht="15" x14ac:dyDescent="0.25">
      <c r="A30" s="2">
        <f t="shared" si="2"/>
        <v>29</v>
      </c>
      <c r="B30" s="7" t="s">
        <v>18</v>
      </c>
      <c r="C30" s="7" t="s">
        <v>62</v>
      </c>
      <c r="D30" s="5" t="str">
        <f t="shared" si="0"/>
        <v>Conjunto Ceará | 365 -Votos</v>
      </c>
      <c r="E30" s="7">
        <v>85</v>
      </c>
      <c r="F30" s="8">
        <v>-3.76776804633255</v>
      </c>
      <c r="G30" s="8">
        <v>-38.603027639769401</v>
      </c>
      <c r="H30" s="2" t="str">
        <f t="shared" si="1"/>
        <v>SER 11</v>
      </c>
      <c r="I30">
        <v>365</v>
      </c>
      <c r="J30">
        <v>365</v>
      </c>
    </row>
    <row r="31" spans="1:10" ht="15" x14ac:dyDescent="0.25">
      <c r="A31" s="2">
        <f t="shared" si="2"/>
        <v>30</v>
      </c>
      <c r="B31" s="7" t="s">
        <v>18</v>
      </c>
      <c r="C31" s="5" t="s">
        <v>95</v>
      </c>
      <c r="D31" s="5" t="str">
        <f t="shared" si="0"/>
        <v>Conjunto Ceará II | 30 -Votos</v>
      </c>
      <c r="E31" s="7">
        <v>85</v>
      </c>
      <c r="F31" s="8">
        <v>-3.772463215528</v>
      </c>
      <c r="G31" s="8">
        <v>-38.611769276788799</v>
      </c>
      <c r="H31" s="2" t="str">
        <f t="shared" si="1"/>
        <v>SER 11</v>
      </c>
      <c r="I31">
        <v>30</v>
      </c>
      <c r="J31">
        <v>30</v>
      </c>
    </row>
    <row r="32" spans="1:10" ht="15" x14ac:dyDescent="0.25">
      <c r="A32" s="2">
        <f t="shared" si="2"/>
        <v>31</v>
      </c>
      <c r="B32" s="7" t="s">
        <v>19</v>
      </c>
      <c r="C32" s="5" t="s">
        <v>96</v>
      </c>
      <c r="D32" s="5" t="str">
        <f t="shared" si="0"/>
        <v>Conjunto Esperança | 391 -Votos</v>
      </c>
      <c r="E32" s="7">
        <v>117</v>
      </c>
      <c r="F32" s="8">
        <v>-3.8147710098193799</v>
      </c>
      <c r="G32" s="8">
        <v>-38.588608356705898</v>
      </c>
      <c r="H32" s="2" t="str">
        <f t="shared" si="1"/>
        <v>SER 10</v>
      </c>
      <c r="I32">
        <v>391</v>
      </c>
      <c r="J32">
        <v>391</v>
      </c>
    </row>
    <row r="33" spans="1:10" ht="15" x14ac:dyDescent="0.25">
      <c r="A33" s="2">
        <f t="shared" si="2"/>
        <v>32</v>
      </c>
      <c r="B33" s="7" t="s">
        <v>16</v>
      </c>
      <c r="C33" s="7" t="s">
        <v>135</v>
      </c>
      <c r="D33" s="5" t="str">
        <f t="shared" si="0"/>
        <v>Conjunto Palmeiras | 36 -Votos</v>
      </c>
      <c r="E33" s="7">
        <v>95</v>
      </c>
      <c r="F33" s="8">
        <v>-3.8460425416992998</v>
      </c>
      <c r="G33" s="8">
        <v>-38.521461386696998</v>
      </c>
      <c r="H33" s="2" t="str">
        <f t="shared" si="1"/>
        <v>SER 9</v>
      </c>
      <c r="I33">
        <v>36</v>
      </c>
      <c r="J33">
        <v>36</v>
      </c>
    </row>
    <row r="34" spans="1:10" ht="15" x14ac:dyDescent="0.25">
      <c r="A34" s="2">
        <f t="shared" si="2"/>
        <v>33</v>
      </c>
      <c r="B34" s="7" t="s">
        <v>18</v>
      </c>
      <c r="C34" s="5" t="s">
        <v>115</v>
      </c>
      <c r="D34" s="5" t="str">
        <f t="shared" ref="D34:D65" si="3">C34&amp;" | "&amp;J34&amp;" -Votos"</f>
        <v>Couto Fernandes | 0 -Votos</v>
      </c>
      <c r="E34" s="7">
        <v>83</v>
      </c>
      <c r="F34" s="8">
        <v>-3.76040480634658</v>
      </c>
      <c r="G34" s="8">
        <v>-38.5606115368834</v>
      </c>
      <c r="H34" s="2" t="str">
        <f t="shared" ref="H34:H65" si="4">B34</f>
        <v>SER 11</v>
      </c>
      <c r="I34" s="8">
        <v>0</v>
      </c>
      <c r="J34" s="8">
        <v>0</v>
      </c>
    </row>
    <row r="35" spans="1:10" ht="15" x14ac:dyDescent="0.25">
      <c r="A35" s="2">
        <f t="shared" si="2"/>
        <v>34</v>
      </c>
      <c r="B35" s="7" t="s">
        <v>14</v>
      </c>
      <c r="C35" s="7" t="s">
        <v>32</v>
      </c>
      <c r="D35" s="5" t="str">
        <f t="shared" si="3"/>
        <v>Cristo Redentor | 477 -Votos</v>
      </c>
      <c r="E35" s="7">
        <v>82</v>
      </c>
      <c r="F35" s="8">
        <v>-3.7098733835424098</v>
      </c>
      <c r="G35" s="8">
        <v>-38.5701753140916</v>
      </c>
      <c r="H35" s="2" t="str">
        <f t="shared" si="4"/>
        <v>SER 1</v>
      </c>
      <c r="I35">
        <v>477</v>
      </c>
      <c r="J35">
        <v>477</v>
      </c>
    </row>
    <row r="36" spans="1:10" ht="15" x14ac:dyDescent="0.25">
      <c r="A36" s="2">
        <f t="shared" si="2"/>
        <v>35</v>
      </c>
      <c r="B36" s="7" t="s">
        <v>11</v>
      </c>
      <c r="C36" s="5" t="s">
        <v>76</v>
      </c>
      <c r="D36" s="5" t="str">
        <f t="shared" si="3"/>
        <v>Curió | 0 -Votos</v>
      </c>
      <c r="E36" s="7">
        <v>2</v>
      </c>
      <c r="F36" s="8">
        <v>-3.8218427466216398</v>
      </c>
      <c r="G36" s="8">
        <v>-38.476577253157402</v>
      </c>
      <c r="H36" s="2" t="str">
        <f t="shared" si="4"/>
        <v>SER 6</v>
      </c>
      <c r="I36" s="8">
        <v>0</v>
      </c>
      <c r="J36" s="8">
        <v>0</v>
      </c>
    </row>
    <row r="37" spans="1:10" ht="15" x14ac:dyDescent="0.25">
      <c r="A37" s="2">
        <f t="shared" si="2"/>
        <v>36</v>
      </c>
      <c r="B37" s="7" t="s">
        <v>15</v>
      </c>
      <c r="C37" s="7" t="s">
        <v>33</v>
      </c>
      <c r="D37" s="5" t="str">
        <f t="shared" si="3"/>
        <v>Damas | 3 -Votos</v>
      </c>
      <c r="E37" s="7">
        <v>83</v>
      </c>
      <c r="F37" s="8">
        <v>-3.7501930615661698</v>
      </c>
      <c r="G37" s="8">
        <v>-38.545942050787801</v>
      </c>
      <c r="H37" s="2" t="str">
        <f t="shared" si="4"/>
        <v>SER 4</v>
      </c>
      <c r="I37">
        <v>3</v>
      </c>
      <c r="J37">
        <v>3</v>
      </c>
    </row>
    <row r="38" spans="1:10" ht="15" x14ac:dyDescent="0.25">
      <c r="A38" s="2">
        <f t="shared" si="2"/>
        <v>37</v>
      </c>
      <c r="B38" s="7" t="s">
        <v>10</v>
      </c>
      <c r="C38" s="7" t="s">
        <v>133</v>
      </c>
      <c r="D38" s="5" t="str">
        <f t="shared" si="3"/>
        <v>De Lourdes | 10 -Votos</v>
      </c>
      <c r="E38" s="7">
        <v>1</v>
      </c>
      <c r="F38" s="8">
        <v>-3.7397366628463802</v>
      </c>
      <c r="G38" s="8">
        <v>-38.463829494715299</v>
      </c>
      <c r="H38" s="2" t="str">
        <f t="shared" si="4"/>
        <v>SER 2</v>
      </c>
      <c r="I38">
        <v>10</v>
      </c>
      <c r="J38">
        <v>10</v>
      </c>
    </row>
    <row r="39" spans="1:10" ht="15" x14ac:dyDescent="0.25">
      <c r="A39" s="2">
        <f t="shared" si="2"/>
        <v>38</v>
      </c>
      <c r="B39" s="7" t="s">
        <v>18</v>
      </c>
      <c r="C39" s="5" t="s">
        <v>116</v>
      </c>
      <c r="D39" s="5" t="str">
        <f t="shared" si="3"/>
        <v>Demócrito Rocha | 48 -Votos</v>
      </c>
      <c r="E39" s="7">
        <v>83</v>
      </c>
      <c r="F39" s="8">
        <v>-3.7619043448426002</v>
      </c>
      <c r="G39" s="8">
        <v>-38.564763741306301</v>
      </c>
      <c r="H39" s="2" t="str">
        <f t="shared" si="4"/>
        <v>SER 11</v>
      </c>
      <c r="I39">
        <v>48</v>
      </c>
      <c r="J39">
        <v>48</v>
      </c>
    </row>
    <row r="40" spans="1:10" ht="15" x14ac:dyDescent="0.25">
      <c r="A40" s="2">
        <f t="shared" si="2"/>
        <v>39</v>
      </c>
      <c r="B40" s="7" t="s">
        <v>20</v>
      </c>
      <c r="C40" s="5" t="s">
        <v>97</v>
      </c>
      <c r="D40" s="5" t="str">
        <f t="shared" si="3"/>
        <v>Dendê / Raquel de Queiroz | 0 -Votos</v>
      </c>
      <c r="E40" s="7">
        <v>115</v>
      </c>
      <c r="F40" s="8">
        <v>-3.7956267721391299</v>
      </c>
      <c r="G40" s="8">
        <v>-38.554871755016002</v>
      </c>
      <c r="H40" s="2" t="str">
        <f t="shared" si="4"/>
        <v>SER 8</v>
      </c>
      <c r="I40" s="2">
        <v>0</v>
      </c>
      <c r="J40" s="2">
        <v>0</v>
      </c>
    </row>
    <row r="41" spans="1:10" ht="15" x14ac:dyDescent="0.25">
      <c r="A41" s="2">
        <f t="shared" si="2"/>
        <v>40</v>
      </c>
      <c r="B41" s="7" t="s">
        <v>20</v>
      </c>
      <c r="C41" s="5" t="s">
        <v>117</v>
      </c>
      <c r="D41" s="5" t="str">
        <f t="shared" si="3"/>
        <v>Dias Macedo | 105 -Votos</v>
      </c>
      <c r="E41" s="7">
        <v>118</v>
      </c>
      <c r="F41" s="8">
        <v>-3.7876100124265899</v>
      </c>
      <c r="G41" s="8">
        <v>-38.527414085906003</v>
      </c>
      <c r="H41" s="2" t="str">
        <f t="shared" si="4"/>
        <v>SER 8</v>
      </c>
      <c r="I41">
        <v>105</v>
      </c>
      <c r="J41">
        <v>105</v>
      </c>
    </row>
    <row r="42" spans="1:10" ht="15" x14ac:dyDescent="0.25">
      <c r="A42" s="2">
        <f t="shared" si="2"/>
        <v>41</v>
      </c>
      <c r="B42" s="7" t="s">
        <v>10</v>
      </c>
      <c r="C42" s="7" t="s">
        <v>34</v>
      </c>
      <c r="D42" s="5" t="str">
        <f t="shared" si="3"/>
        <v>Dionisio Torres | 19 -Votos</v>
      </c>
      <c r="E42" s="7">
        <v>80</v>
      </c>
      <c r="F42" s="8">
        <v>-3.7466362407272902</v>
      </c>
      <c r="G42" s="8">
        <v>-38.501641285177101</v>
      </c>
      <c r="H42" s="2" t="str">
        <f t="shared" si="4"/>
        <v>SER 2</v>
      </c>
      <c r="I42">
        <v>19</v>
      </c>
      <c r="J42">
        <v>19</v>
      </c>
    </row>
    <row r="43" spans="1:10" ht="15" x14ac:dyDescent="0.25">
      <c r="A43" s="2">
        <f t="shared" si="2"/>
        <v>42</v>
      </c>
      <c r="B43" s="7" t="s">
        <v>18</v>
      </c>
      <c r="C43" s="7" t="s">
        <v>63</v>
      </c>
      <c r="D43" s="5" t="str">
        <f t="shared" si="3"/>
        <v>Dom Lustosa | 15 -Votos</v>
      </c>
      <c r="E43" s="7">
        <v>83</v>
      </c>
      <c r="F43" s="8">
        <v>-3.7554394732483001</v>
      </c>
      <c r="G43" s="8">
        <v>-38.589623726028101</v>
      </c>
      <c r="H43" s="2" t="str">
        <f t="shared" si="4"/>
        <v>SER 11</v>
      </c>
      <c r="I43">
        <v>15</v>
      </c>
      <c r="J43">
        <v>15</v>
      </c>
    </row>
    <row r="44" spans="1:10" ht="15" x14ac:dyDescent="0.25">
      <c r="A44" s="2">
        <f t="shared" si="2"/>
        <v>43</v>
      </c>
      <c r="B44" s="7" t="s">
        <v>13</v>
      </c>
      <c r="C44" s="5" t="s">
        <v>77</v>
      </c>
      <c r="D44" s="5" t="str">
        <f t="shared" si="3"/>
        <v>Edson Queiroz | 40 -Votos</v>
      </c>
      <c r="E44" s="7">
        <v>112</v>
      </c>
      <c r="F44" s="8">
        <v>-3.7734109847680899</v>
      </c>
      <c r="G44" s="8">
        <v>-38.476795027420103</v>
      </c>
      <c r="H44" s="2" t="str">
        <f t="shared" si="4"/>
        <v>SER 7</v>
      </c>
      <c r="I44">
        <v>40</v>
      </c>
      <c r="J44">
        <v>40</v>
      </c>
    </row>
    <row r="45" spans="1:10" ht="15" x14ac:dyDescent="0.25">
      <c r="A45" s="2">
        <f t="shared" si="2"/>
        <v>44</v>
      </c>
      <c r="B45" s="7" t="s">
        <v>17</v>
      </c>
      <c r="C45" s="7" t="s">
        <v>58</v>
      </c>
      <c r="D45" s="5" t="str">
        <f t="shared" si="3"/>
        <v>Ellery | 17 -Votos</v>
      </c>
      <c r="E45" s="7">
        <v>82</v>
      </c>
      <c r="F45" s="8">
        <v>-3.7232122164096402</v>
      </c>
      <c r="G45" s="8">
        <v>-38.558165735754699</v>
      </c>
      <c r="H45" s="2" t="str">
        <f t="shared" si="4"/>
        <v>SER 3</v>
      </c>
      <c r="I45">
        <v>17</v>
      </c>
      <c r="J45">
        <v>17</v>
      </c>
    </row>
    <row r="46" spans="1:10" ht="15" x14ac:dyDescent="0.25">
      <c r="A46" s="2">
        <f t="shared" si="2"/>
        <v>45</v>
      </c>
      <c r="B46" s="7" t="s">
        <v>13</v>
      </c>
      <c r="C46" s="5" t="s">
        <v>78</v>
      </c>
      <c r="D46" s="5" t="str">
        <f t="shared" si="3"/>
        <v>Eng Luciano Cavalcante | 23 -Votos</v>
      </c>
      <c r="E46" s="7">
        <v>112</v>
      </c>
      <c r="F46" s="8">
        <v>-3.7702613040788902</v>
      </c>
      <c r="G46" s="8">
        <v>-38.483598983838498</v>
      </c>
      <c r="H46" s="2" t="str">
        <f t="shared" si="4"/>
        <v>SER 7</v>
      </c>
      <c r="I46">
        <v>23</v>
      </c>
      <c r="J46">
        <v>23</v>
      </c>
    </row>
    <row r="47" spans="1:10" ht="15" x14ac:dyDescent="0.25">
      <c r="A47" s="2">
        <f t="shared" si="2"/>
        <v>46</v>
      </c>
      <c r="B47" s="7" t="s">
        <v>17</v>
      </c>
      <c r="C47" s="7" t="s">
        <v>35</v>
      </c>
      <c r="D47" s="5" t="str">
        <f t="shared" si="3"/>
        <v>Farias Brito | 62 -Votos</v>
      </c>
      <c r="E47" s="7">
        <v>113</v>
      </c>
      <c r="F47" s="8">
        <v>-3.73209256228118</v>
      </c>
      <c r="G47" s="8">
        <v>-38.541562729521601</v>
      </c>
      <c r="H47" s="2" t="str">
        <f t="shared" si="4"/>
        <v>SER 3</v>
      </c>
      <c r="I47">
        <v>62</v>
      </c>
      <c r="J47">
        <v>62</v>
      </c>
    </row>
    <row r="48" spans="1:10" ht="15" x14ac:dyDescent="0.25">
      <c r="A48" s="2">
        <f t="shared" si="2"/>
        <v>47</v>
      </c>
      <c r="B48" s="7" t="s">
        <v>15</v>
      </c>
      <c r="C48" s="7" t="s">
        <v>36</v>
      </c>
      <c r="D48" s="5" t="str">
        <f t="shared" si="3"/>
        <v>Fatima | 34 -Votos</v>
      </c>
      <c r="E48" s="7">
        <v>80</v>
      </c>
      <c r="F48" s="8">
        <v>-3.7515603030788198</v>
      </c>
      <c r="G48" s="8">
        <v>-38.526676301673398</v>
      </c>
      <c r="H48" s="2" t="str">
        <f t="shared" si="4"/>
        <v>SER 4</v>
      </c>
      <c r="I48">
        <v>34</v>
      </c>
      <c r="J48">
        <v>34</v>
      </c>
    </row>
    <row r="49" spans="1:10" ht="15" x14ac:dyDescent="0.25">
      <c r="A49" s="2">
        <f t="shared" si="2"/>
        <v>48</v>
      </c>
      <c r="B49" s="7" t="s">
        <v>14</v>
      </c>
      <c r="C49" s="7" t="s">
        <v>37</v>
      </c>
      <c r="D49" s="5" t="str">
        <f t="shared" si="3"/>
        <v>Floresta | 28 -Votos</v>
      </c>
      <c r="E49" s="7">
        <v>114</v>
      </c>
      <c r="F49" s="8">
        <v>-3.72619124055575</v>
      </c>
      <c r="G49" s="8">
        <v>-38.576785296760498</v>
      </c>
      <c r="H49" s="2" t="str">
        <f t="shared" si="4"/>
        <v>SER 1</v>
      </c>
      <c r="I49">
        <v>28</v>
      </c>
      <c r="J49">
        <v>28</v>
      </c>
    </row>
    <row r="50" spans="1:10" ht="15" x14ac:dyDescent="0.25">
      <c r="A50" s="2">
        <f t="shared" si="2"/>
        <v>49</v>
      </c>
      <c r="B50" s="7" t="s">
        <v>18</v>
      </c>
      <c r="C50" s="7" t="s">
        <v>64</v>
      </c>
      <c r="D50" s="5" t="str">
        <f t="shared" si="3"/>
        <v>Genibau | 66 -Votos</v>
      </c>
      <c r="E50" s="7">
        <v>85</v>
      </c>
      <c r="F50" s="8">
        <v>-3.7516470528074999</v>
      </c>
      <c r="G50" s="8">
        <v>-38.600969744826699</v>
      </c>
      <c r="H50" s="2" t="str">
        <f t="shared" si="4"/>
        <v>SER 11</v>
      </c>
      <c r="I50">
        <v>66</v>
      </c>
      <c r="J50">
        <v>66</v>
      </c>
    </row>
    <row r="51" spans="1:10" ht="15" x14ac:dyDescent="0.25">
      <c r="A51" s="2">
        <f t="shared" si="2"/>
        <v>50</v>
      </c>
      <c r="B51" s="7" t="s">
        <v>141</v>
      </c>
      <c r="C51" s="5" t="s">
        <v>98</v>
      </c>
      <c r="D51" s="5" t="str">
        <f t="shared" si="3"/>
        <v>Granja Lisboa | 738 -Votos</v>
      </c>
      <c r="E51" s="7">
        <v>116</v>
      </c>
      <c r="F51" s="8">
        <v>-3.7933731956045</v>
      </c>
      <c r="G51" s="8">
        <v>-38.620273767964399</v>
      </c>
      <c r="H51" s="2" t="str">
        <f t="shared" si="4"/>
        <v>SER 5</v>
      </c>
      <c r="I51">
        <v>738</v>
      </c>
      <c r="J51">
        <v>738</v>
      </c>
    </row>
    <row r="52" spans="1:10" ht="15" x14ac:dyDescent="0.25">
      <c r="A52" s="2">
        <f t="shared" si="2"/>
        <v>51</v>
      </c>
      <c r="B52" s="7" t="s">
        <v>141</v>
      </c>
      <c r="C52" s="5" t="s">
        <v>99</v>
      </c>
      <c r="D52" s="5" t="str">
        <f t="shared" si="3"/>
        <v>Granja Portugal | 513 -Votos</v>
      </c>
      <c r="E52" s="7">
        <v>116</v>
      </c>
      <c r="F52" s="8">
        <v>-3.7790253278716199</v>
      </c>
      <c r="G52" s="8">
        <v>-38.601168123088698</v>
      </c>
      <c r="H52" s="2" t="str">
        <f t="shared" si="4"/>
        <v>SER 5</v>
      </c>
      <c r="I52">
        <v>513</v>
      </c>
      <c r="J52">
        <v>513</v>
      </c>
    </row>
    <row r="53" spans="1:10" ht="15" x14ac:dyDescent="0.25">
      <c r="A53" s="2">
        <f t="shared" si="2"/>
        <v>52</v>
      </c>
      <c r="B53" s="7" t="s">
        <v>11</v>
      </c>
      <c r="C53" s="5" t="s">
        <v>79</v>
      </c>
      <c r="D53" s="5" t="str">
        <f t="shared" si="3"/>
        <v>Guajeru | 16 -Votos</v>
      </c>
      <c r="E53" s="7">
        <v>2</v>
      </c>
      <c r="F53" s="8">
        <v>-3.8312931400095298</v>
      </c>
      <c r="G53" s="8">
        <v>-38.480253466418297</v>
      </c>
      <c r="H53" s="2" t="str">
        <f t="shared" si="4"/>
        <v>SER 6</v>
      </c>
      <c r="I53">
        <v>16</v>
      </c>
      <c r="J53">
        <v>16</v>
      </c>
    </row>
    <row r="54" spans="1:10" ht="15" x14ac:dyDescent="0.25">
      <c r="A54" s="2">
        <f t="shared" si="2"/>
        <v>53</v>
      </c>
      <c r="B54" s="7" t="s">
        <v>13</v>
      </c>
      <c r="C54" s="5" t="s">
        <v>80</v>
      </c>
      <c r="D54" s="5" t="str">
        <f t="shared" si="3"/>
        <v>Guararapes | 7 -Votos</v>
      </c>
      <c r="E54" s="7">
        <v>112</v>
      </c>
      <c r="F54" s="8">
        <v>-3.7648339675464899</v>
      </c>
      <c r="G54" s="8">
        <v>-38.486628571489</v>
      </c>
      <c r="H54" s="2" t="str">
        <f t="shared" si="4"/>
        <v>SER 7</v>
      </c>
      <c r="I54">
        <v>7</v>
      </c>
      <c r="J54">
        <v>7</v>
      </c>
    </row>
    <row r="55" spans="1:10" ht="15" x14ac:dyDescent="0.25">
      <c r="A55" s="2">
        <f t="shared" si="2"/>
        <v>54</v>
      </c>
      <c r="B55" s="7" t="s">
        <v>18</v>
      </c>
      <c r="C55" s="7" t="s">
        <v>65</v>
      </c>
      <c r="D55" s="5" t="str">
        <f t="shared" si="3"/>
        <v>Henrique Jorge | 87 -Votos</v>
      </c>
      <c r="E55" s="7">
        <v>83</v>
      </c>
      <c r="F55" s="8">
        <v>-3.7650871411326698</v>
      </c>
      <c r="G55" s="8">
        <v>-38.584909699442299</v>
      </c>
      <c r="H55" s="2" t="str">
        <f t="shared" si="4"/>
        <v>SER 11</v>
      </c>
      <c r="I55">
        <v>87</v>
      </c>
      <c r="J55">
        <v>87</v>
      </c>
    </row>
    <row r="56" spans="1:10" ht="15" x14ac:dyDescent="0.25">
      <c r="A56" s="2">
        <f t="shared" si="2"/>
        <v>55</v>
      </c>
      <c r="B56" s="7" t="s">
        <v>15</v>
      </c>
      <c r="C56" s="5" t="s">
        <v>118</v>
      </c>
      <c r="D56" s="5" t="str">
        <f t="shared" si="3"/>
        <v>Itaoca | 1 -Votos</v>
      </c>
      <c r="E56" s="7">
        <v>83</v>
      </c>
      <c r="F56" s="8">
        <v>-3.7712477296372899</v>
      </c>
      <c r="G56" s="8">
        <v>-38.5562904842132</v>
      </c>
      <c r="H56" s="2" t="str">
        <f t="shared" si="4"/>
        <v>SER 4</v>
      </c>
      <c r="I56">
        <v>1</v>
      </c>
      <c r="J56">
        <v>1</v>
      </c>
    </row>
    <row r="57" spans="1:10" ht="15" x14ac:dyDescent="0.25">
      <c r="A57" s="2">
        <f t="shared" si="2"/>
        <v>56</v>
      </c>
      <c r="B57" s="7" t="s">
        <v>20</v>
      </c>
      <c r="C57" s="5" t="s">
        <v>119</v>
      </c>
      <c r="D57" s="5" t="str">
        <f t="shared" si="3"/>
        <v>Itaperi | 43 -Votos</v>
      </c>
      <c r="E57" s="7">
        <v>115</v>
      </c>
      <c r="F57" s="8">
        <v>-3.7866840241715898</v>
      </c>
      <c r="G57" s="8">
        <v>-38.553120544833398</v>
      </c>
      <c r="H57" s="2" t="str">
        <f t="shared" si="4"/>
        <v>SER 8</v>
      </c>
      <c r="I57">
        <v>43</v>
      </c>
      <c r="J57">
        <v>43</v>
      </c>
    </row>
    <row r="58" spans="1:10" ht="15" x14ac:dyDescent="0.25">
      <c r="A58" s="2">
        <f t="shared" si="2"/>
        <v>57</v>
      </c>
      <c r="B58" s="7" t="s">
        <v>14</v>
      </c>
      <c r="C58" s="7" t="s">
        <v>38</v>
      </c>
      <c r="D58" s="5" t="str">
        <f t="shared" si="3"/>
        <v>Jacarecanga | 40 -Votos</v>
      </c>
      <c r="E58" s="7">
        <v>3</v>
      </c>
      <c r="F58" s="8">
        <v>-3.7233636491008499</v>
      </c>
      <c r="G58" s="8">
        <v>-38.543071831764003</v>
      </c>
      <c r="H58" s="2" t="str">
        <f t="shared" si="4"/>
        <v>SER 1</v>
      </c>
      <c r="I58">
        <v>40</v>
      </c>
      <c r="J58">
        <v>40</v>
      </c>
    </row>
    <row r="59" spans="1:10" ht="15" x14ac:dyDescent="0.25">
      <c r="A59" s="2">
        <f t="shared" si="2"/>
        <v>58</v>
      </c>
      <c r="B59" s="7" t="s">
        <v>16</v>
      </c>
      <c r="C59" s="5" t="s">
        <v>81</v>
      </c>
      <c r="D59" s="5" t="str">
        <f t="shared" si="3"/>
        <v>Jangurussu | 51 -Votos</v>
      </c>
      <c r="E59" s="7">
        <v>95</v>
      </c>
      <c r="F59" s="8">
        <v>-3.8293916315480598</v>
      </c>
      <c r="G59" s="8">
        <v>-38.521109009752102</v>
      </c>
      <c r="H59" s="2" t="str">
        <f t="shared" si="4"/>
        <v>SER 9</v>
      </c>
      <c r="I59">
        <v>51</v>
      </c>
      <c r="J59">
        <v>51</v>
      </c>
    </row>
    <row r="60" spans="1:10" ht="15" x14ac:dyDescent="0.25">
      <c r="A60" s="2">
        <f t="shared" si="2"/>
        <v>59</v>
      </c>
      <c r="B60" s="7" t="s">
        <v>15</v>
      </c>
      <c r="C60" s="7" t="s">
        <v>39</v>
      </c>
      <c r="D60" s="5" t="str">
        <f t="shared" si="3"/>
        <v>Jardim America | 60 -Votos</v>
      </c>
      <c r="E60" s="7">
        <v>113</v>
      </c>
      <c r="F60" s="8">
        <v>-3.7518452293694602</v>
      </c>
      <c r="G60" s="8">
        <v>-38.539152524464903</v>
      </c>
      <c r="H60" s="2" t="str">
        <f t="shared" si="4"/>
        <v>SER 4</v>
      </c>
      <c r="I60">
        <v>60</v>
      </c>
      <c r="J60">
        <v>60</v>
      </c>
    </row>
    <row r="61" spans="1:10" ht="15" x14ac:dyDescent="0.25">
      <c r="A61" s="2">
        <f t="shared" si="2"/>
        <v>60</v>
      </c>
      <c r="B61" s="7" t="s">
        <v>19</v>
      </c>
      <c r="C61" s="5" t="s">
        <v>100</v>
      </c>
      <c r="D61" s="5" t="str">
        <f t="shared" si="3"/>
        <v>Jardim Cearense | 28 -Votos</v>
      </c>
      <c r="E61" s="7">
        <v>115</v>
      </c>
      <c r="F61" s="8">
        <v>-3.80031139104018</v>
      </c>
      <c r="G61" s="8">
        <v>-38.566177251244802</v>
      </c>
      <c r="H61" s="2" t="str">
        <f t="shared" si="4"/>
        <v>SER 10</v>
      </c>
      <c r="I61">
        <v>28</v>
      </c>
      <c r="J61">
        <v>28</v>
      </c>
    </row>
    <row r="62" spans="1:10" ht="15" x14ac:dyDescent="0.25">
      <c r="A62" s="2">
        <f t="shared" si="2"/>
        <v>61</v>
      </c>
      <c r="B62" s="7" t="s">
        <v>11</v>
      </c>
      <c r="C62" s="5" t="s">
        <v>82</v>
      </c>
      <c r="D62" s="5" t="str">
        <f t="shared" si="3"/>
        <v>Jardim das Oliveiras | 25 -Votos</v>
      </c>
      <c r="E62" s="7">
        <v>112</v>
      </c>
      <c r="F62" s="8">
        <v>-3.7767846486459402</v>
      </c>
      <c r="G62" s="8">
        <v>-38.5007040130306</v>
      </c>
      <c r="H62" s="2" t="str">
        <f t="shared" si="4"/>
        <v>SER 6</v>
      </c>
      <c r="I62">
        <v>25</v>
      </c>
      <c r="J62">
        <v>25</v>
      </c>
    </row>
    <row r="63" spans="1:10" ht="15" x14ac:dyDescent="0.25">
      <c r="A63" s="2">
        <f t="shared" si="2"/>
        <v>62</v>
      </c>
      <c r="B63" s="7" t="s">
        <v>14</v>
      </c>
      <c r="C63" s="7" t="s">
        <v>40</v>
      </c>
      <c r="D63" s="5" t="str">
        <f t="shared" si="3"/>
        <v>Jardim Guanabara | 20 -Votos</v>
      </c>
      <c r="E63" s="7">
        <v>94</v>
      </c>
      <c r="F63" s="8">
        <v>-3.7239391281284799</v>
      </c>
      <c r="G63" s="8">
        <v>-38.589812341226803</v>
      </c>
      <c r="H63" s="2" t="str">
        <f t="shared" si="4"/>
        <v>SER 1</v>
      </c>
      <c r="I63">
        <v>20</v>
      </c>
      <c r="J63">
        <v>20</v>
      </c>
    </row>
    <row r="64" spans="1:10" ht="15" x14ac:dyDescent="0.25">
      <c r="A64" s="2">
        <f t="shared" si="2"/>
        <v>63</v>
      </c>
      <c r="B64" s="7" t="s">
        <v>14</v>
      </c>
      <c r="C64" s="7" t="s">
        <v>41</v>
      </c>
      <c r="D64" s="5" t="str">
        <f t="shared" si="3"/>
        <v>Jardim Iracema | 64 -Votos</v>
      </c>
      <c r="E64" s="7">
        <v>94</v>
      </c>
      <c r="F64" s="8">
        <v>-3.7222030360943399</v>
      </c>
      <c r="G64" s="8">
        <v>-38.5836486181475</v>
      </c>
      <c r="H64" s="2" t="str">
        <f t="shared" si="4"/>
        <v>SER 1</v>
      </c>
      <c r="I64">
        <v>64</v>
      </c>
      <c r="J64">
        <v>64</v>
      </c>
    </row>
    <row r="65" spans="1:10" ht="15" x14ac:dyDescent="0.25">
      <c r="A65" s="2">
        <f t="shared" si="2"/>
        <v>64</v>
      </c>
      <c r="B65" s="7" t="s">
        <v>18</v>
      </c>
      <c r="C65" s="7" t="s">
        <v>66</v>
      </c>
      <c r="D65" s="5" t="str">
        <f t="shared" si="3"/>
        <v>João XXIII | 82 -Votos</v>
      </c>
      <c r="E65" s="7">
        <v>83</v>
      </c>
      <c r="F65" s="8">
        <v>-3.7680084807697298</v>
      </c>
      <c r="G65" s="8">
        <v>-38.5904359970529</v>
      </c>
      <c r="H65" s="2" t="str">
        <f t="shared" si="4"/>
        <v>SER 11</v>
      </c>
      <c r="I65">
        <v>82</v>
      </c>
      <c r="J65">
        <v>82</v>
      </c>
    </row>
    <row r="66" spans="1:10" ht="15" x14ac:dyDescent="0.25">
      <c r="A66" s="2">
        <f t="shared" si="2"/>
        <v>65</v>
      </c>
      <c r="B66" s="7" t="s">
        <v>10</v>
      </c>
      <c r="C66" s="7" t="s">
        <v>42</v>
      </c>
      <c r="D66" s="5" t="str">
        <f t="shared" ref="D66:D97" si="5">C66&amp;" | "&amp;J66&amp;" -Votos"</f>
        <v>Joaquim Távora | 41 -Votos</v>
      </c>
      <c r="E66" s="7">
        <v>80</v>
      </c>
      <c r="F66" s="8">
        <v>-3.74778232790861</v>
      </c>
      <c r="G66" s="8">
        <v>-38.518867248309697</v>
      </c>
      <c r="H66" s="2" t="str">
        <f t="shared" ref="H66:H97" si="6">B66</f>
        <v>SER 2</v>
      </c>
      <c r="I66">
        <v>41</v>
      </c>
      <c r="J66">
        <v>41</v>
      </c>
    </row>
    <row r="67" spans="1:10" ht="15" x14ac:dyDescent="0.25">
      <c r="A67" s="2">
        <f t="shared" ref="A67:A122" si="7">A66+1</f>
        <v>66</v>
      </c>
      <c r="B67" s="7" t="s">
        <v>18</v>
      </c>
      <c r="C67" s="5" t="s">
        <v>120</v>
      </c>
      <c r="D67" s="5" t="str">
        <f t="shared" si="5"/>
        <v>Jóquei Clube | 42 -Votos</v>
      </c>
      <c r="E67" s="7">
        <v>83</v>
      </c>
      <c r="F67" s="8">
        <v>-3.7625262833534698</v>
      </c>
      <c r="G67" s="8">
        <v>-38.574086651965402</v>
      </c>
      <c r="H67" s="2" t="str">
        <f t="shared" si="6"/>
        <v>SER 11</v>
      </c>
      <c r="I67">
        <v>42</v>
      </c>
      <c r="J67">
        <v>42</v>
      </c>
    </row>
    <row r="68" spans="1:10" ht="15" x14ac:dyDescent="0.25">
      <c r="A68" s="2">
        <f t="shared" si="7"/>
        <v>67</v>
      </c>
      <c r="B68" s="7" t="s">
        <v>15</v>
      </c>
      <c r="C68" s="7" t="s">
        <v>43</v>
      </c>
      <c r="D68" s="5" t="str">
        <f t="shared" si="5"/>
        <v>José Bonifácio | 24 -Votos</v>
      </c>
      <c r="E68" s="7">
        <v>80</v>
      </c>
      <c r="F68" s="8">
        <v>-3.7389948930849402</v>
      </c>
      <c r="G68" s="8">
        <v>-38.523995594970302</v>
      </c>
      <c r="H68" s="2" t="str">
        <f t="shared" si="6"/>
        <v>SER 4</v>
      </c>
      <c r="I68">
        <v>24</v>
      </c>
      <c r="J68">
        <v>24</v>
      </c>
    </row>
    <row r="69" spans="1:10" ht="15" x14ac:dyDescent="0.25">
      <c r="A69" s="2">
        <f t="shared" si="7"/>
        <v>68</v>
      </c>
      <c r="B69" s="7" t="s">
        <v>11</v>
      </c>
      <c r="C69" s="7" t="s">
        <v>69</v>
      </c>
      <c r="D69" s="5" t="str">
        <f t="shared" si="5"/>
        <v>José de Alencar | 8 -Votos</v>
      </c>
      <c r="E69" s="7">
        <v>2</v>
      </c>
      <c r="F69" s="8">
        <v>-3.8057596847658401</v>
      </c>
      <c r="G69" s="8">
        <v>-38.471245681105501</v>
      </c>
      <c r="H69" s="2" t="str">
        <f t="shared" si="6"/>
        <v>SER 6</v>
      </c>
      <c r="I69">
        <v>8</v>
      </c>
      <c r="J69">
        <v>8</v>
      </c>
    </row>
    <row r="70" spans="1:10" ht="15" x14ac:dyDescent="0.25">
      <c r="A70" s="2">
        <f t="shared" si="7"/>
        <v>69</v>
      </c>
      <c r="B70" s="7" t="s">
        <v>20</v>
      </c>
      <c r="C70" s="5" t="s">
        <v>109</v>
      </c>
      <c r="D70" s="5" t="str">
        <f t="shared" si="5"/>
        <v>José Walter | 262 -Votos</v>
      </c>
      <c r="E70" s="7">
        <v>93</v>
      </c>
      <c r="F70" s="8">
        <v>-3.8328047835560102</v>
      </c>
      <c r="G70" s="8">
        <v>-38.558117479880401</v>
      </c>
      <c r="H70" s="2" t="str">
        <f t="shared" si="6"/>
        <v>SER 8</v>
      </c>
      <c r="I70">
        <v>262</v>
      </c>
      <c r="J70">
        <v>262</v>
      </c>
    </row>
    <row r="71" spans="1:10" ht="15" x14ac:dyDescent="0.25">
      <c r="A71" s="2">
        <f t="shared" si="7"/>
        <v>70</v>
      </c>
      <c r="B71" s="7" t="s">
        <v>11</v>
      </c>
      <c r="C71" s="5" t="s">
        <v>83</v>
      </c>
      <c r="D71" s="5" t="str">
        <f t="shared" si="5"/>
        <v>Lagoa Redonda | 32 -Votos</v>
      </c>
      <c r="E71" s="7">
        <v>2</v>
      </c>
      <c r="F71" s="8">
        <v>-3.8138564978180498</v>
      </c>
      <c r="G71" s="8">
        <v>-38.466000188963399</v>
      </c>
      <c r="H71" s="2" t="str">
        <f t="shared" si="6"/>
        <v>SER 6</v>
      </c>
      <c r="I71">
        <v>32</v>
      </c>
      <c r="J71">
        <v>32</v>
      </c>
    </row>
    <row r="72" spans="1:10" ht="15" x14ac:dyDescent="0.25">
      <c r="A72" s="2">
        <f t="shared" si="7"/>
        <v>71</v>
      </c>
      <c r="B72" s="7" t="s">
        <v>19</v>
      </c>
      <c r="C72" s="5" t="s">
        <v>101</v>
      </c>
      <c r="D72" s="5" t="str">
        <f t="shared" si="5"/>
        <v>Manoel Sátiro | 201 -Votos</v>
      </c>
      <c r="E72" s="7">
        <v>117</v>
      </c>
      <c r="F72" s="8">
        <v>-3.7975320259768401</v>
      </c>
      <c r="G72" s="8">
        <v>-38.580770879845801</v>
      </c>
      <c r="H72" s="2" t="str">
        <f t="shared" si="6"/>
        <v>SER 10</v>
      </c>
      <c r="I72">
        <v>201</v>
      </c>
      <c r="J72">
        <v>201</v>
      </c>
    </row>
    <row r="73" spans="1:10" ht="15" x14ac:dyDescent="0.25">
      <c r="A73" s="2">
        <f t="shared" si="7"/>
        <v>72</v>
      </c>
      <c r="B73" s="7" t="s">
        <v>13</v>
      </c>
      <c r="C73" s="7" t="s">
        <v>130</v>
      </c>
      <c r="D73" s="5" t="str">
        <f t="shared" si="5"/>
        <v>Manuel Dias Branco | 0 -Votos</v>
      </c>
      <c r="E73" s="7">
        <v>115</v>
      </c>
      <c r="F73" s="8">
        <v>-3.75642777859143</v>
      </c>
      <c r="G73" s="8">
        <v>-38.456780907749</v>
      </c>
      <c r="H73" s="2" t="str">
        <f t="shared" si="6"/>
        <v>SER 7</v>
      </c>
      <c r="I73" s="8">
        <v>0</v>
      </c>
      <c r="J73" s="8">
        <v>0</v>
      </c>
    </row>
    <row r="74" spans="1:10" ht="15" x14ac:dyDescent="0.25">
      <c r="A74" s="2">
        <f t="shared" si="7"/>
        <v>73</v>
      </c>
      <c r="B74" s="7" t="s">
        <v>19</v>
      </c>
      <c r="C74" s="5" t="s">
        <v>102</v>
      </c>
      <c r="D74" s="5" t="str">
        <f t="shared" si="5"/>
        <v>Maraponga | 54 -Votos</v>
      </c>
      <c r="E74" s="7">
        <v>115</v>
      </c>
      <c r="F74" s="8">
        <v>-3.8001163536715401</v>
      </c>
      <c r="G74" s="8">
        <v>-38.572654338560803</v>
      </c>
      <c r="H74" s="2" t="str">
        <f t="shared" si="6"/>
        <v>SER 10</v>
      </c>
      <c r="I74">
        <v>54</v>
      </c>
      <c r="J74">
        <v>54</v>
      </c>
    </row>
    <row r="75" spans="1:10" ht="15" x14ac:dyDescent="0.25">
      <c r="A75" s="2">
        <f t="shared" si="7"/>
        <v>74</v>
      </c>
      <c r="B75" s="7" t="s">
        <v>10</v>
      </c>
      <c r="C75" s="7" t="s">
        <v>44</v>
      </c>
      <c r="D75" s="5" t="str">
        <f t="shared" si="5"/>
        <v>Meireles | 30 -Votos</v>
      </c>
      <c r="E75" s="7">
        <v>1</v>
      </c>
      <c r="F75" s="8">
        <v>-3.7269179692477898</v>
      </c>
      <c r="G75" s="8">
        <v>-38.5046842194972</v>
      </c>
      <c r="H75" s="2" t="str">
        <f t="shared" si="6"/>
        <v>SER 2</v>
      </c>
      <c r="I75">
        <v>30</v>
      </c>
      <c r="J75">
        <v>30</v>
      </c>
    </row>
    <row r="76" spans="1:10" ht="15" x14ac:dyDescent="0.25">
      <c r="A76" s="2">
        <f t="shared" si="7"/>
        <v>75</v>
      </c>
      <c r="B76" s="7" t="s">
        <v>11</v>
      </c>
      <c r="C76" s="5" t="s">
        <v>85</v>
      </c>
      <c r="D76" s="5" t="str">
        <f t="shared" si="5"/>
        <v>Messejana | 149 -Votos</v>
      </c>
      <c r="E76" s="7">
        <v>2</v>
      </c>
      <c r="F76" s="8">
        <v>-3.8215893626984299</v>
      </c>
      <c r="G76" s="8">
        <v>-38.481614036021597</v>
      </c>
      <c r="H76" s="2" t="str">
        <f t="shared" si="6"/>
        <v>SER 6</v>
      </c>
      <c r="I76">
        <v>149</v>
      </c>
      <c r="J76">
        <v>149</v>
      </c>
    </row>
    <row r="77" spans="1:10" ht="15" x14ac:dyDescent="0.25">
      <c r="A77" s="2">
        <f t="shared" si="7"/>
        <v>76</v>
      </c>
      <c r="B77" s="7" t="s">
        <v>19</v>
      </c>
      <c r="C77" s="5" t="s">
        <v>103</v>
      </c>
      <c r="D77" s="5" t="str">
        <f t="shared" si="5"/>
        <v>Mondubim | 165 -Votos</v>
      </c>
      <c r="E77" s="7">
        <v>93</v>
      </c>
      <c r="F77" s="8">
        <v>-3.8125792178685902</v>
      </c>
      <c r="G77" s="8">
        <v>-38.569573265927303</v>
      </c>
      <c r="H77" s="2" t="str">
        <f t="shared" si="6"/>
        <v>SER 10</v>
      </c>
      <c r="I77">
        <v>165</v>
      </c>
      <c r="J77">
        <v>165</v>
      </c>
    </row>
    <row r="78" spans="1:10" ht="15" x14ac:dyDescent="0.25">
      <c r="A78" s="2">
        <f t="shared" si="7"/>
        <v>77</v>
      </c>
      <c r="B78" s="7" t="s">
        <v>17</v>
      </c>
      <c r="C78" s="7" t="s">
        <v>45</v>
      </c>
      <c r="D78" s="5" t="str">
        <f t="shared" si="5"/>
        <v>Monte Castelo | 139 -Votos</v>
      </c>
      <c r="E78" s="7">
        <v>82</v>
      </c>
      <c r="F78" s="8">
        <v>-3.7271800547323499</v>
      </c>
      <c r="G78" s="8">
        <v>-38.547194970918603</v>
      </c>
      <c r="H78" s="2" t="str">
        <f t="shared" si="6"/>
        <v>SER 3</v>
      </c>
      <c r="I78">
        <v>139</v>
      </c>
      <c r="J78">
        <v>139</v>
      </c>
    </row>
    <row r="79" spans="1:10" ht="15" x14ac:dyDescent="0.25">
      <c r="A79" s="2">
        <f t="shared" si="7"/>
        <v>78</v>
      </c>
      <c r="B79" s="7" t="s">
        <v>15</v>
      </c>
      <c r="C79" s="5" t="s">
        <v>121</v>
      </c>
      <c r="D79" s="5" t="str">
        <f t="shared" si="5"/>
        <v>Montese | 80 -Votos</v>
      </c>
      <c r="E79" s="7">
        <v>83</v>
      </c>
      <c r="F79" s="8">
        <v>-3.75917775823928</v>
      </c>
      <c r="G79" s="8">
        <v>-38.556057834356501</v>
      </c>
      <c r="H79" s="2" t="str">
        <f t="shared" si="6"/>
        <v>SER 4</v>
      </c>
      <c r="I79">
        <v>80</v>
      </c>
      <c r="J79">
        <v>80</v>
      </c>
    </row>
    <row r="80" spans="1:10" ht="15" x14ac:dyDescent="0.25">
      <c r="A80" s="2">
        <f t="shared" si="7"/>
        <v>79</v>
      </c>
      <c r="B80" s="7" t="s">
        <v>12</v>
      </c>
      <c r="C80" s="7" t="s">
        <v>25</v>
      </c>
      <c r="D80" s="5" t="str">
        <f t="shared" si="5"/>
        <v>Moura Brasil | 5 -Votos</v>
      </c>
      <c r="E80" s="7">
        <v>3</v>
      </c>
      <c r="F80" s="8">
        <v>-3.7184777140240799</v>
      </c>
      <c r="G80" s="8">
        <v>-38.532559596432002</v>
      </c>
      <c r="H80" s="2" t="str">
        <f t="shared" si="6"/>
        <v>SER 12</v>
      </c>
      <c r="I80">
        <v>5</v>
      </c>
      <c r="J80">
        <v>5</v>
      </c>
    </row>
    <row r="81" spans="1:10" ht="15" x14ac:dyDescent="0.25">
      <c r="A81" s="2">
        <f t="shared" si="7"/>
        <v>80</v>
      </c>
      <c r="B81" s="7" t="s">
        <v>10</v>
      </c>
      <c r="C81" s="7" t="s">
        <v>46</v>
      </c>
      <c r="D81" s="5" t="str">
        <f t="shared" si="5"/>
        <v>Mucuripe | 6 -Votos</v>
      </c>
      <c r="E81" s="7">
        <v>1</v>
      </c>
      <c r="F81" s="8">
        <v>-3.7254466302023399</v>
      </c>
      <c r="G81" s="8">
        <v>-38.4838066068139</v>
      </c>
      <c r="H81" s="2" t="str">
        <f t="shared" si="6"/>
        <v>SER 2</v>
      </c>
      <c r="I81">
        <v>6</v>
      </c>
      <c r="J81">
        <v>6</v>
      </c>
    </row>
    <row r="82" spans="1:10" ht="15" x14ac:dyDescent="0.25">
      <c r="A82" s="2">
        <f t="shared" si="7"/>
        <v>81</v>
      </c>
      <c r="B82" s="7" t="s">
        <v>19</v>
      </c>
      <c r="C82" s="7" t="s">
        <v>137</v>
      </c>
      <c r="D82" s="5" t="str">
        <f t="shared" si="5"/>
        <v>Novo Mondubim | 18 -Votos</v>
      </c>
      <c r="E82" s="7">
        <v>93</v>
      </c>
      <c r="F82" s="8">
        <v>-3.8131898120131198</v>
      </c>
      <c r="G82" s="8">
        <v>-38.586563691754797</v>
      </c>
      <c r="H82" s="2" t="str">
        <f t="shared" si="6"/>
        <v>SER 10</v>
      </c>
      <c r="I82">
        <v>18</v>
      </c>
      <c r="J82">
        <v>18</v>
      </c>
    </row>
    <row r="83" spans="1:10" ht="15" x14ac:dyDescent="0.25">
      <c r="A83" s="2">
        <f t="shared" si="7"/>
        <v>82</v>
      </c>
      <c r="B83" s="7" t="s">
        <v>17</v>
      </c>
      <c r="C83" s="7" t="s">
        <v>138</v>
      </c>
      <c r="D83" s="5" t="str">
        <f t="shared" si="5"/>
        <v>Olavo Oliveira | 0 -Votos</v>
      </c>
      <c r="E83" s="7">
        <v>94</v>
      </c>
      <c r="F83" s="8">
        <v>-3.7291007990209999</v>
      </c>
      <c r="G83" s="8">
        <v>-38.589731419797097</v>
      </c>
      <c r="H83" s="2" t="str">
        <f t="shared" si="6"/>
        <v>SER 3</v>
      </c>
      <c r="I83" s="8">
        <v>0</v>
      </c>
      <c r="J83" s="8">
        <v>0</v>
      </c>
    </row>
    <row r="84" spans="1:10" ht="15" x14ac:dyDescent="0.25">
      <c r="A84" s="2">
        <f t="shared" si="7"/>
        <v>83</v>
      </c>
      <c r="B84" s="7" t="s">
        <v>17</v>
      </c>
      <c r="C84" s="7" t="s">
        <v>67</v>
      </c>
      <c r="D84" s="5" t="str">
        <f t="shared" si="5"/>
        <v>Padre Andrade | 14 -Votos</v>
      </c>
      <c r="E84" s="7">
        <v>94</v>
      </c>
      <c r="F84" s="8">
        <v>-3.7315025216373301</v>
      </c>
      <c r="G84" s="8">
        <v>-38.580920308954497</v>
      </c>
      <c r="H84" s="2" t="str">
        <f t="shared" si="6"/>
        <v>SER 3</v>
      </c>
      <c r="I84">
        <v>14</v>
      </c>
      <c r="J84">
        <v>14</v>
      </c>
    </row>
    <row r="85" spans="1:10" ht="15" x14ac:dyDescent="0.25">
      <c r="A85" s="2">
        <f t="shared" si="7"/>
        <v>84</v>
      </c>
      <c r="B85" s="7" t="s">
        <v>18</v>
      </c>
      <c r="C85" s="5" t="s">
        <v>122</v>
      </c>
      <c r="D85" s="5" t="str">
        <f t="shared" si="5"/>
        <v>Panamericano | 17 -Votos</v>
      </c>
      <c r="E85" s="7">
        <v>83</v>
      </c>
      <c r="F85" s="8">
        <v>-3.7573760474097702</v>
      </c>
      <c r="G85" s="8">
        <v>-38.565319377017701</v>
      </c>
      <c r="H85" s="2" t="str">
        <f t="shared" si="6"/>
        <v>SER 11</v>
      </c>
      <c r="I85">
        <v>17</v>
      </c>
      <c r="J85">
        <v>17</v>
      </c>
    </row>
    <row r="86" spans="1:10" ht="15" x14ac:dyDescent="0.25">
      <c r="A86" s="2">
        <f t="shared" si="7"/>
        <v>85</v>
      </c>
      <c r="B86" s="7" t="s">
        <v>10</v>
      </c>
      <c r="C86" s="7" t="s">
        <v>47</v>
      </c>
      <c r="D86" s="5" t="str">
        <f t="shared" si="5"/>
        <v>Papicu | 13 -Votos</v>
      </c>
      <c r="E86" s="7">
        <v>1</v>
      </c>
      <c r="F86" s="8">
        <v>-3.7427354585609498</v>
      </c>
      <c r="G86" s="8">
        <v>-38.468499998558499</v>
      </c>
      <c r="H86" s="2" t="str">
        <f t="shared" si="6"/>
        <v>SER 2</v>
      </c>
      <c r="I86">
        <v>13</v>
      </c>
      <c r="J86">
        <v>13</v>
      </c>
    </row>
    <row r="87" spans="1:10" ht="15" x14ac:dyDescent="0.25">
      <c r="A87" s="2">
        <f t="shared" si="7"/>
        <v>86</v>
      </c>
      <c r="B87" s="7" t="s">
        <v>15</v>
      </c>
      <c r="C87" s="7" t="s">
        <v>123</v>
      </c>
      <c r="D87" s="5" t="str">
        <f t="shared" si="5"/>
        <v>Parangaba | 115 -Votos</v>
      </c>
      <c r="E87" s="7">
        <v>115</v>
      </c>
      <c r="F87" s="8">
        <v>-3.76812127559056</v>
      </c>
      <c r="G87" s="8">
        <v>-38.560748431647703</v>
      </c>
      <c r="H87" s="2" t="str">
        <f t="shared" si="6"/>
        <v>SER 4</v>
      </c>
      <c r="I87">
        <v>115</v>
      </c>
      <c r="J87">
        <v>115</v>
      </c>
    </row>
    <row r="88" spans="1:10" ht="15" x14ac:dyDescent="0.25">
      <c r="A88" s="2">
        <f t="shared" si="7"/>
        <v>87</v>
      </c>
      <c r="B88" s="7" t="s">
        <v>17</v>
      </c>
      <c r="C88" s="7" t="s">
        <v>48</v>
      </c>
      <c r="D88" s="5" t="str">
        <f t="shared" si="5"/>
        <v>Parque Araxá | 1 -Votos</v>
      </c>
      <c r="E88" s="7">
        <v>113</v>
      </c>
      <c r="F88" s="8">
        <v>-3.7318430325170402</v>
      </c>
      <c r="G88" s="8">
        <v>-38.545285153576103</v>
      </c>
      <c r="H88" s="2" t="str">
        <f t="shared" si="6"/>
        <v>SER 3</v>
      </c>
      <c r="I88">
        <v>1</v>
      </c>
      <c r="J88">
        <v>1</v>
      </c>
    </row>
    <row r="89" spans="1:10" ht="15" x14ac:dyDescent="0.25">
      <c r="A89" s="2">
        <f t="shared" si="7"/>
        <v>88</v>
      </c>
      <c r="B89" s="7" t="s">
        <v>20</v>
      </c>
      <c r="C89" s="5" t="s">
        <v>104</v>
      </c>
      <c r="D89" s="5" t="str">
        <f t="shared" si="5"/>
        <v>Parque Dois Irmãos | 66 -Votos</v>
      </c>
      <c r="E89" s="7">
        <v>118</v>
      </c>
      <c r="F89" s="8">
        <v>-3.80317693812944</v>
      </c>
      <c r="G89" s="8">
        <v>-38.551264647704897</v>
      </c>
      <c r="H89" s="2" t="str">
        <f t="shared" si="6"/>
        <v>SER 8</v>
      </c>
      <c r="I89">
        <v>66</v>
      </c>
      <c r="J89">
        <v>66</v>
      </c>
    </row>
    <row r="90" spans="1:10" ht="15" x14ac:dyDescent="0.25">
      <c r="A90" s="2">
        <f t="shared" si="7"/>
        <v>89</v>
      </c>
      <c r="B90" s="7" t="s">
        <v>11</v>
      </c>
      <c r="C90" s="5" t="s">
        <v>86</v>
      </c>
      <c r="D90" s="5" t="str">
        <f t="shared" si="5"/>
        <v>Parque Iracema | 0 -Votos</v>
      </c>
      <c r="E90" s="7">
        <v>112</v>
      </c>
      <c r="F90" s="8">
        <v>-3.8004820224838798</v>
      </c>
      <c r="G90" s="8">
        <v>-38.497777334654103</v>
      </c>
      <c r="H90" s="2" t="str">
        <f t="shared" si="6"/>
        <v>SER 6</v>
      </c>
      <c r="I90" s="8">
        <v>0</v>
      </c>
      <c r="J90" s="8">
        <v>0</v>
      </c>
    </row>
    <row r="91" spans="1:10" ht="15" x14ac:dyDescent="0.25">
      <c r="A91" s="2">
        <f t="shared" si="7"/>
        <v>90</v>
      </c>
      <c r="B91" s="7" t="s">
        <v>11</v>
      </c>
      <c r="C91" s="5" t="s">
        <v>87</v>
      </c>
      <c r="D91" s="5" t="str">
        <f t="shared" si="5"/>
        <v>Parque Manibura | 8 -Votos</v>
      </c>
      <c r="E91" s="7">
        <v>112</v>
      </c>
      <c r="F91" s="8">
        <v>-3.7881357501423598</v>
      </c>
      <c r="G91" s="8">
        <v>-38.4797857719646</v>
      </c>
      <c r="H91" s="2" t="str">
        <f t="shared" si="6"/>
        <v>SER 6</v>
      </c>
      <c r="I91">
        <v>8</v>
      </c>
      <c r="J91">
        <v>8</v>
      </c>
    </row>
    <row r="92" spans="1:10" ht="15" x14ac:dyDescent="0.25">
      <c r="A92" s="2">
        <f t="shared" si="7"/>
        <v>91</v>
      </c>
      <c r="B92" s="7" t="s">
        <v>16</v>
      </c>
      <c r="C92" s="5" t="s">
        <v>142</v>
      </c>
      <c r="D92" s="5" t="str">
        <f t="shared" si="5"/>
        <v>Santa Maria | 11 -Votos</v>
      </c>
      <c r="E92" s="7">
        <v>95</v>
      </c>
      <c r="F92" s="8">
        <v>-3.8515016361285799</v>
      </c>
      <c r="G92" s="8">
        <v>-38.501747907480699</v>
      </c>
      <c r="H92" s="2" t="str">
        <f t="shared" si="6"/>
        <v>SER 9</v>
      </c>
      <c r="I92">
        <v>11</v>
      </c>
      <c r="J92">
        <v>11</v>
      </c>
    </row>
    <row r="93" spans="1:10" ht="15" x14ac:dyDescent="0.25">
      <c r="A93" s="10">
        <f t="shared" si="7"/>
        <v>92</v>
      </c>
      <c r="B93" s="6" t="s">
        <v>19</v>
      </c>
      <c r="C93" s="11" t="s">
        <v>107</v>
      </c>
      <c r="D93" s="5" t="str">
        <f t="shared" si="5"/>
        <v>Parque Santa Rosa | 39 -Votos</v>
      </c>
      <c r="E93" s="6">
        <v>117</v>
      </c>
      <c r="F93" s="12">
        <v>-3.8223671671801198</v>
      </c>
      <c r="G93" s="12">
        <v>-38.594584402390701</v>
      </c>
      <c r="H93" s="2" t="str">
        <f t="shared" si="6"/>
        <v>SER 10</v>
      </c>
      <c r="I93">
        <v>39</v>
      </c>
      <c r="J93">
        <v>39</v>
      </c>
    </row>
    <row r="94" spans="1:10" ht="15" x14ac:dyDescent="0.25">
      <c r="A94" s="2">
        <f t="shared" si="7"/>
        <v>93</v>
      </c>
      <c r="B94" s="7" t="s">
        <v>19</v>
      </c>
      <c r="C94" s="5" t="s">
        <v>106</v>
      </c>
      <c r="D94" s="5" t="str">
        <f t="shared" si="5"/>
        <v>Parque São José | 33 -Votos</v>
      </c>
      <c r="E94" s="7">
        <v>117</v>
      </c>
      <c r="F94" s="8">
        <v>-3.79783072329964</v>
      </c>
      <c r="G94" s="8">
        <v>-38.590598041131202</v>
      </c>
      <c r="H94" s="2" t="str">
        <f t="shared" si="6"/>
        <v>SER 10</v>
      </c>
      <c r="I94">
        <v>33</v>
      </c>
      <c r="J94">
        <v>33</v>
      </c>
    </row>
    <row r="95" spans="1:10" ht="15" x14ac:dyDescent="0.25">
      <c r="A95" s="2">
        <f t="shared" si="7"/>
        <v>94</v>
      </c>
      <c r="B95" s="7" t="s">
        <v>17</v>
      </c>
      <c r="C95" s="7" t="s">
        <v>49</v>
      </c>
      <c r="D95" s="5" t="str">
        <f t="shared" si="5"/>
        <v>Parquelândia | 256 -Votos</v>
      </c>
      <c r="E95" s="7">
        <v>113</v>
      </c>
      <c r="F95" s="8">
        <v>-3.7347275762507501</v>
      </c>
      <c r="G95" s="8">
        <v>-38.555990528856903</v>
      </c>
      <c r="H95" s="2" t="str">
        <f t="shared" si="6"/>
        <v>SER 3</v>
      </c>
      <c r="I95">
        <v>256</v>
      </c>
      <c r="J95">
        <v>256</v>
      </c>
    </row>
    <row r="96" spans="1:10" ht="15" x14ac:dyDescent="0.25">
      <c r="A96" s="2">
        <f t="shared" si="7"/>
        <v>95</v>
      </c>
      <c r="B96" s="7" t="s">
        <v>15</v>
      </c>
      <c r="C96" s="7" t="s">
        <v>50</v>
      </c>
      <c r="D96" s="5" t="str">
        <f t="shared" si="5"/>
        <v>Parreão | 0 -Votos</v>
      </c>
      <c r="E96" s="7">
        <v>115</v>
      </c>
      <c r="F96" s="8">
        <v>-3.7558570492956802</v>
      </c>
      <c r="G96" s="8">
        <v>-38.535462921719599</v>
      </c>
      <c r="H96" s="2" t="str">
        <f t="shared" si="6"/>
        <v>SER 4</v>
      </c>
      <c r="I96" s="8">
        <v>0</v>
      </c>
      <c r="J96" s="8">
        <v>0</v>
      </c>
    </row>
    <row r="97" spans="1:11" ht="15" x14ac:dyDescent="0.25">
      <c r="A97" s="2">
        <f t="shared" si="7"/>
        <v>96</v>
      </c>
      <c r="B97" s="7" t="s">
        <v>20</v>
      </c>
      <c r="C97" s="5" t="s">
        <v>108</v>
      </c>
      <c r="D97" s="5" t="str">
        <f t="shared" si="5"/>
        <v>Passaré | 267 -Votos</v>
      </c>
      <c r="E97" s="7">
        <v>118</v>
      </c>
      <c r="F97" s="8">
        <v>-3.80941285034221</v>
      </c>
      <c r="G97" s="8">
        <v>-38.533537673745897</v>
      </c>
      <c r="H97" s="2" t="str">
        <f t="shared" si="6"/>
        <v>SER 8</v>
      </c>
      <c r="I97">
        <v>267</v>
      </c>
      <c r="J97">
        <v>267</v>
      </c>
    </row>
    <row r="98" spans="1:11" ht="15" x14ac:dyDescent="0.25">
      <c r="A98" s="2">
        <f t="shared" si="7"/>
        <v>97</v>
      </c>
      <c r="B98" s="7" t="s">
        <v>11</v>
      </c>
      <c r="C98" s="5" t="s">
        <v>88</v>
      </c>
      <c r="D98" s="5" t="str">
        <f t="shared" ref="D98:D122" si="8">C98&amp;" | "&amp;J98&amp;" -Votos"</f>
        <v>Paupina | 8 -Votos</v>
      </c>
      <c r="E98" s="7">
        <v>2</v>
      </c>
      <c r="F98" s="8">
        <v>-3.8415735059676401</v>
      </c>
      <c r="G98" s="8">
        <v>-38.486575454319798</v>
      </c>
      <c r="H98" s="2" t="str">
        <f t="shared" ref="H98:H122" si="9">B98</f>
        <v>SER 6</v>
      </c>
      <c r="I98">
        <v>8</v>
      </c>
      <c r="J98">
        <v>8</v>
      </c>
    </row>
    <row r="99" spans="1:11" ht="15" x14ac:dyDescent="0.25">
      <c r="A99" s="2">
        <f t="shared" si="7"/>
        <v>98</v>
      </c>
      <c r="B99" s="7" t="s">
        <v>16</v>
      </c>
      <c r="C99" s="5" t="s">
        <v>89</v>
      </c>
      <c r="D99" s="5" t="str">
        <f t="shared" si="8"/>
        <v>Pedras | 12 -Votos</v>
      </c>
      <c r="E99" s="7">
        <v>95</v>
      </c>
      <c r="F99" s="8">
        <v>-3.8776924642431698</v>
      </c>
      <c r="G99" s="8">
        <v>-38.514859109158003</v>
      </c>
      <c r="H99" s="2" t="str">
        <f t="shared" si="9"/>
        <v>SER 9</v>
      </c>
      <c r="I99">
        <v>12</v>
      </c>
      <c r="J99">
        <v>12</v>
      </c>
    </row>
    <row r="100" spans="1:11" ht="15" x14ac:dyDescent="0.25">
      <c r="A100" s="2">
        <f t="shared" si="7"/>
        <v>99</v>
      </c>
      <c r="B100" s="7" t="s">
        <v>18</v>
      </c>
      <c r="C100" s="5" t="s">
        <v>124</v>
      </c>
      <c r="D100" s="5" t="str">
        <f t="shared" si="8"/>
        <v>Pici | 19 -Votos</v>
      </c>
      <c r="E100" s="7">
        <v>83</v>
      </c>
      <c r="F100" s="8">
        <v>-3.7448876903495401</v>
      </c>
      <c r="G100" s="8">
        <v>-38.573751950840801</v>
      </c>
      <c r="H100" s="2" t="str">
        <f t="shared" si="9"/>
        <v>SER 11</v>
      </c>
      <c r="I100">
        <v>19</v>
      </c>
      <c r="J100">
        <v>19</v>
      </c>
    </row>
    <row r="101" spans="1:11" ht="15" x14ac:dyDescent="0.25">
      <c r="A101" s="2">
        <f t="shared" si="7"/>
        <v>100</v>
      </c>
      <c r="B101" s="7" t="s">
        <v>14</v>
      </c>
      <c r="C101" s="7" t="s">
        <v>51</v>
      </c>
      <c r="D101" s="5" t="str">
        <f t="shared" si="8"/>
        <v>Pirambu | 56 -Votos</v>
      </c>
      <c r="E101" s="7">
        <v>3</v>
      </c>
      <c r="F101" s="8">
        <v>-3.7124091028720398</v>
      </c>
      <c r="G101" s="8">
        <v>-38.551287597929999</v>
      </c>
      <c r="H101" s="2" t="str">
        <f t="shared" si="9"/>
        <v>SER 1</v>
      </c>
      <c r="I101">
        <v>56</v>
      </c>
      <c r="J101">
        <v>56</v>
      </c>
    </row>
    <row r="102" spans="1:11" ht="15" x14ac:dyDescent="0.25">
      <c r="A102" s="2">
        <f t="shared" si="7"/>
        <v>101</v>
      </c>
      <c r="B102" s="7" t="s">
        <v>20</v>
      </c>
      <c r="C102" s="7" t="s">
        <v>134</v>
      </c>
      <c r="D102" s="5" t="str">
        <f t="shared" si="8"/>
        <v>Planalto Ayrton Senna | 33 -Votos</v>
      </c>
      <c r="E102" s="7">
        <v>93</v>
      </c>
      <c r="F102" s="8">
        <v>-3.8320958197683002</v>
      </c>
      <c r="G102" s="8">
        <v>-38.569799806885698</v>
      </c>
      <c r="H102" s="2" t="str">
        <f t="shared" si="9"/>
        <v>SER 8</v>
      </c>
      <c r="I102">
        <v>33</v>
      </c>
      <c r="J102">
        <v>33</v>
      </c>
    </row>
    <row r="103" spans="1:11" ht="15" x14ac:dyDescent="0.25">
      <c r="A103" s="2">
        <f t="shared" si="7"/>
        <v>102</v>
      </c>
      <c r="B103" s="7" t="s">
        <v>19</v>
      </c>
      <c r="C103" s="5" t="s">
        <v>105</v>
      </c>
      <c r="D103" s="5" t="str">
        <f t="shared" si="8"/>
        <v>Pq Presidente Vargas | 412 -Votos</v>
      </c>
      <c r="E103" s="7">
        <v>117</v>
      </c>
      <c r="F103" s="8">
        <v>-3.8213894948300702</v>
      </c>
      <c r="G103" s="8">
        <v>-38.599709975632898</v>
      </c>
      <c r="H103" s="2" t="str">
        <f t="shared" si="9"/>
        <v>SER 10</v>
      </c>
      <c r="I103" s="8">
        <v>412</v>
      </c>
      <c r="J103" s="8">
        <v>412</v>
      </c>
    </row>
    <row r="104" spans="1:11" ht="15" x14ac:dyDescent="0.25">
      <c r="A104" s="2">
        <f t="shared" si="7"/>
        <v>103</v>
      </c>
      <c r="B104" s="7" t="s">
        <v>12</v>
      </c>
      <c r="C104" s="7" t="s">
        <v>52</v>
      </c>
      <c r="D104" s="5" t="str">
        <f t="shared" si="8"/>
        <v>Praia de Iracema | 16 -Votos</v>
      </c>
      <c r="E104" s="7">
        <v>3</v>
      </c>
      <c r="F104" s="8">
        <v>-3.7200552037859902</v>
      </c>
      <c r="G104" s="8">
        <v>-38.519751439686502</v>
      </c>
      <c r="H104" s="2" t="str">
        <f t="shared" si="9"/>
        <v>SER 12</v>
      </c>
      <c r="I104">
        <v>16</v>
      </c>
      <c r="J104">
        <v>16</v>
      </c>
    </row>
    <row r="105" spans="1:11" ht="15" x14ac:dyDescent="0.25">
      <c r="A105" s="2">
        <f t="shared" si="7"/>
        <v>104</v>
      </c>
      <c r="B105" s="7" t="s">
        <v>13</v>
      </c>
      <c r="C105" s="7" t="s">
        <v>131</v>
      </c>
      <c r="D105" s="5" t="str">
        <f t="shared" si="8"/>
        <v>Praia do Futuro I | 0 -Votos</v>
      </c>
      <c r="E105" s="7">
        <v>1</v>
      </c>
      <c r="F105" s="8">
        <v>-3.73118536223354</v>
      </c>
      <c r="G105" s="8">
        <v>-38.4619773055717</v>
      </c>
      <c r="H105" s="2" t="str">
        <f t="shared" si="9"/>
        <v>SER 7</v>
      </c>
      <c r="I105" s="8">
        <v>0</v>
      </c>
      <c r="J105" s="8">
        <v>0</v>
      </c>
    </row>
    <row r="106" spans="1:11" ht="15" x14ac:dyDescent="0.25">
      <c r="A106" s="2">
        <f t="shared" si="7"/>
        <v>105</v>
      </c>
      <c r="B106" s="7" t="s">
        <v>13</v>
      </c>
      <c r="C106" s="7" t="s">
        <v>132</v>
      </c>
      <c r="D106" s="5" t="str">
        <f t="shared" si="8"/>
        <v>Praia do Futuro II | 1 -Votos</v>
      </c>
      <c r="E106" s="7">
        <v>1</v>
      </c>
      <c r="F106" s="8">
        <v>-3.7633037355366801</v>
      </c>
      <c r="G106" s="8">
        <v>-38.442526558033101</v>
      </c>
      <c r="H106" s="2" t="str">
        <f t="shared" si="9"/>
        <v>SER 7</v>
      </c>
      <c r="I106">
        <v>1</v>
      </c>
      <c r="J106">
        <v>1</v>
      </c>
    </row>
    <row r="107" spans="1:11" ht="15" x14ac:dyDescent="0.25">
      <c r="A107" s="2">
        <f t="shared" si="7"/>
        <v>106</v>
      </c>
      <c r="B107" s="7" t="s">
        <v>17</v>
      </c>
      <c r="C107" s="7" t="s">
        <v>53</v>
      </c>
      <c r="D107" s="5" t="str">
        <f t="shared" si="8"/>
        <v>Presidente Kennedy | 62 -Votos</v>
      </c>
      <c r="E107" s="7">
        <v>114</v>
      </c>
      <c r="F107" s="8">
        <v>-3.7305802901855598</v>
      </c>
      <c r="G107" s="8">
        <v>-38.5707410062736</v>
      </c>
      <c r="H107" s="2" t="str">
        <f t="shared" si="9"/>
        <v>SER 3</v>
      </c>
      <c r="I107">
        <v>62</v>
      </c>
      <c r="J107">
        <v>62</v>
      </c>
    </row>
    <row r="108" spans="1:11" ht="15" x14ac:dyDescent="0.25">
      <c r="A108" s="2">
        <f t="shared" si="7"/>
        <v>107</v>
      </c>
      <c r="B108" s="7" t="s">
        <v>17</v>
      </c>
      <c r="C108" s="7" t="s">
        <v>68</v>
      </c>
      <c r="D108" s="5" t="str">
        <f t="shared" si="8"/>
        <v>Quitino Cunha | 46 -Votos</v>
      </c>
      <c r="E108" s="7">
        <v>94</v>
      </c>
      <c r="F108" s="8">
        <v>-3.73185551606004</v>
      </c>
      <c r="G108" s="8">
        <v>-38.5979520737068</v>
      </c>
      <c r="H108" s="2" t="str">
        <f t="shared" si="9"/>
        <v>SER 3</v>
      </c>
      <c r="I108">
        <v>46</v>
      </c>
      <c r="J108">
        <v>46</v>
      </c>
    </row>
    <row r="109" spans="1:11" ht="15" x14ac:dyDescent="0.25">
      <c r="A109" s="2">
        <f t="shared" si="7"/>
        <v>108</v>
      </c>
      <c r="B109" s="7" t="s">
        <v>17</v>
      </c>
      <c r="C109" s="7" t="s">
        <v>54</v>
      </c>
      <c r="D109" s="5" t="str">
        <f t="shared" si="8"/>
        <v>Rodolfo Teófilo | 213 -Votos</v>
      </c>
      <c r="E109" s="7">
        <v>113</v>
      </c>
      <c r="F109" s="8">
        <v>-3.7397021591668298</v>
      </c>
      <c r="G109" s="8">
        <v>-38.547278854358801</v>
      </c>
      <c r="H109" s="2" t="str">
        <f t="shared" si="9"/>
        <v>SER 3</v>
      </c>
      <c r="I109">
        <v>213</v>
      </c>
      <c r="J109">
        <v>213</v>
      </c>
    </row>
    <row r="110" spans="1:11" ht="15" x14ac:dyDescent="0.25">
      <c r="A110" s="2">
        <f t="shared" si="7"/>
        <v>109</v>
      </c>
      <c r="B110" s="7" t="s">
        <v>13</v>
      </c>
      <c r="C110" s="5" t="s">
        <v>90</v>
      </c>
      <c r="D110" s="5" t="str">
        <f t="shared" si="8"/>
        <v>Sabiaguaba | 13 -Votos</v>
      </c>
      <c r="E110" s="7">
        <v>2</v>
      </c>
      <c r="F110" s="7">
        <v>-3.8066835937607602</v>
      </c>
      <c r="G110" s="7">
        <v>-38.430875729977899</v>
      </c>
      <c r="H110" s="2" t="str">
        <f t="shared" si="9"/>
        <v>SER 7</v>
      </c>
      <c r="I110">
        <v>13</v>
      </c>
      <c r="J110">
        <v>13</v>
      </c>
      <c r="K110" s="8"/>
    </row>
    <row r="111" spans="1:11" ht="15" x14ac:dyDescent="0.25">
      <c r="A111" s="2">
        <f t="shared" si="7"/>
        <v>110</v>
      </c>
      <c r="B111" s="7" t="s">
        <v>13</v>
      </c>
      <c r="C111" s="5" t="s">
        <v>91</v>
      </c>
      <c r="D111" s="5" t="str">
        <f t="shared" si="8"/>
        <v>Salinas | 0 -Votos</v>
      </c>
      <c r="E111" s="7">
        <v>112</v>
      </c>
      <c r="F111" s="8">
        <v>-3.7676015324571699</v>
      </c>
      <c r="G111" s="8">
        <v>-38.496229971678297</v>
      </c>
      <c r="H111" s="2" t="str">
        <f t="shared" si="9"/>
        <v>SER 7</v>
      </c>
      <c r="I111" s="8">
        <v>0</v>
      </c>
      <c r="J111" s="8">
        <v>0</v>
      </c>
      <c r="K111" s="8"/>
    </row>
    <row r="112" spans="1:11" ht="15" x14ac:dyDescent="0.25">
      <c r="A112" s="2">
        <f t="shared" si="7"/>
        <v>111</v>
      </c>
      <c r="B112" s="7" t="s">
        <v>11</v>
      </c>
      <c r="C112" s="7" t="s">
        <v>136</v>
      </c>
      <c r="D112" s="5" t="str">
        <f t="shared" si="8"/>
        <v>São Bento | 0 -Votos</v>
      </c>
      <c r="E112" s="7">
        <v>2</v>
      </c>
      <c r="F112" s="8">
        <v>-3.8525791316810198</v>
      </c>
      <c r="G112" s="8">
        <v>-38.479775892303003</v>
      </c>
      <c r="H112" s="2" t="str">
        <f t="shared" si="9"/>
        <v>SER 6</v>
      </c>
      <c r="I112" s="8">
        <v>0</v>
      </c>
      <c r="J112" s="8">
        <v>0</v>
      </c>
      <c r="K112" s="8"/>
    </row>
    <row r="113" spans="1:11" ht="15" x14ac:dyDescent="0.25">
      <c r="A113" s="2">
        <f t="shared" si="7"/>
        <v>112</v>
      </c>
      <c r="B113" s="7" t="s">
        <v>17</v>
      </c>
      <c r="C113" s="7" t="s">
        <v>21</v>
      </c>
      <c r="D113" s="5" t="str">
        <f t="shared" si="8"/>
        <v>Sao Gerardo | 74 -Votos</v>
      </c>
      <c r="E113" s="7">
        <v>82</v>
      </c>
      <c r="F113" s="8">
        <v>-3.7324552353017002</v>
      </c>
      <c r="G113" s="8">
        <v>-38.558090896065302</v>
      </c>
      <c r="H113" s="2" t="str">
        <f t="shared" si="9"/>
        <v>SER 3</v>
      </c>
      <c r="I113">
        <v>74</v>
      </c>
      <c r="J113">
        <v>74</v>
      </c>
      <c r="K113" s="7"/>
    </row>
    <row r="114" spans="1:11" ht="15" x14ac:dyDescent="0.25">
      <c r="A114" s="2">
        <f t="shared" si="7"/>
        <v>113</v>
      </c>
      <c r="B114" s="7" t="s">
        <v>13</v>
      </c>
      <c r="C114" s="5" t="s">
        <v>84</v>
      </c>
      <c r="D114" s="5" t="str">
        <f t="shared" si="8"/>
        <v>Sapiranga/Coité | 10 -Votos</v>
      </c>
      <c r="E114" s="7">
        <v>112</v>
      </c>
      <c r="F114" s="8">
        <v>-3.7936789105161002</v>
      </c>
      <c r="G114" s="8">
        <v>-38.475588701150201</v>
      </c>
      <c r="H114" s="2" t="str">
        <f t="shared" si="9"/>
        <v>SER 7</v>
      </c>
      <c r="I114">
        <v>10</v>
      </c>
      <c r="J114">
        <v>10</v>
      </c>
      <c r="K114" s="8"/>
    </row>
    <row r="115" spans="1:11" ht="15" x14ac:dyDescent="0.25">
      <c r="A115" s="2">
        <f t="shared" si="7"/>
        <v>114</v>
      </c>
      <c r="B115" s="7" t="s">
        <v>20</v>
      </c>
      <c r="C115" s="7" t="s">
        <v>125</v>
      </c>
      <c r="D115" s="5" t="str">
        <f t="shared" si="8"/>
        <v>Serrinha | 70 -Votos</v>
      </c>
      <c r="E115" s="7">
        <v>115</v>
      </c>
      <c r="F115" s="8">
        <v>-3.78941196710687</v>
      </c>
      <c r="G115" s="8">
        <v>-38.538973370180202</v>
      </c>
      <c r="H115" s="2" t="str">
        <f t="shared" si="9"/>
        <v>SER 8</v>
      </c>
      <c r="I115">
        <v>70</v>
      </c>
      <c r="J115">
        <v>70</v>
      </c>
      <c r="K115" s="8"/>
    </row>
    <row r="116" spans="1:11" ht="15" x14ac:dyDescent="0.25">
      <c r="A116" s="2">
        <f t="shared" si="7"/>
        <v>115</v>
      </c>
      <c r="B116" s="7" t="s">
        <v>141</v>
      </c>
      <c r="C116" s="5" t="s">
        <v>110</v>
      </c>
      <c r="D116" s="5" t="str">
        <f t="shared" si="8"/>
        <v>Siqueira | 130 -Votos</v>
      </c>
      <c r="E116" s="7">
        <v>117</v>
      </c>
      <c r="F116" s="8">
        <v>-3.8044344811027799</v>
      </c>
      <c r="G116" s="8">
        <v>-38.611497241120503</v>
      </c>
      <c r="H116" s="2" t="str">
        <f t="shared" si="9"/>
        <v>SER 5</v>
      </c>
      <c r="I116">
        <v>130</v>
      </c>
      <c r="J116">
        <v>130</v>
      </c>
      <c r="K116" s="8"/>
    </row>
    <row r="117" spans="1:11" ht="15" x14ac:dyDescent="0.25">
      <c r="A117" s="2">
        <f t="shared" si="7"/>
        <v>116</v>
      </c>
      <c r="B117" s="7" t="s">
        <v>10</v>
      </c>
      <c r="C117" s="7" t="s">
        <v>55</v>
      </c>
      <c r="D117" s="5" t="str">
        <f t="shared" si="8"/>
        <v>Tauape | 72 -Votos</v>
      </c>
      <c r="E117" s="7">
        <v>80</v>
      </c>
      <c r="F117" s="8">
        <v>-3.75511796482381</v>
      </c>
      <c r="G117" s="8">
        <v>-38.506144550304597</v>
      </c>
      <c r="H117" s="2" t="str">
        <f t="shared" si="9"/>
        <v>SER 2</v>
      </c>
      <c r="I117">
        <v>72</v>
      </c>
      <c r="J117">
        <v>72</v>
      </c>
      <c r="K117" s="8"/>
    </row>
    <row r="118" spans="1:11" ht="15" x14ac:dyDescent="0.25">
      <c r="A118" s="2">
        <f t="shared" si="7"/>
        <v>117</v>
      </c>
      <c r="B118" s="7" t="s">
        <v>10</v>
      </c>
      <c r="C118" s="7" t="s">
        <v>56</v>
      </c>
      <c r="D118" s="5" t="str">
        <f t="shared" si="8"/>
        <v>Varjota | 14 -Votos</v>
      </c>
      <c r="E118" s="7">
        <v>1</v>
      </c>
      <c r="F118" s="8">
        <v>-3.73624865960333</v>
      </c>
      <c r="G118" s="8">
        <v>-38.486586712344597</v>
      </c>
      <c r="H118" s="2" t="str">
        <f t="shared" si="9"/>
        <v>SER 2</v>
      </c>
      <c r="I118">
        <v>14</v>
      </c>
      <c r="J118">
        <v>14</v>
      </c>
      <c r="K118" s="8"/>
    </row>
    <row r="119" spans="1:11" ht="15" x14ac:dyDescent="0.25">
      <c r="A119" s="2">
        <f t="shared" si="7"/>
        <v>118</v>
      </c>
      <c r="B119" s="7" t="s">
        <v>10</v>
      </c>
      <c r="C119" s="7" t="s">
        <v>57</v>
      </c>
      <c r="D119" s="5" t="str">
        <f t="shared" si="8"/>
        <v>Vicente Pinzon | 20 -Votos</v>
      </c>
      <c r="E119" s="7">
        <v>1</v>
      </c>
      <c r="F119" s="8">
        <v>-3.72744451567607</v>
      </c>
      <c r="G119" s="8">
        <v>-38.474579864932501</v>
      </c>
      <c r="H119" s="2" t="str">
        <f t="shared" si="9"/>
        <v>SER 2</v>
      </c>
      <c r="I119">
        <v>20</v>
      </c>
      <c r="J119">
        <v>20</v>
      </c>
      <c r="K119" s="8"/>
    </row>
    <row r="120" spans="1:11" ht="15" x14ac:dyDescent="0.25">
      <c r="A120" s="2">
        <f t="shared" si="7"/>
        <v>119</v>
      </c>
      <c r="B120" s="7" t="s">
        <v>15</v>
      </c>
      <c r="C120" s="7" t="s">
        <v>126</v>
      </c>
      <c r="D120" s="5" t="str">
        <f t="shared" si="8"/>
        <v>Vila Peri | 156 -Votos</v>
      </c>
      <c r="E120" s="7">
        <v>115</v>
      </c>
      <c r="F120" s="8">
        <v>-3.7881361536089702</v>
      </c>
      <c r="G120" s="8">
        <v>-38.577604447924003</v>
      </c>
      <c r="H120" s="2" t="str">
        <f t="shared" si="9"/>
        <v>SER 4</v>
      </c>
      <c r="I120">
        <v>156</v>
      </c>
      <c r="J120">
        <v>156</v>
      </c>
      <c r="K120" s="8"/>
    </row>
    <row r="121" spans="1:11" ht="15" x14ac:dyDescent="0.25">
      <c r="A121" s="2">
        <f t="shared" si="7"/>
        <v>120</v>
      </c>
      <c r="B121" s="7" t="s">
        <v>15</v>
      </c>
      <c r="C121" s="7" t="s">
        <v>127</v>
      </c>
      <c r="D121" s="5" t="str">
        <f t="shared" si="8"/>
        <v>Vila União | 36 -Votos</v>
      </c>
      <c r="E121" s="7">
        <v>80</v>
      </c>
      <c r="F121" s="8">
        <v>-3.7712911189301299</v>
      </c>
      <c r="G121" s="8">
        <v>-38.539225010023202</v>
      </c>
      <c r="H121" s="2" t="str">
        <f t="shared" si="9"/>
        <v>SER 4</v>
      </c>
      <c r="I121">
        <v>36</v>
      </c>
      <c r="J121">
        <v>36</v>
      </c>
      <c r="K121" s="8"/>
    </row>
    <row r="122" spans="1:11" ht="15" x14ac:dyDescent="0.25">
      <c r="A122" s="2">
        <f t="shared" si="7"/>
        <v>121</v>
      </c>
      <c r="B122" s="7" t="s">
        <v>14</v>
      </c>
      <c r="C122" s="7" t="s">
        <v>59</v>
      </c>
      <c r="D122" s="5" t="str">
        <f t="shared" si="8"/>
        <v>Vila Velha | 110 -Votos</v>
      </c>
      <c r="E122" s="7">
        <v>94</v>
      </c>
      <c r="F122" s="8">
        <v>-3.7194783884337999</v>
      </c>
      <c r="G122" s="8">
        <v>-38.606361694072497</v>
      </c>
      <c r="H122" s="2" t="str">
        <f t="shared" si="9"/>
        <v>SER 1</v>
      </c>
      <c r="I122">
        <v>110</v>
      </c>
      <c r="J122">
        <v>110</v>
      </c>
      <c r="K122" s="8"/>
    </row>
    <row r="123" spans="1:11" ht="15" x14ac:dyDescent="0.25">
      <c r="C123" s="7"/>
      <c r="D123" s="5"/>
      <c r="E123" s="7"/>
      <c r="F123" s="7"/>
      <c r="G123" s="7"/>
      <c r="I123" s="7"/>
      <c r="J123" s="7"/>
    </row>
    <row r="124" spans="1:11" ht="15" x14ac:dyDescent="0.25">
      <c r="C124" s="7"/>
      <c r="D124" s="5"/>
      <c r="E124" s="7"/>
      <c r="F124" s="7"/>
      <c r="G124" s="7"/>
      <c r="I124" s="7"/>
      <c r="J124" s="7"/>
    </row>
    <row r="125" spans="1:11" ht="15" x14ac:dyDescent="0.25">
      <c r="C125" s="7"/>
      <c r="D125" s="7"/>
      <c r="E125" s="7"/>
      <c r="F125" s="7"/>
      <c r="G125" s="7"/>
      <c r="I125" s="7"/>
      <c r="J125" s="7"/>
    </row>
    <row r="126" spans="1:11" ht="15" x14ac:dyDescent="0.25">
      <c r="C126" s="7"/>
      <c r="D126" s="7"/>
      <c r="E126" s="7"/>
      <c r="F126" s="7"/>
      <c r="G126" s="7"/>
      <c r="I126" s="7"/>
      <c r="J126" s="7"/>
    </row>
    <row r="127" spans="1:11" ht="15" x14ac:dyDescent="0.25">
      <c r="C127" s="7"/>
      <c r="D127" s="7"/>
      <c r="E127" s="7"/>
      <c r="F127" s="7"/>
      <c r="G127" s="7"/>
      <c r="I127" s="7"/>
      <c r="J127" s="7"/>
    </row>
    <row r="128" spans="1:11" ht="15" x14ac:dyDescent="0.25">
      <c r="C128" s="7"/>
      <c r="D128" s="7"/>
      <c r="E128" s="7"/>
      <c r="F128" s="7"/>
      <c r="G128" s="7"/>
      <c r="I128" s="7"/>
      <c r="J128" s="7"/>
    </row>
    <row r="129" spans="3:10" ht="15" x14ac:dyDescent="0.25">
      <c r="C129" s="7"/>
      <c r="D129" s="7"/>
      <c r="E129" s="7"/>
      <c r="F129" s="7"/>
      <c r="G129" s="7"/>
      <c r="I129" s="7"/>
      <c r="J129" s="7"/>
    </row>
    <row r="130" spans="3:10" ht="15" x14ac:dyDescent="0.25">
      <c r="C130" s="7"/>
      <c r="D130" s="7"/>
      <c r="E130" s="7"/>
      <c r="F130" s="7"/>
      <c r="G130" s="7"/>
      <c r="I130" s="7"/>
      <c r="J130" s="7"/>
    </row>
    <row r="131" spans="3:10" ht="15" x14ac:dyDescent="0.25">
      <c r="C131" s="7"/>
      <c r="D131" s="7"/>
      <c r="E131" s="7"/>
      <c r="F131" s="7"/>
      <c r="G131" s="7"/>
      <c r="I131" s="7"/>
      <c r="J131" s="7"/>
    </row>
    <row r="132" spans="3:10" ht="15" x14ac:dyDescent="0.25">
      <c r="C132" s="7"/>
      <c r="D132" s="7"/>
      <c r="E132" s="7"/>
      <c r="F132" s="7"/>
      <c r="G132" s="7"/>
      <c r="I132" s="7"/>
      <c r="J132" s="7"/>
    </row>
    <row r="133" spans="3:10" ht="15" x14ac:dyDescent="0.25">
      <c r="C133" s="7"/>
      <c r="D133" s="7"/>
      <c r="E133" s="7"/>
      <c r="F133" s="7"/>
      <c r="G133" s="7"/>
      <c r="I133" s="7"/>
      <c r="J133" s="7"/>
    </row>
    <row r="134" spans="3:10" ht="15" x14ac:dyDescent="0.25">
      <c r="C134" s="7"/>
      <c r="D134" s="7"/>
      <c r="E134" s="7"/>
      <c r="F134" s="7"/>
      <c r="G134" s="7"/>
      <c r="I134" s="7"/>
      <c r="J134" s="7"/>
    </row>
    <row r="135" spans="3:10" ht="15" x14ac:dyDescent="0.25">
      <c r="C135" s="7"/>
      <c r="D135" s="7"/>
      <c r="E135" s="7"/>
      <c r="F135" s="7"/>
      <c r="G135" s="7"/>
      <c r="I135" s="7"/>
      <c r="J135" s="7"/>
    </row>
    <row r="136" spans="3:10" ht="15" x14ac:dyDescent="0.25">
      <c r="C136" s="7"/>
      <c r="D136" s="7"/>
      <c r="E136" s="7"/>
      <c r="F136" s="7"/>
      <c r="G136" s="7"/>
      <c r="I136" s="7"/>
      <c r="J136" s="7"/>
    </row>
    <row r="137" spans="3:10" ht="15" x14ac:dyDescent="0.25">
      <c r="C137" s="7"/>
      <c r="D137" s="7"/>
      <c r="E137" s="7"/>
      <c r="F137" s="7"/>
      <c r="G137" s="7"/>
      <c r="I137" s="7"/>
      <c r="J137" s="7"/>
    </row>
    <row r="138" spans="3:10" ht="15" x14ac:dyDescent="0.25">
      <c r="C138" s="7"/>
      <c r="D138" s="7"/>
      <c r="E138" s="7"/>
      <c r="F138" s="7"/>
      <c r="G138" s="7"/>
      <c r="J138" s="7"/>
    </row>
    <row r="139" spans="3:10" ht="15" x14ac:dyDescent="0.25">
      <c r="C139" s="7"/>
      <c r="D139" s="7"/>
      <c r="E139" s="7"/>
      <c r="F139" s="7"/>
      <c r="G139" s="7"/>
      <c r="J139" s="7"/>
    </row>
    <row r="140" spans="3:10" ht="15" x14ac:dyDescent="0.25">
      <c r="C140" s="7"/>
      <c r="D140" s="7"/>
      <c r="E140" s="7"/>
      <c r="F140" s="7"/>
      <c r="G140" s="7"/>
      <c r="J140" s="7"/>
    </row>
    <row r="141" spans="3:10" ht="15" x14ac:dyDescent="0.25">
      <c r="C141" s="7"/>
      <c r="D141" s="7"/>
      <c r="E141" s="7"/>
      <c r="F141" s="7"/>
      <c r="G141" s="7"/>
      <c r="J141" s="7"/>
    </row>
    <row r="142" spans="3:10" ht="15" x14ac:dyDescent="0.25">
      <c r="C142" s="7"/>
      <c r="D142" s="7"/>
      <c r="E142" s="7"/>
      <c r="F142" s="7"/>
      <c r="G142" s="7"/>
      <c r="J142" s="7"/>
    </row>
    <row r="143" spans="3:10" ht="15" x14ac:dyDescent="0.25">
      <c r="C143" s="7"/>
      <c r="D143" s="7"/>
      <c r="E143" s="7"/>
      <c r="F143" s="7"/>
      <c r="G143" s="7"/>
      <c r="J143" s="7"/>
    </row>
    <row r="144" spans="3:10" ht="15" x14ac:dyDescent="0.25">
      <c r="C144" s="7"/>
      <c r="D144" s="7"/>
      <c r="E144" s="7"/>
      <c r="F144" s="7"/>
      <c r="G144" s="7"/>
      <c r="J144" s="7"/>
    </row>
    <row r="145" spans="3:10" ht="15" x14ac:dyDescent="0.25">
      <c r="C145" s="7"/>
      <c r="D145" s="7"/>
      <c r="E145" s="7"/>
      <c r="F145" s="7"/>
      <c r="G145" s="7"/>
      <c r="J145" s="7"/>
    </row>
    <row r="146" spans="3:10" ht="15" x14ac:dyDescent="0.25">
      <c r="C146" s="7"/>
      <c r="D146" s="7"/>
      <c r="E146" s="7"/>
      <c r="F146" s="7"/>
      <c r="G146" s="7"/>
      <c r="J146" s="7"/>
    </row>
    <row r="147" spans="3:10" ht="15" x14ac:dyDescent="0.25">
      <c r="C147" s="7"/>
      <c r="D147" s="7"/>
      <c r="E147" s="7"/>
      <c r="F147" s="7"/>
      <c r="G147" s="7"/>
      <c r="J147" s="7"/>
    </row>
    <row r="148" spans="3:10" ht="15" x14ac:dyDescent="0.25">
      <c r="C148" s="7"/>
      <c r="D148" s="7"/>
      <c r="E148" s="7"/>
      <c r="F148" s="7"/>
      <c r="G148" s="7"/>
      <c r="J148" s="7"/>
    </row>
    <row r="149" spans="3:10" ht="15" x14ac:dyDescent="0.25">
      <c r="C149" s="7"/>
      <c r="D149" s="7"/>
      <c r="E149" s="7"/>
      <c r="F149" s="7"/>
      <c r="G149" s="7"/>
      <c r="J149" s="7"/>
    </row>
    <row r="150" spans="3:10" ht="15" x14ac:dyDescent="0.25">
      <c r="C150" s="7"/>
      <c r="D150" s="7"/>
      <c r="E150" s="7"/>
      <c r="F150" s="7"/>
      <c r="G150" s="7"/>
      <c r="J150" s="7"/>
    </row>
    <row r="151" spans="3:10" ht="15" x14ac:dyDescent="0.25">
      <c r="C151" s="7"/>
      <c r="D151" s="7"/>
      <c r="E151" s="7"/>
      <c r="F151" s="7"/>
      <c r="G151" s="7"/>
      <c r="J151" s="7"/>
    </row>
    <row r="152" spans="3:10" ht="15" x14ac:dyDescent="0.25">
      <c r="C152" s="7"/>
      <c r="D152" s="7"/>
      <c r="E152" s="7"/>
      <c r="F152" s="7"/>
      <c r="G152" s="7"/>
      <c r="J152" s="7"/>
    </row>
    <row r="153" spans="3:10" ht="15" x14ac:dyDescent="0.25">
      <c r="C153" s="7"/>
      <c r="D153" s="7"/>
      <c r="E153" s="7"/>
      <c r="F153" s="7"/>
      <c r="G153" s="7"/>
      <c r="J153" s="7"/>
    </row>
    <row r="154" spans="3:10" ht="15" x14ac:dyDescent="0.25">
      <c r="C154" s="7"/>
      <c r="D154" s="7"/>
      <c r="E154" s="7"/>
      <c r="F154" s="7"/>
      <c r="G154" s="7"/>
      <c r="J154" s="7"/>
    </row>
    <row r="155" spans="3:10" ht="15" x14ac:dyDescent="0.25">
      <c r="C155" s="7"/>
      <c r="D155" s="7"/>
      <c r="E155" s="7"/>
      <c r="F155" s="7"/>
      <c r="G155" s="7"/>
      <c r="J155" s="7"/>
    </row>
    <row r="156" spans="3:10" ht="15" x14ac:dyDescent="0.25">
      <c r="C156" s="7"/>
      <c r="D156" s="7"/>
      <c r="E156" s="7"/>
      <c r="F156" s="7"/>
      <c r="G156" s="7"/>
      <c r="J156" s="7"/>
    </row>
    <row r="157" spans="3:10" ht="15" x14ac:dyDescent="0.25">
      <c r="C157" s="7"/>
      <c r="D157" s="7"/>
      <c r="E157" s="7"/>
      <c r="F157" s="7"/>
      <c r="G157" s="7"/>
      <c r="J157" s="7"/>
    </row>
    <row r="158" spans="3:10" ht="15" x14ac:dyDescent="0.25">
      <c r="C158" s="7"/>
      <c r="D158" s="7"/>
      <c r="E158" s="7"/>
      <c r="F158" s="7"/>
      <c r="G158" s="7"/>
      <c r="J158" s="7"/>
    </row>
    <row r="159" spans="3:10" ht="15" x14ac:dyDescent="0.25">
      <c r="C159" s="7"/>
      <c r="D159" s="7"/>
      <c r="E159" s="7"/>
      <c r="F159" s="7"/>
      <c r="G159" s="7"/>
      <c r="J159" s="7"/>
    </row>
    <row r="160" spans="3:10" ht="15" x14ac:dyDescent="0.25">
      <c r="C160" s="7"/>
      <c r="D160" s="7"/>
      <c r="E160" s="7"/>
      <c r="F160" s="7"/>
      <c r="G160" s="7"/>
      <c r="J160" s="7"/>
    </row>
    <row r="161" spans="3:10" ht="15" x14ac:dyDescent="0.25">
      <c r="C161" s="7"/>
      <c r="D161" s="7"/>
      <c r="E161" s="7"/>
      <c r="F161" s="7"/>
      <c r="G161" s="7"/>
      <c r="J161" s="7"/>
    </row>
    <row r="162" spans="3:10" ht="15" x14ac:dyDescent="0.25">
      <c r="C162" s="7"/>
      <c r="D162" s="7"/>
      <c r="E162" s="7"/>
      <c r="F162" s="7"/>
      <c r="G162" s="7"/>
      <c r="J162" s="7"/>
    </row>
    <row r="163" spans="3:10" ht="15" x14ac:dyDescent="0.25">
      <c r="C163" s="7"/>
      <c r="D163" s="7"/>
      <c r="E163" s="7"/>
      <c r="F163" s="7"/>
      <c r="G163" s="7"/>
      <c r="J163" s="7"/>
    </row>
    <row r="164" spans="3:10" ht="15" x14ac:dyDescent="0.25">
      <c r="C164" s="7"/>
      <c r="D164" s="7"/>
      <c r="E164" s="7"/>
      <c r="F164" s="7"/>
      <c r="G164" s="7"/>
      <c r="J164" s="7"/>
    </row>
    <row r="165" spans="3:10" ht="15" x14ac:dyDescent="0.25">
      <c r="C165" s="7"/>
      <c r="D165" s="7"/>
      <c r="E165" s="7"/>
      <c r="F165" s="7"/>
      <c r="G165" s="7"/>
      <c r="J165" s="7"/>
    </row>
    <row r="166" spans="3:10" ht="15" x14ac:dyDescent="0.25">
      <c r="C166" s="7"/>
      <c r="D166" s="7"/>
      <c r="E166" s="7"/>
      <c r="F166" s="7"/>
      <c r="G166" s="7"/>
      <c r="J166" s="7"/>
    </row>
    <row r="167" spans="3:10" ht="15" x14ac:dyDescent="0.25">
      <c r="C167" s="7"/>
      <c r="D167" s="7"/>
      <c r="E167" s="7"/>
      <c r="F167" s="7"/>
      <c r="G167" s="7"/>
      <c r="J167" s="7"/>
    </row>
    <row r="168" spans="3:10" ht="15" x14ac:dyDescent="0.25">
      <c r="C168" s="7"/>
      <c r="D168" s="7"/>
      <c r="E168" s="7"/>
      <c r="F168" s="7"/>
      <c r="G168" s="7"/>
      <c r="J168" s="7"/>
    </row>
    <row r="169" spans="3:10" ht="15" x14ac:dyDescent="0.25">
      <c r="C169" s="7"/>
      <c r="D169" s="7"/>
      <c r="E169" s="7"/>
      <c r="F169" s="7"/>
      <c r="G169" s="7"/>
      <c r="J169" s="7"/>
    </row>
    <row r="170" spans="3:10" ht="15" x14ac:dyDescent="0.25">
      <c r="C170" s="7"/>
      <c r="D170" s="7"/>
      <c r="E170" s="7"/>
      <c r="F170" s="7"/>
      <c r="G170" s="7"/>
      <c r="J170" s="7"/>
    </row>
    <row r="171" spans="3:10" ht="15" x14ac:dyDescent="0.25">
      <c r="C171" s="7"/>
      <c r="D171" s="7"/>
      <c r="E171" s="7"/>
      <c r="F171" s="7"/>
      <c r="G171" s="7"/>
      <c r="J171" s="7"/>
    </row>
    <row r="172" spans="3:10" ht="15" x14ac:dyDescent="0.25">
      <c r="C172" s="7"/>
      <c r="D172" s="7"/>
      <c r="E172" s="7"/>
      <c r="F172" s="7"/>
      <c r="G172" s="7"/>
      <c r="J172" s="7"/>
    </row>
    <row r="173" spans="3:10" ht="15" x14ac:dyDescent="0.25">
      <c r="C173" s="7"/>
      <c r="D173" s="7"/>
      <c r="E173" s="7"/>
      <c r="F173" s="7"/>
      <c r="G173" s="7"/>
      <c r="J173" s="7"/>
    </row>
    <row r="174" spans="3:10" ht="15" x14ac:dyDescent="0.25">
      <c r="C174" s="7"/>
      <c r="D174" s="7"/>
      <c r="E174" s="7"/>
      <c r="F174" s="7"/>
      <c r="G174" s="7"/>
      <c r="J174" s="7"/>
    </row>
    <row r="175" spans="3:10" ht="15" x14ac:dyDescent="0.25">
      <c r="C175" s="7"/>
      <c r="D175" s="7"/>
      <c r="E175" s="7"/>
      <c r="F175" s="7"/>
      <c r="G175" s="7"/>
      <c r="J175" s="7"/>
    </row>
    <row r="176" spans="3:10" ht="15" x14ac:dyDescent="0.25">
      <c r="C176" s="7"/>
      <c r="D176" s="7"/>
      <c r="E176" s="7"/>
      <c r="F176" s="7"/>
      <c r="G176" s="7"/>
      <c r="J176" s="7"/>
    </row>
    <row r="177" spans="3:10" ht="15" x14ac:dyDescent="0.25">
      <c r="C177" s="7"/>
      <c r="D177" s="7"/>
      <c r="E177" s="7"/>
      <c r="F177" s="7"/>
      <c r="G177" s="7"/>
      <c r="J177" s="7"/>
    </row>
    <row r="178" spans="3:10" ht="15" x14ac:dyDescent="0.25">
      <c r="C178" s="7"/>
      <c r="D178" s="7"/>
      <c r="E178" s="7"/>
      <c r="F178" s="7"/>
      <c r="G178" s="7"/>
      <c r="J178" s="7"/>
    </row>
    <row r="179" spans="3:10" ht="15" x14ac:dyDescent="0.25">
      <c r="C179" s="7"/>
      <c r="D179" s="7"/>
      <c r="E179" s="7"/>
      <c r="F179" s="7"/>
      <c r="G179" s="7"/>
      <c r="J179" s="7"/>
    </row>
    <row r="180" spans="3:10" ht="15" x14ac:dyDescent="0.25">
      <c r="C180" s="7"/>
      <c r="D180" s="7"/>
      <c r="E180" s="7"/>
      <c r="F180" s="7"/>
      <c r="G180" s="7"/>
      <c r="J180" s="7"/>
    </row>
    <row r="181" spans="3:10" ht="15" x14ac:dyDescent="0.25">
      <c r="C181" s="7"/>
      <c r="D181" s="7"/>
      <c r="E181" s="7"/>
      <c r="F181" s="7"/>
      <c r="G181" s="7"/>
      <c r="J181" s="7"/>
    </row>
    <row r="182" spans="3:10" ht="15" x14ac:dyDescent="0.25">
      <c r="C182" s="7"/>
      <c r="D182" s="7"/>
      <c r="E182" s="7"/>
      <c r="F182" s="7"/>
      <c r="G182" s="7"/>
      <c r="J182" s="7"/>
    </row>
    <row r="183" spans="3:10" ht="15" x14ac:dyDescent="0.25">
      <c r="C183" s="7"/>
      <c r="D183" s="7"/>
      <c r="E183" s="7"/>
      <c r="F183" s="7"/>
      <c r="G183" s="7"/>
      <c r="J183" s="7"/>
    </row>
    <row r="184" spans="3:10" ht="15" x14ac:dyDescent="0.25">
      <c r="C184" s="7"/>
      <c r="D184" s="7"/>
      <c r="E184" s="7"/>
      <c r="F184" s="7"/>
      <c r="G184" s="7"/>
      <c r="J184" s="7"/>
    </row>
    <row r="185" spans="3:10" ht="15" x14ac:dyDescent="0.25">
      <c r="C185" s="7"/>
      <c r="D185" s="7"/>
      <c r="E185" s="7"/>
      <c r="F185" s="7"/>
      <c r="G185" s="7"/>
      <c r="J185" s="7"/>
    </row>
    <row r="186" spans="3:10" ht="15" x14ac:dyDescent="0.25">
      <c r="C186" s="7"/>
      <c r="D186" s="7"/>
      <c r="E186" s="7"/>
      <c r="F186" s="7"/>
      <c r="G186" s="7"/>
      <c r="J186" s="7"/>
    </row>
    <row r="187" spans="3:10" ht="15" x14ac:dyDescent="0.25">
      <c r="C187" s="7"/>
      <c r="D187" s="7"/>
      <c r="E187" s="7"/>
      <c r="F187" s="7"/>
      <c r="G187" s="7"/>
      <c r="J187" s="7"/>
    </row>
    <row r="188" spans="3:10" ht="15" x14ac:dyDescent="0.25">
      <c r="C188" s="7"/>
      <c r="D188" s="7"/>
      <c r="E188" s="7"/>
      <c r="F188" s="7"/>
      <c r="G188" s="7"/>
      <c r="J188" s="7"/>
    </row>
    <row r="189" spans="3:10" ht="15" x14ac:dyDescent="0.25">
      <c r="C189" s="7"/>
      <c r="D189" s="7"/>
      <c r="E189" s="7"/>
      <c r="F189" s="7"/>
      <c r="G189" s="7"/>
      <c r="J189" s="7"/>
    </row>
    <row r="190" spans="3:10" ht="15" x14ac:dyDescent="0.25">
      <c r="C190" s="7"/>
      <c r="D190" s="7"/>
      <c r="E190" s="7"/>
      <c r="F190" s="7"/>
      <c r="G190" s="7"/>
      <c r="J190" s="7"/>
    </row>
    <row r="191" spans="3:10" ht="15" x14ac:dyDescent="0.25">
      <c r="C191" s="7"/>
      <c r="D191" s="7"/>
      <c r="E191" s="7"/>
      <c r="F191" s="7"/>
      <c r="G191" s="7"/>
      <c r="J191" s="7"/>
    </row>
    <row r="192" spans="3:10" ht="15" x14ac:dyDescent="0.25">
      <c r="C192" s="7"/>
      <c r="D192" s="7"/>
      <c r="E192" s="7"/>
      <c r="F192" s="7"/>
      <c r="G192" s="7"/>
      <c r="J192" s="7"/>
    </row>
    <row r="193" spans="3:10" ht="15" x14ac:dyDescent="0.25">
      <c r="C193" s="7"/>
      <c r="D193" s="7"/>
      <c r="E193" s="7"/>
      <c r="F193" s="7"/>
      <c r="G193" s="7"/>
      <c r="J193" s="7"/>
    </row>
    <row r="194" spans="3:10" ht="15" x14ac:dyDescent="0.25">
      <c r="C194" s="7"/>
      <c r="D194" s="7"/>
      <c r="E194" s="7"/>
      <c r="F194" s="7"/>
      <c r="G194" s="7"/>
      <c r="J194" s="7"/>
    </row>
    <row r="195" spans="3:10" ht="15" x14ac:dyDescent="0.25">
      <c r="C195" s="7"/>
      <c r="D195" s="7"/>
      <c r="E195" s="7"/>
      <c r="F195" s="7"/>
      <c r="G195" s="7"/>
      <c r="J195" s="7"/>
    </row>
    <row r="196" spans="3:10" ht="15" x14ac:dyDescent="0.25">
      <c r="C196" s="7"/>
      <c r="D196" s="7"/>
      <c r="E196" s="7"/>
      <c r="F196" s="7"/>
      <c r="G196" s="7"/>
      <c r="J196" s="7"/>
    </row>
    <row r="197" spans="3:10" ht="15" x14ac:dyDescent="0.25">
      <c r="C197" s="7"/>
      <c r="D197" s="7"/>
      <c r="E197" s="7"/>
      <c r="F197" s="7"/>
      <c r="G197" s="7"/>
      <c r="J197" s="7"/>
    </row>
    <row r="198" spans="3:10" ht="15" x14ac:dyDescent="0.25">
      <c r="C198" s="7"/>
      <c r="D198" s="7"/>
      <c r="E198" s="7"/>
      <c r="F198" s="7"/>
      <c r="G198" s="7"/>
      <c r="J198" s="7"/>
    </row>
    <row r="199" spans="3:10" ht="15" x14ac:dyDescent="0.25">
      <c r="C199" s="7"/>
      <c r="D199" s="7"/>
      <c r="E199" s="7"/>
      <c r="F199" s="7"/>
      <c r="G199" s="7"/>
      <c r="J199" s="7"/>
    </row>
    <row r="200" spans="3:10" ht="15" x14ac:dyDescent="0.25">
      <c r="C200" s="7"/>
      <c r="D200" s="7"/>
      <c r="E200" s="7"/>
      <c r="F200" s="7"/>
      <c r="G200" s="7"/>
      <c r="J200" s="7"/>
    </row>
    <row r="201" spans="3:10" ht="15" x14ac:dyDescent="0.25">
      <c r="C201" s="7"/>
      <c r="D201" s="7"/>
      <c r="E201" s="7"/>
      <c r="F201" s="7"/>
      <c r="G201" s="7"/>
      <c r="J201" s="7"/>
    </row>
    <row r="202" spans="3:10" ht="15" x14ac:dyDescent="0.25">
      <c r="C202" s="7"/>
      <c r="D202" s="7"/>
      <c r="E202" s="7"/>
      <c r="F202" s="7"/>
      <c r="G202" s="7"/>
      <c r="J202" s="7"/>
    </row>
    <row r="203" spans="3:10" ht="15" x14ac:dyDescent="0.25">
      <c r="C203" s="7"/>
      <c r="D203" s="7"/>
      <c r="E203" s="7"/>
      <c r="F203" s="7"/>
      <c r="G203" s="7"/>
      <c r="J203" s="7"/>
    </row>
    <row r="204" spans="3:10" ht="15" x14ac:dyDescent="0.25">
      <c r="C204" s="7"/>
      <c r="D204" s="7"/>
      <c r="E204" s="7"/>
      <c r="F204" s="7"/>
      <c r="G204" s="7"/>
      <c r="J204" s="7"/>
    </row>
    <row r="205" spans="3:10" ht="15" x14ac:dyDescent="0.25">
      <c r="C205" s="7"/>
      <c r="D205" s="7"/>
      <c r="E205" s="7"/>
      <c r="F205" s="7"/>
      <c r="G205" s="7"/>
      <c r="J205" s="7"/>
    </row>
    <row r="206" spans="3:10" ht="15" x14ac:dyDescent="0.25">
      <c r="C206" s="7"/>
      <c r="D206" s="7"/>
      <c r="E206" s="7"/>
      <c r="F206" s="7"/>
      <c r="G206" s="7"/>
      <c r="J206" s="7"/>
    </row>
    <row r="207" spans="3:10" ht="15" x14ac:dyDescent="0.25">
      <c r="C207" s="7"/>
      <c r="D207" s="7"/>
      <c r="E207" s="7"/>
      <c r="F207" s="7"/>
      <c r="G207" s="7"/>
      <c r="J207" s="7"/>
    </row>
    <row r="208" spans="3:10" ht="15" x14ac:dyDescent="0.25">
      <c r="C208" s="7"/>
      <c r="D208" s="7"/>
      <c r="E208" s="7"/>
      <c r="F208" s="7"/>
      <c r="G208" s="7"/>
      <c r="J208" s="7"/>
    </row>
    <row r="209" spans="3:10" ht="15" x14ac:dyDescent="0.25">
      <c r="C209" s="7"/>
      <c r="D209" s="7"/>
      <c r="E209" s="7"/>
      <c r="F209" s="7"/>
      <c r="G209" s="7"/>
      <c r="J209" s="7"/>
    </row>
    <row r="210" spans="3:10" ht="15" x14ac:dyDescent="0.25">
      <c r="C210" s="7"/>
      <c r="D210" s="7"/>
      <c r="E210" s="7"/>
      <c r="F210" s="7"/>
      <c r="G210" s="7"/>
      <c r="J210" s="7"/>
    </row>
    <row r="211" spans="3:10" ht="15" x14ac:dyDescent="0.25">
      <c r="C211" s="7"/>
      <c r="D211" s="7"/>
      <c r="E211" s="7"/>
      <c r="F211" s="7"/>
      <c r="G211" s="7"/>
      <c r="J211" s="7"/>
    </row>
    <row r="212" spans="3:10" ht="15" x14ac:dyDescent="0.25">
      <c r="C212" s="7"/>
      <c r="D212" s="7"/>
      <c r="E212" s="7"/>
      <c r="F212" s="7"/>
      <c r="G212" s="7"/>
      <c r="J212" s="7"/>
    </row>
    <row r="213" spans="3:10" ht="15" x14ac:dyDescent="0.25">
      <c r="C213" s="7"/>
      <c r="D213" s="7"/>
      <c r="E213" s="7"/>
      <c r="F213" s="7"/>
      <c r="G213" s="7"/>
      <c r="J213" s="7"/>
    </row>
    <row r="214" spans="3:10" ht="15" x14ac:dyDescent="0.25">
      <c r="C214" s="7"/>
      <c r="D214" s="7"/>
      <c r="E214" s="7"/>
      <c r="F214" s="7"/>
      <c r="G214" s="7"/>
      <c r="J214" s="7"/>
    </row>
    <row r="215" spans="3:10" ht="15" x14ac:dyDescent="0.25">
      <c r="C215" s="7"/>
      <c r="D215" s="7"/>
      <c r="E215" s="7"/>
      <c r="F215" s="7"/>
      <c r="G215" s="7"/>
      <c r="J215" s="7"/>
    </row>
    <row r="216" spans="3:10" ht="15" x14ac:dyDescent="0.25">
      <c r="C216" s="7"/>
      <c r="D216" s="7"/>
      <c r="E216" s="7"/>
      <c r="F216" s="7"/>
      <c r="G216" s="7"/>
      <c r="J216" s="7"/>
    </row>
    <row r="217" spans="3:10" ht="15" x14ac:dyDescent="0.25">
      <c r="C217" s="7"/>
      <c r="D217" s="7"/>
      <c r="E217" s="7"/>
      <c r="F217" s="7"/>
      <c r="G217" s="7"/>
      <c r="J217" s="7"/>
    </row>
    <row r="218" spans="3:10" ht="15" x14ac:dyDescent="0.25">
      <c r="C218" s="7"/>
      <c r="D218" s="7"/>
      <c r="E218" s="7"/>
      <c r="F218" s="7"/>
      <c r="G218" s="7"/>
      <c r="J218" s="7"/>
    </row>
    <row r="219" spans="3:10" ht="15" x14ac:dyDescent="0.25">
      <c r="C219" s="7"/>
      <c r="D219" s="7"/>
      <c r="E219" s="7"/>
      <c r="F219" s="7"/>
      <c r="G219" s="7"/>
      <c r="J219" s="7"/>
    </row>
    <row r="220" spans="3:10" ht="15" x14ac:dyDescent="0.25">
      <c r="C220" s="7"/>
      <c r="D220" s="7"/>
      <c r="E220" s="7"/>
      <c r="F220" s="7"/>
      <c r="G220" s="7"/>
      <c r="J220" s="7"/>
    </row>
    <row r="221" spans="3:10" ht="15" x14ac:dyDescent="0.25">
      <c r="C221" s="7"/>
      <c r="D221" s="7"/>
      <c r="E221" s="7"/>
      <c r="F221" s="7"/>
      <c r="G221" s="7"/>
      <c r="J221" s="7"/>
    </row>
    <row r="222" spans="3:10" ht="15" x14ac:dyDescent="0.25">
      <c r="C222" s="7"/>
      <c r="D222" s="7"/>
      <c r="E222" s="7"/>
      <c r="F222" s="7"/>
      <c r="G222" s="7"/>
      <c r="J222" s="7"/>
    </row>
    <row r="223" spans="3:10" ht="15" x14ac:dyDescent="0.25">
      <c r="C223" s="7"/>
      <c r="D223" s="7"/>
      <c r="E223" s="7"/>
      <c r="F223" s="7"/>
      <c r="G223" s="7"/>
      <c r="J223" s="7"/>
    </row>
    <row r="224" spans="3:10" ht="15" x14ac:dyDescent="0.25">
      <c r="C224" s="7"/>
      <c r="D224" s="7"/>
      <c r="E224" s="7"/>
      <c r="F224" s="7"/>
      <c r="G224" s="7"/>
      <c r="J224" s="7"/>
    </row>
    <row r="225" spans="3:10" ht="15" x14ac:dyDescent="0.25">
      <c r="C225" s="7"/>
      <c r="D225" s="7"/>
      <c r="E225" s="7"/>
      <c r="F225" s="7"/>
      <c r="G225" s="7"/>
      <c r="J225" s="7"/>
    </row>
    <row r="226" spans="3:10" ht="15" x14ac:dyDescent="0.25">
      <c r="C226" s="7"/>
      <c r="D226" s="7"/>
      <c r="E226" s="7"/>
      <c r="F226" s="7"/>
      <c r="G226" s="7"/>
      <c r="J226" s="7"/>
    </row>
    <row r="227" spans="3:10" ht="15" x14ac:dyDescent="0.25">
      <c r="C227" s="7"/>
      <c r="D227" s="7"/>
      <c r="E227" s="7"/>
      <c r="F227" s="7"/>
      <c r="G227" s="7"/>
      <c r="J227" s="7"/>
    </row>
    <row r="228" spans="3:10" ht="15" x14ac:dyDescent="0.25">
      <c r="C228" s="7"/>
      <c r="D228" s="7"/>
      <c r="E228" s="7"/>
      <c r="F228" s="7"/>
      <c r="G228" s="7"/>
      <c r="J228" s="7"/>
    </row>
    <row r="229" spans="3:10" ht="15" x14ac:dyDescent="0.25">
      <c r="C229" s="7"/>
      <c r="D229" s="7"/>
      <c r="E229" s="7"/>
      <c r="F229" s="7"/>
      <c r="G229" s="7"/>
      <c r="J229" s="7"/>
    </row>
    <row r="230" spans="3:10" ht="15" x14ac:dyDescent="0.25">
      <c r="C230" s="7"/>
      <c r="D230" s="7"/>
      <c r="E230" s="7"/>
      <c r="F230" s="7"/>
      <c r="G230" s="7"/>
      <c r="J230" s="7"/>
    </row>
    <row r="231" spans="3:10" ht="15" x14ac:dyDescent="0.25">
      <c r="C231" s="7"/>
      <c r="D231" s="7"/>
      <c r="E231" s="7"/>
      <c r="F231" s="7"/>
      <c r="G231" s="7"/>
      <c r="J231" s="7"/>
    </row>
    <row r="232" spans="3:10" ht="15" x14ac:dyDescent="0.25">
      <c r="C232" s="7"/>
      <c r="D232" s="7"/>
      <c r="E232" s="7"/>
      <c r="F232" s="7"/>
      <c r="G232" s="7"/>
      <c r="J232" s="7"/>
    </row>
    <row r="233" spans="3:10" ht="15" x14ac:dyDescent="0.25">
      <c r="C233" s="7"/>
      <c r="D233" s="7"/>
      <c r="E233" s="7"/>
      <c r="F233" s="7"/>
      <c r="G233" s="7"/>
      <c r="J233" s="7"/>
    </row>
    <row r="234" spans="3:10" ht="15" x14ac:dyDescent="0.25">
      <c r="C234" s="7"/>
      <c r="D234" s="7"/>
      <c r="E234" s="7"/>
      <c r="F234" s="7"/>
      <c r="G234" s="7"/>
      <c r="J234" s="7"/>
    </row>
    <row r="235" spans="3:10" ht="15" x14ac:dyDescent="0.25">
      <c r="C235" s="7"/>
      <c r="D235" s="7"/>
      <c r="E235" s="7"/>
      <c r="F235" s="7"/>
      <c r="G235" s="7"/>
      <c r="J235" s="7"/>
    </row>
    <row r="236" spans="3:10" ht="15" x14ac:dyDescent="0.25">
      <c r="C236" s="7"/>
      <c r="D236" s="7"/>
      <c r="E236" s="7"/>
      <c r="F236" s="7"/>
      <c r="G236" s="7"/>
      <c r="J236" s="7"/>
    </row>
    <row r="237" spans="3:10" ht="15" x14ac:dyDescent="0.25">
      <c r="C237" s="7"/>
      <c r="D237" s="7"/>
      <c r="E237" s="7"/>
      <c r="F237" s="7"/>
      <c r="G237" s="7"/>
      <c r="J237" s="7"/>
    </row>
    <row r="238" spans="3:10" ht="15" x14ac:dyDescent="0.25">
      <c r="C238" s="7"/>
      <c r="D238" s="7"/>
      <c r="E238" s="7"/>
      <c r="F238" s="7"/>
      <c r="G238" s="7"/>
      <c r="J238" s="7"/>
    </row>
    <row r="239" spans="3:10" ht="15" x14ac:dyDescent="0.25">
      <c r="C239" s="7"/>
      <c r="D239" s="7"/>
      <c r="E239" s="7"/>
      <c r="F239" s="7"/>
      <c r="G239" s="7"/>
      <c r="J239" s="7"/>
    </row>
    <row r="240" spans="3:10" ht="15" x14ac:dyDescent="0.25">
      <c r="C240" s="7"/>
      <c r="D240" s="7"/>
      <c r="E240" s="7"/>
      <c r="F240" s="7"/>
      <c r="G240" s="7"/>
      <c r="J240" s="7"/>
    </row>
    <row r="241" spans="3:10" ht="15" x14ac:dyDescent="0.25">
      <c r="C241" s="7"/>
      <c r="D241" s="7"/>
      <c r="E241" s="7"/>
      <c r="F241" s="7"/>
      <c r="G241" s="7"/>
      <c r="J241" s="7"/>
    </row>
    <row r="242" spans="3:10" ht="15" x14ac:dyDescent="0.25">
      <c r="C242" s="7"/>
      <c r="D242" s="7"/>
      <c r="E242" s="7"/>
      <c r="F242" s="7"/>
      <c r="G242" s="7"/>
      <c r="J242" s="7"/>
    </row>
    <row r="243" spans="3:10" ht="15" x14ac:dyDescent="0.25">
      <c r="C243" s="7"/>
      <c r="D243" s="7"/>
      <c r="E243" s="7"/>
      <c r="F243" s="7"/>
      <c r="G243" s="7"/>
      <c r="J243" s="7"/>
    </row>
    <row r="244" spans="3:10" ht="15" x14ac:dyDescent="0.25">
      <c r="C244" s="7"/>
      <c r="D244" s="7"/>
      <c r="E244" s="7"/>
      <c r="F244" s="7"/>
      <c r="G244" s="7"/>
      <c r="J244" s="7"/>
    </row>
    <row r="245" spans="3:10" ht="15" x14ac:dyDescent="0.25">
      <c r="C245" s="7"/>
      <c r="D245" s="7"/>
      <c r="E245" s="7"/>
      <c r="F245" s="7"/>
      <c r="G245" s="7"/>
      <c r="J245" s="7"/>
    </row>
    <row r="246" spans="3:10" ht="15" x14ac:dyDescent="0.25">
      <c r="C246" s="7"/>
      <c r="D246" s="7"/>
      <c r="E246" s="7"/>
      <c r="F246" s="7"/>
      <c r="G246" s="7"/>
      <c r="J246" s="7"/>
    </row>
    <row r="247" spans="3:10" ht="15" x14ac:dyDescent="0.25">
      <c r="C247" s="7"/>
      <c r="D247" s="7"/>
      <c r="E247" s="7"/>
      <c r="F247" s="7"/>
      <c r="G247" s="7"/>
      <c r="J247" s="7"/>
    </row>
    <row r="248" spans="3:10" ht="15" x14ac:dyDescent="0.25">
      <c r="C248" s="7"/>
      <c r="D248" s="7"/>
      <c r="E248" s="7"/>
      <c r="F248" s="7"/>
      <c r="G248" s="7"/>
      <c r="J248" s="7"/>
    </row>
    <row r="249" spans="3:10" ht="15" x14ac:dyDescent="0.25">
      <c r="C249" s="7"/>
      <c r="D249" s="7"/>
      <c r="E249" s="7"/>
      <c r="F249" s="7"/>
      <c r="G249" s="7"/>
      <c r="J249" s="7"/>
    </row>
    <row r="250" spans="3:10" ht="15" x14ac:dyDescent="0.25">
      <c r="C250" s="7"/>
      <c r="D250" s="7"/>
      <c r="E250" s="7"/>
      <c r="F250" s="7"/>
      <c r="G250" s="7"/>
      <c r="J250" s="7"/>
    </row>
    <row r="251" spans="3:10" ht="15" x14ac:dyDescent="0.25">
      <c r="C251" s="7"/>
      <c r="D251" s="7"/>
      <c r="E251" s="7"/>
      <c r="F251" s="7"/>
      <c r="G251" s="7"/>
      <c r="J251" s="7"/>
    </row>
    <row r="252" spans="3:10" ht="15" x14ac:dyDescent="0.25">
      <c r="C252" s="7"/>
      <c r="D252" s="7"/>
      <c r="E252" s="7"/>
      <c r="F252" s="7"/>
      <c r="G252" s="7"/>
      <c r="J252" s="7"/>
    </row>
    <row r="253" spans="3:10" ht="15" x14ac:dyDescent="0.25">
      <c r="C253" s="7"/>
      <c r="D253" s="7"/>
      <c r="E253" s="7"/>
      <c r="F253" s="7"/>
      <c r="G253" s="7"/>
      <c r="J253" s="7"/>
    </row>
    <row r="254" spans="3:10" ht="15" x14ac:dyDescent="0.25">
      <c r="C254" s="7"/>
      <c r="D254" s="7"/>
      <c r="E254" s="7"/>
      <c r="F254" s="7"/>
      <c r="G254" s="7"/>
      <c r="J254" s="7"/>
    </row>
    <row r="255" spans="3:10" ht="15" x14ac:dyDescent="0.25">
      <c r="C255" s="7"/>
      <c r="D255" s="7"/>
      <c r="E255" s="7"/>
      <c r="F255" s="7"/>
      <c r="G255" s="7"/>
      <c r="J255" s="7"/>
    </row>
    <row r="256" spans="3:10" ht="15" x14ac:dyDescent="0.25">
      <c r="C256" s="7"/>
      <c r="D256" s="7"/>
      <c r="E256" s="7"/>
      <c r="F256" s="7"/>
      <c r="G256" s="7"/>
      <c r="J256" s="7"/>
    </row>
    <row r="257" spans="3:10" ht="15" x14ac:dyDescent="0.25">
      <c r="C257" s="7"/>
      <c r="D257" s="7"/>
      <c r="E257" s="7"/>
      <c r="F257" s="7"/>
      <c r="G257" s="7"/>
      <c r="J257" s="7"/>
    </row>
    <row r="258" spans="3:10" ht="15" x14ac:dyDescent="0.25">
      <c r="C258" s="7"/>
      <c r="D258" s="7"/>
      <c r="E258" s="7"/>
      <c r="F258" s="7"/>
      <c r="G258" s="7"/>
      <c r="J258" s="7"/>
    </row>
    <row r="259" spans="3:10" ht="15" x14ac:dyDescent="0.25">
      <c r="C259" s="7"/>
      <c r="D259" s="7"/>
      <c r="E259" s="7"/>
      <c r="F259" s="7"/>
      <c r="G259" s="7"/>
      <c r="J259" s="7"/>
    </row>
    <row r="260" spans="3:10" ht="15" x14ac:dyDescent="0.25">
      <c r="C260" s="7"/>
      <c r="D260" s="7"/>
      <c r="E260" s="7"/>
      <c r="F260" s="7"/>
      <c r="G260" s="7"/>
      <c r="J260" s="7"/>
    </row>
    <row r="261" spans="3:10" ht="15" x14ac:dyDescent="0.25">
      <c r="C261" s="7"/>
      <c r="D261" s="7"/>
      <c r="E261" s="7"/>
      <c r="F261" s="7"/>
      <c r="G261" s="7"/>
      <c r="J261" s="7"/>
    </row>
    <row r="262" spans="3:10" ht="15" x14ac:dyDescent="0.25">
      <c r="C262" s="7"/>
      <c r="D262" s="7"/>
      <c r="E262" s="7"/>
      <c r="F262" s="7"/>
      <c r="G262" s="7"/>
      <c r="J262" s="7"/>
    </row>
    <row r="263" spans="3:10" ht="15" x14ac:dyDescent="0.25">
      <c r="C263" s="7"/>
      <c r="D263" s="7"/>
      <c r="E263" s="7"/>
      <c r="F263" s="7"/>
      <c r="G263" s="7"/>
      <c r="J263" s="7"/>
    </row>
    <row r="264" spans="3:10" ht="15" x14ac:dyDescent="0.25">
      <c r="C264" s="7"/>
      <c r="D264" s="7"/>
      <c r="E264" s="7"/>
      <c r="F264" s="7"/>
      <c r="G264" s="7"/>
      <c r="J264" s="7"/>
    </row>
    <row r="265" spans="3:10" ht="15" x14ac:dyDescent="0.25">
      <c r="C265" s="7"/>
      <c r="D265" s="7"/>
      <c r="E265" s="7"/>
      <c r="F265" s="7"/>
      <c r="G265" s="7"/>
      <c r="J265" s="7"/>
    </row>
    <row r="266" spans="3:10" ht="15" x14ac:dyDescent="0.25">
      <c r="C266" s="7"/>
      <c r="D266" s="7"/>
      <c r="E266" s="7"/>
      <c r="F266" s="7"/>
      <c r="G266" s="7"/>
      <c r="J266" s="7"/>
    </row>
    <row r="267" spans="3:10" ht="15" x14ac:dyDescent="0.25">
      <c r="C267" s="7"/>
      <c r="D267" s="7"/>
      <c r="E267" s="7"/>
      <c r="F267" s="7"/>
      <c r="G267" s="7"/>
      <c r="J267" s="7"/>
    </row>
    <row r="268" spans="3:10" ht="15" x14ac:dyDescent="0.25">
      <c r="C268" s="7"/>
      <c r="D268" s="7"/>
      <c r="E268" s="7"/>
      <c r="F268" s="7"/>
      <c r="G268" s="7"/>
      <c r="J268" s="7"/>
    </row>
    <row r="269" spans="3:10" ht="15" x14ac:dyDescent="0.25">
      <c r="C269" s="7"/>
      <c r="D269" s="7"/>
      <c r="E269" s="7"/>
      <c r="F269" s="7"/>
      <c r="G269" s="7"/>
      <c r="J269" s="7"/>
    </row>
    <row r="270" spans="3:10" ht="15" x14ac:dyDescent="0.25">
      <c r="C270" s="7"/>
      <c r="D270" s="7"/>
      <c r="E270" s="7"/>
      <c r="F270" s="7"/>
      <c r="G270" s="7"/>
      <c r="J270" s="7"/>
    </row>
    <row r="271" spans="3:10" ht="15" x14ac:dyDescent="0.25">
      <c r="C271" s="7"/>
      <c r="D271" s="7"/>
      <c r="E271" s="7"/>
      <c r="F271" s="7"/>
      <c r="G271" s="7"/>
      <c r="J271" s="7"/>
    </row>
    <row r="272" spans="3:10" ht="15" x14ac:dyDescent="0.25">
      <c r="C272" s="7"/>
      <c r="D272" s="7"/>
      <c r="E272" s="7"/>
      <c r="F272" s="7"/>
      <c r="G272" s="7"/>
      <c r="J272" s="7"/>
    </row>
    <row r="273" spans="3:10" ht="15" x14ac:dyDescent="0.25">
      <c r="C273" s="7"/>
      <c r="D273" s="7"/>
      <c r="E273" s="7"/>
      <c r="F273" s="7"/>
      <c r="G273" s="7"/>
      <c r="J273" s="7"/>
    </row>
    <row r="274" spans="3:10" ht="15" x14ac:dyDescent="0.25">
      <c r="C274" s="7"/>
      <c r="D274" s="7"/>
      <c r="E274" s="7"/>
      <c r="F274" s="7"/>
      <c r="G274" s="7"/>
      <c r="J274" s="7"/>
    </row>
    <row r="275" spans="3:10" ht="15" x14ac:dyDescent="0.25">
      <c r="C275" s="7"/>
      <c r="D275" s="7"/>
      <c r="E275" s="7"/>
      <c r="F275" s="7"/>
      <c r="G275" s="7"/>
      <c r="J275" s="7"/>
    </row>
    <row r="276" spans="3:10" ht="15" x14ac:dyDescent="0.25">
      <c r="C276" s="7"/>
      <c r="D276" s="7"/>
      <c r="E276" s="7"/>
      <c r="F276" s="7"/>
      <c r="G276" s="7"/>
      <c r="J276" s="7"/>
    </row>
    <row r="277" spans="3:10" ht="15" x14ac:dyDescent="0.25">
      <c r="C277" s="7"/>
      <c r="D277" s="7"/>
      <c r="E277" s="7"/>
      <c r="F277" s="7"/>
      <c r="G277" s="7"/>
      <c r="J277" s="7"/>
    </row>
    <row r="278" spans="3:10" ht="15" x14ac:dyDescent="0.25">
      <c r="C278" s="7"/>
      <c r="D278" s="7"/>
      <c r="E278" s="7"/>
      <c r="F278" s="7"/>
      <c r="G278" s="7"/>
      <c r="J278" s="7"/>
    </row>
    <row r="279" spans="3:10" ht="15" x14ac:dyDescent="0.25">
      <c r="C279" s="7"/>
      <c r="D279" s="7"/>
      <c r="E279" s="7"/>
      <c r="F279" s="7"/>
      <c r="G279" s="7"/>
      <c r="J279" s="7"/>
    </row>
    <row r="280" spans="3:10" ht="15" x14ac:dyDescent="0.25">
      <c r="C280" s="7"/>
      <c r="D280" s="7"/>
      <c r="E280" s="7"/>
      <c r="F280" s="7"/>
      <c r="G280" s="7"/>
      <c r="J280" s="7"/>
    </row>
    <row r="281" spans="3:10" ht="15" x14ac:dyDescent="0.25">
      <c r="C281" s="7"/>
      <c r="D281" s="7"/>
      <c r="E281" s="7"/>
      <c r="F281" s="7"/>
      <c r="G281" s="7"/>
      <c r="J281" s="7"/>
    </row>
    <row r="282" spans="3:10" ht="15" x14ac:dyDescent="0.25">
      <c r="C282" s="7"/>
      <c r="D282" s="7"/>
      <c r="E282" s="7"/>
      <c r="F282" s="7"/>
      <c r="G282" s="7"/>
      <c r="J282" s="7"/>
    </row>
    <row r="283" spans="3:10" ht="15" x14ac:dyDescent="0.25">
      <c r="C283" s="7"/>
      <c r="D283" s="7"/>
      <c r="E283" s="7"/>
      <c r="F283" s="7"/>
      <c r="G283" s="7"/>
      <c r="J283" s="7"/>
    </row>
    <row r="284" spans="3:10" ht="15" x14ac:dyDescent="0.25">
      <c r="C284" s="7"/>
      <c r="D284" s="7"/>
      <c r="E284" s="7"/>
      <c r="F284" s="7"/>
      <c r="G284" s="7"/>
      <c r="J284" s="7"/>
    </row>
    <row r="285" spans="3:10" ht="15" x14ac:dyDescent="0.25">
      <c r="C285" s="7"/>
      <c r="D285" s="7"/>
      <c r="E285" s="7"/>
      <c r="F285" s="7"/>
      <c r="G285" s="7"/>
      <c r="J285" s="7"/>
    </row>
    <row r="286" spans="3:10" ht="15" x14ac:dyDescent="0.25">
      <c r="C286" s="7"/>
      <c r="D286" s="7"/>
      <c r="E286" s="7"/>
      <c r="F286" s="7"/>
      <c r="G286" s="7"/>
      <c r="J286" s="7"/>
    </row>
    <row r="287" spans="3:10" ht="15" x14ac:dyDescent="0.25">
      <c r="C287" s="7"/>
      <c r="D287" s="7"/>
      <c r="E287" s="7"/>
      <c r="F287" s="7"/>
      <c r="G287" s="7"/>
      <c r="J287" s="7"/>
    </row>
    <row r="288" spans="3:10" ht="15" x14ac:dyDescent="0.25">
      <c r="C288" s="7"/>
      <c r="D288" s="7"/>
      <c r="E288" s="7"/>
      <c r="F288" s="7"/>
      <c r="G288" s="7"/>
      <c r="J288" s="7"/>
    </row>
    <row r="289" spans="3:10" ht="15" x14ac:dyDescent="0.25">
      <c r="C289" s="7"/>
      <c r="D289" s="7"/>
      <c r="E289" s="7"/>
      <c r="F289" s="7"/>
      <c r="G289" s="7"/>
      <c r="J289" s="7"/>
    </row>
    <row r="290" spans="3:10" ht="15" x14ac:dyDescent="0.25">
      <c r="C290" s="7"/>
      <c r="D290" s="7"/>
      <c r="E290" s="7"/>
      <c r="F290" s="7"/>
      <c r="G290" s="7"/>
      <c r="J290" s="7"/>
    </row>
    <row r="291" spans="3:10" ht="15" x14ac:dyDescent="0.25">
      <c r="C291" s="7"/>
      <c r="D291" s="7"/>
      <c r="E291" s="7"/>
      <c r="F291" s="7"/>
      <c r="G291" s="7"/>
      <c r="J291" s="7"/>
    </row>
    <row r="292" spans="3:10" ht="15" x14ac:dyDescent="0.25">
      <c r="C292" s="7"/>
      <c r="D292" s="7"/>
      <c r="E292" s="7"/>
      <c r="F292" s="7"/>
      <c r="G292" s="7"/>
      <c r="J292" s="7"/>
    </row>
    <row r="293" spans="3:10" ht="15" x14ac:dyDescent="0.25">
      <c r="C293" s="7"/>
      <c r="D293" s="7"/>
      <c r="E293" s="7"/>
      <c r="F293" s="7"/>
      <c r="G293" s="7"/>
      <c r="J293" s="7"/>
    </row>
    <row r="294" spans="3:10" ht="15" x14ac:dyDescent="0.25">
      <c r="C294" s="7"/>
      <c r="D294" s="7"/>
      <c r="E294" s="7"/>
      <c r="F294" s="7"/>
      <c r="G294" s="7"/>
      <c r="J294" s="7"/>
    </row>
    <row r="295" spans="3:10" ht="15" x14ac:dyDescent="0.25">
      <c r="C295" s="7"/>
      <c r="D295" s="7"/>
      <c r="E295" s="7"/>
      <c r="F295" s="7"/>
      <c r="G295" s="7"/>
      <c r="J295" s="7"/>
    </row>
    <row r="296" spans="3:10" ht="15" x14ac:dyDescent="0.25">
      <c r="C296" s="7"/>
      <c r="D296" s="7"/>
      <c r="E296" s="7"/>
      <c r="F296" s="7"/>
      <c r="G296" s="7"/>
      <c r="J296" s="7"/>
    </row>
    <row r="297" spans="3:10" ht="15" x14ac:dyDescent="0.25">
      <c r="C297" s="7"/>
      <c r="D297" s="7"/>
      <c r="E297" s="7"/>
      <c r="F297" s="7"/>
      <c r="G297" s="7"/>
      <c r="J297" s="7"/>
    </row>
    <row r="298" spans="3:10" ht="15" x14ac:dyDescent="0.25">
      <c r="C298" s="7"/>
      <c r="D298" s="7"/>
      <c r="E298" s="7"/>
      <c r="F298" s="7"/>
      <c r="G298" s="7"/>
      <c r="J298" s="7"/>
    </row>
    <row r="299" spans="3:10" ht="15" x14ac:dyDescent="0.25">
      <c r="C299" s="7"/>
      <c r="D299" s="7"/>
      <c r="E299" s="7"/>
      <c r="F299" s="7"/>
      <c r="G299" s="7"/>
      <c r="J299" s="7"/>
    </row>
    <row r="300" spans="3:10" ht="15" x14ac:dyDescent="0.25">
      <c r="C300" s="7"/>
      <c r="D300" s="7"/>
      <c r="E300" s="7"/>
      <c r="F300" s="7"/>
      <c r="G300" s="7"/>
      <c r="J300" s="7"/>
    </row>
    <row r="301" spans="3:10" ht="15" x14ac:dyDescent="0.25">
      <c r="C301" s="7"/>
      <c r="D301" s="7"/>
      <c r="E301" s="7"/>
      <c r="F301" s="7"/>
      <c r="G301" s="7"/>
      <c r="J301" s="7"/>
    </row>
    <row r="302" spans="3:10" ht="15" x14ac:dyDescent="0.25">
      <c r="C302" s="7"/>
      <c r="D302" s="7"/>
      <c r="E302" s="7"/>
      <c r="F302" s="7"/>
      <c r="G302" s="7"/>
      <c r="J302" s="7"/>
    </row>
    <row r="303" spans="3:10" ht="15" x14ac:dyDescent="0.25">
      <c r="C303" s="7"/>
      <c r="D303" s="7"/>
      <c r="E303" s="7"/>
      <c r="F303" s="7"/>
      <c r="G303" s="7"/>
      <c r="J303" s="7"/>
    </row>
    <row r="304" spans="3:10" ht="15" x14ac:dyDescent="0.25">
      <c r="C304" s="7"/>
      <c r="D304" s="7"/>
      <c r="E304" s="7"/>
      <c r="F304" s="7"/>
      <c r="G304" s="7"/>
      <c r="J304" s="7"/>
    </row>
    <row r="305" spans="3:10" ht="15" x14ac:dyDescent="0.25">
      <c r="C305" s="7"/>
      <c r="D305" s="7"/>
      <c r="E305" s="7"/>
      <c r="F305" s="7"/>
      <c r="G305" s="7"/>
      <c r="J305" s="7"/>
    </row>
    <row r="306" spans="3:10" ht="15" x14ac:dyDescent="0.25">
      <c r="C306" s="7"/>
      <c r="D306" s="7"/>
      <c r="E306" s="7"/>
      <c r="F306" s="7"/>
      <c r="G306" s="7"/>
      <c r="J306" s="7"/>
    </row>
    <row r="307" spans="3:10" ht="15" x14ac:dyDescent="0.25">
      <c r="C307" s="7"/>
      <c r="D307" s="7"/>
      <c r="E307" s="7"/>
      <c r="F307" s="7"/>
      <c r="G307" s="7"/>
      <c r="J307" s="7"/>
    </row>
    <row r="308" spans="3:10" ht="15" x14ac:dyDescent="0.25">
      <c r="C308" s="7"/>
      <c r="D308" s="7"/>
      <c r="E308" s="7"/>
      <c r="F308" s="7"/>
      <c r="G308" s="7"/>
      <c r="J308" s="7"/>
    </row>
    <row r="309" spans="3:10" ht="15" x14ac:dyDescent="0.25">
      <c r="C309" s="7"/>
      <c r="D309" s="7"/>
      <c r="E309" s="7"/>
      <c r="F309" s="7"/>
      <c r="G309" s="7"/>
      <c r="J309" s="7"/>
    </row>
    <row r="310" spans="3:10" ht="15" x14ac:dyDescent="0.25">
      <c r="C310" s="7"/>
      <c r="D310" s="7"/>
      <c r="E310" s="7"/>
      <c r="F310" s="7"/>
      <c r="G310" s="7"/>
      <c r="J310" s="7"/>
    </row>
    <row r="311" spans="3:10" ht="15" x14ac:dyDescent="0.25">
      <c r="C311" s="7"/>
      <c r="D311" s="7"/>
      <c r="E311" s="7"/>
      <c r="F311" s="7"/>
      <c r="G311" s="7"/>
      <c r="J311" s="7"/>
    </row>
    <row r="312" spans="3:10" ht="15" x14ac:dyDescent="0.25">
      <c r="C312" s="7"/>
      <c r="D312" s="7"/>
      <c r="E312" s="7"/>
      <c r="F312" s="7"/>
      <c r="G312" s="7"/>
      <c r="J312" s="7"/>
    </row>
    <row r="313" spans="3:10" ht="15" x14ac:dyDescent="0.25">
      <c r="C313" s="7"/>
      <c r="D313" s="7"/>
      <c r="E313" s="7"/>
      <c r="F313" s="7"/>
      <c r="G313" s="7"/>
      <c r="J313" s="7"/>
    </row>
    <row r="314" spans="3:10" ht="15" x14ac:dyDescent="0.25">
      <c r="C314" s="7"/>
      <c r="D314" s="7"/>
      <c r="E314" s="7"/>
      <c r="F314" s="7"/>
      <c r="G314" s="7"/>
      <c r="J314" s="7"/>
    </row>
    <row r="315" spans="3:10" ht="15" x14ac:dyDescent="0.25">
      <c r="C315" s="7"/>
      <c r="D315" s="7"/>
      <c r="E315" s="7"/>
      <c r="F315" s="7"/>
      <c r="G315" s="7"/>
      <c r="J315" s="7"/>
    </row>
    <row r="316" spans="3:10" ht="15" x14ac:dyDescent="0.25">
      <c r="C316" s="7"/>
      <c r="D316" s="7"/>
      <c r="E316" s="7"/>
      <c r="F316" s="7"/>
      <c r="G316" s="7"/>
      <c r="J316" s="7"/>
    </row>
    <row r="317" spans="3:10" ht="15" x14ac:dyDescent="0.25">
      <c r="C317" s="7"/>
      <c r="D317" s="7"/>
      <c r="E317" s="7"/>
      <c r="F317" s="7"/>
      <c r="G317" s="7"/>
      <c r="J317" s="7"/>
    </row>
    <row r="318" spans="3:10" ht="15" x14ac:dyDescent="0.25">
      <c r="C318" s="7"/>
      <c r="D318" s="7"/>
      <c r="E318" s="7"/>
      <c r="F318" s="7"/>
      <c r="G318" s="7"/>
      <c r="J318" s="7"/>
    </row>
    <row r="319" spans="3:10" ht="15" x14ac:dyDescent="0.25">
      <c r="C319" s="7"/>
      <c r="D319" s="7"/>
      <c r="E319" s="7"/>
      <c r="F319" s="7"/>
      <c r="G319" s="7"/>
      <c r="J319" s="7"/>
    </row>
    <row r="320" spans="3:10" ht="15" x14ac:dyDescent="0.25">
      <c r="C320" s="7"/>
      <c r="D320" s="7"/>
      <c r="E320" s="7"/>
      <c r="F320" s="7"/>
      <c r="G320" s="7"/>
      <c r="J320" s="7"/>
    </row>
    <row r="321" spans="3:10" ht="15" x14ac:dyDescent="0.25">
      <c r="C321" s="7"/>
      <c r="D321" s="7"/>
      <c r="E321" s="7"/>
      <c r="F321" s="7"/>
      <c r="G321" s="7"/>
      <c r="J321" s="7"/>
    </row>
    <row r="322" spans="3:10" ht="15" x14ac:dyDescent="0.25">
      <c r="C322" s="7"/>
      <c r="D322" s="7"/>
      <c r="E322" s="7"/>
      <c r="F322" s="7"/>
      <c r="G322" s="7"/>
      <c r="J322" s="7"/>
    </row>
    <row r="323" spans="3:10" ht="15" x14ac:dyDescent="0.25">
      <c r="C323" s="7"/>
      <c r="D323" s="7"/>
      <c r="E323" s="7"/>
      <c r="F323" s="7"/>
      <c r="G323" s="7"/>
      <c r="J323" s="7"/>
    </row>
    <row r="324" spans="3:10" ht="15" x14ac:dyDescent="0.25">
      <c r="C324" s="7"/>
      <c r="D324" s="7"/>
      <c r="E324" s="7"/>
      <c r="F324" s="7"/>
      <c r="G324" s="7"/>
      <c r="J324" s="7"/>
    </row>
    <row r="325" spans="3:10" ht="15" x14ac:dyDescent="0.25">
      <c r="C325" s="7"/>
      <c r="D325" s="7"/>
      <c r="E325" s="7"/>
      <c r="F325" s="7"/>
      <c r="G325" s="7"/>
      <c r="J325" s="7"/>
    </row>
    <row r="326" spans="3:10" ht="15" x14ac:dyDescent="0.25">
      <c r="C326" s="7"/>
      <c r="D326" s="7"/>
      <c r="E326" s="7"/>
      <c r="F326" s="7"/>
      <c r="G326" s="7"/>
      <c r="J326" s="7"/>
    </row>
    <row r="327" spans="3:10" ht="15" x14ac:dyDescent="0.25">
      <c r="C327" s="7"/>
      <c r="D327" s="7"/>
      <c r="E327" s="7"/>
      <c r="F327" s="7"/>
      <c r="G327" s="7"/>
      <c r="J327" s="7"/>
    </row>
    <row r="328" spans="3:10" ht="15" x14ac:dyDescent="0.25">
      <c r="C328" s="7"/>
      <c r="D328" s="7"/>
      <c r="E328" s="7"/>
      <c r="F328" s="7"/>
      <c r="G328" s="7"/>
      <c r="J328" s="7"/>
    </row>
    <row r="329" spans="3:10" ht="15" x14ac:dyDescent="0.25">
      <c r="C329" s="7"/>
      <c r="D329" s="7"/>
      <c r="E329" s="7"/>
      <c r="F329" s="7"/>
      <c r="G329" s="7"/>
      <c r="J329" s="7"/>
    </row>
    <row r="330" spans="3:10" ht="15" x14ac:dyDescent="0.25">
      <c r="C330" s="7"/>
      <c r="D330" s="7"/>
      <c r="E330" s="7"/>
      <c r="F330" s="7"/>
      <c r="G330" s="7"/>
      <c r="J330" s="7"/>
    </row>
    <row r="331" spans="3:10" ht="15" x14ac:dyDescent="0.25">
      <c r="C331" s="7"/>
      <c r="D331" s="7"/>
      <c r="E331" s="7"/>
      <c r="F331" s="7"/>
      <c r="G331" s="7"/>
      <c r="J331" s="7"/>
    </row>
    <row r="332" spans="3:10" ht="15" x14ac:dyDescent="0.25">
      <c r="C332" s="7"/>
      <c r="D332" s="7"/>
      <c r="E332" s="7"/>
      <c r="F332" s="7"/>
      <c r="G332" s="7"/>
      <c r="J332" s="7"/>
    </row>
    <row r="333" spans="3:10" ht="15" x14ac:dyDescent="0.25">
      <c r="C333" s="7"/>
      <c r="D333" s="7"/>
      <c r="E333" s="7"/>
      <c r="F333" s="7"/>
      <c r="G333" s="7"/>
      <c r="J333" s="7"/>
    </row>
    <row r="334" spans="3:10" ht="15" x14ac:dyDescent="0.25">
      <c r="C334" s="7"/>
      <c r="D334" s="7"/>
      <c r="E334" s="7"/>
      <c r="F334" s="7"/>
      <c r="G334" s="7"/>
      <c r="J334" s="7"/>
    </row>
    <row r="335" spans="3:10" ht="15" x14ac:dyDescent="0.25">
      <c r="C335" s="7"/>
      <c r="D335" s="7"/>
      <c r="E335" s="7"/>
      <c r="F335" s="7"/>
      <c r="G335" s="7"/>
      <c r="J335" s="7"/>
    </row>
    <row r="336" spans="3:10" ht="15" x14ac:dyDescent="0.25">
      <c r="C336" s="7"/>
      <c r="D336" s="7"/>
      <c r="E336" s="7"/>
      <c r="F336" s="7"/>
      <c r="G336" s="7"/>
      <c r="J336" s="7"/>
    </row>
    <row r="337" spans="3:10" ht="15" x14ac:dyDescent="0.25">
      <c r="C337" s="7"/>
      <c r="D337" s="7"/>
      <c r="E337" s="7"/>
      <c r="F337" s="7"/>
      <c r="G337" s="7"/>
      <c r="J337" s="7"/>
    </row>
    <row r="338" spans="3:10" ht="15" x14ac:dyDescent="0.25">
      <c r="C338" s="7"/>
      <c r="D338" s="7"/>
      <c r="E338" s="7"/>
      <c r="F338" s="7"/>
      <c r="G338" s="7"/>
      <c r="J338" s="7"/>
    </row>
    <row r="339" spans="3:10" ht="15" x14ac:dyDescent="0.25">
      <c r="C339" s="7"/>
      <c r="D339" s="7"/>
      <c r="E339" s="7"/>
      <c r="F339" s="7"/>
      <c r="G339" s="7"/>
      <c r="J339" s="7"/>
    </row>
    <row r="340" spans="3:10" ht="15" x14ac:dyDescent="0.25">
      <c r="C340" s="7"/>
      <c r="D340" s="7"/>
      <c r="E340" s="7"/>
      <c r="F340" s="7"/>
      <c r="G340" s="7"/>
      <c r="J340" s="7"/>
    </row>
    <row r="341" spans="3:10" ht="15" x14ac:dyDescent="0.25">
      <c r="C341" s="7"/>
      <c r="D341" s="7"/>
      <c r="E341" s="7"/>
      <c r="F341" s="7"/>
      <c r="G341" s="7"/>
      <c r="J341" s="7"/>
    </row>
    <row r="342" spans="3:10" ht="15" x14ac:dyDescent="0.25">
      <c r="C342" s="7"/>
      <c r="D342" s="7"/>
      <c r="E342" s="7"/>
      <c r="F342" s="7"/>
      <c r="G342" s="7"/>
      <c r="J342" s="7"/>
    </row>
    <row r="343" spans="3:10" ht="15" x14ac:dyDescent="0.25">
      <c r="C343" s="7"/>
      <c r="D343" s="7"/>
      <c r="E343" s="7"/>
      <c r="F343" s="7"/>
      <c r="G343" s="7"/>
      <c r="J343" s="7"/>
    </row>
    <row r="344" spans="3:10" ht="15" x14ac:dyDescent="0.25">
      <c r="C344" s="7"/>
      <c r="D344" s="7"/>
      <c r="E344" s="7"/>
      <c r="F344" s="7"/>
      <c r="G344" s="7"/>
      <c r="J344" s="7"/>
    </row>
    <row r="345" spans="3:10" ht="15" x14ac:dyDescent="0.25">
      <c r="C345" s="7"/>
      <c r="D345" s="7"/>
      <c r="E345" s="7"/>
      <c r="F345" s="7"/>
      <c r="G345" s="7"/>
      <c r="J345" s="7"/>
    </row>
    <row r="346" spans="3:10" ht="15" x14ac:dyDescent="0.25">
      <c r="C346" s="7"/>
      <c r="D346" s="7"/>
      <c r="E346" s="7"/>
      <c r="F346" s="7"/>
      <c r="G346" s="7"/>
      <c r="J346" s="7"/>
    </row>
    <row r="347" spans="3:10" ht="15" x14ac:dyDescent="0.25">
      <c r="C347" s="7"/>
      <c r="D347" s="7"/>
      <c r="E347" s="7"/>
      <c r="F347" s="7"/>
      <c r="G347" s="7"/>
      <c r="J347" s="7"/>
    </row>
    <row r="348" spans="3:10" ht="15" x14ac:dyDescent="0.25">
      <c r="C348" s="7"/>
      <c r="D348" s="7"/>
      <c r="E348" s="7"/>
      <c r="F348" s="7"/>
      <c r="G348" s="7"/>
      <c r="J348" s="7"/>
    </row>
    <row r="349" spans="3:10" ht="15" x14ac:dyDescent="0.25">
      <c r="C349" s="7"/>
      <c r="D349" s="7"/>
      <c r="E349" s="7"/>
      <c r="F349" s="7"/>
      <c r="G349" s="7"/>
      <c r="J349" s="7"/>
    </row>
    <row r="350" spans="3:10" ht="15" x14ac:dyDescent="0.25">
      <c r="C350" s="7"/>
      <c r="D350" s="7"/>
      <c r="E350" s="7"/>
      <c r="F350" s="7"/>
      <c r="G350" s="7"/>
      <c r="J350" s="7"/>
    </row>
    <row r="351" spans="3:10" ht="15" x14ac:dyDescent="0.25">
      <c r="C351" s="7"/>
      <c r="D351" s="7"/>
      <c r="E351" s="7"/>
      <c r="F351" s="7"/>
      <c r="G351" s="7"/>
      <c r="J351" s="7"/>
    </row>
    <row r="352" spans="3:10" ht="15" x14ac:dyDescent="0.25">
      <c r="C352" s="7"/>
      <c r="D352" s="7"/>
      <c r="E352" s="7"/>
      <c r="F352" s="7"/>
      <c r="G352" s="7"/>
      <c r="J352" s="7"/>
    </row>
    <row r="353" spans="3:10" ht="15" x14ac:dyDescent="0.25">
      <c r="C353" s="7"/>
      <c r="D353" s="7"/>
      <c r="E353" s="7"/>
      <c r="F353" s="7"/>
      <c r="G353" s="7"/>
      <c r="J353" s="7"/>
    </row>
    <row r="354" spans="3:10" ht="15" x14ac:dyDescent="0.25">
      <c r="C354" s="7"/>
      <c r="D354" s="7"/>
      <c r="E354" s="7"/>
      <c r="F354" s="7"/>
      <c r="G354" s="7"/>
      <c r="J354" s="7"/>
    </row>
    <row r="355" spans="3:10" ht="15" x14ac:dyDescent="0.25">
      <c r="C355" s="7"/>
      <c r="D355" s="7"/>
      <c r="E355" s="7"/>
      <c r="F355" s="7"/>
      <c r="G355" s="7"/>
      <c r="J355" s="7"/>
    </row>
    <row r="356" spans="3:10" ht="15" x14ac:dyDescent="0.25">
      <c r="C356" s="7"/>
      <c r="D356" s="7"/>
      <c r="E356" s="7"/>
      <c r="F356" s="7"/>
      <c r="G356" s="7"/>
      <c r="J356" s="7"/>
    </row>
    <row r="357" spans="3:10" ht="15" x14ac:dyDescent="0.25">
      <c r="C357" s="7"/>
      <c r="D357" s="7"/>
      <c r="E357" s="7"/>
      <c r="F357" s="7"/>
      <c r="G357" s="7"/>
      <c r="J357" s="7"/>
    </row>
    <row r="358" spans="3:10" ht="15" x14ac:dyDescent="0.25">
      <c r="C358" s="7"/>
      <c r="D358" s="7"/>
      <c r="E358" s="7"/>
      <c r="F358" s="7"/>
      <c r="G358" s="7"/>
      <c r="J358" s="7"/>
    </row>
    <row r="359" spans="3:10" ht="15" x14ac:dyDescent="0.25">
      <c r="C359" s="7"/>
      <c r="D359" s="7"/>
      <c r="E359" s="7"/>
      <c r="F359" s="7"/>
      <c r="G359" s="7"/>
      <c r="J359" s="7"/>
    </row>
    <row r="360" spans="3:10" ht="15" x14ac:dyDescent="0.25">
      <c r="C360" s="7"/>
      <c r="D360" s="7"/>
      <c r="E360" s="7"/>
      <c r="F360" s="7"/>
      <c r="G360" s="7"/>
      <c r="J360" s="7"/>
    </row>
    <row r="361" spans="3:10" ht="15" x14ac:dyDescent="0.25">
      <c r="C361" s="7"/>
      <c r="D361" s="7"/>
      <c r="E361" s="7"/>
      <c r="F361" s="7"/>
      <c r="G361" s="7"/>
      <c r="J361" s="7"/>
    </row>
    <row r="362" spans="3:10" ht="15" x14ac:dyDescent="0.25">
      <c r="C362" s="7"/>
      <c r="D362" s="7"/>
      <c r="E362" s="7"/>
      <c r="F362" s="7"/>
      <c r="G362" s="7"/>
      <c r="J362" s="7"/>
    </row>
    <row r="363" spans="3:10" ht="15" x14ac:dyDescent="0.25">
      <c r="C363" s="7"/>
      <c r="D363" s="7"/>
      <c r="E363" s="7"/>
      <c r="F363" s="7"/>
      <c r="G363" s="7"/>
      <c r="J363" s="7"/>
    </row>
    <row r="364" spans="3:10" ht="15" x14ac:dyDescent="0.25">
      <c r="C364" s="7"/>
      <c r="D364" s="7"/>
      <c r="E364" s="7"/>
      <c r="F364" s="7"/>
      <c r="G364" s="7"/>
      <c r="J364" s="7"/>
    </row>
    <row r="365" spans="3:10" ht="15" x14ac:dyDescent="0.25">
      <c r="C365" s="7"/>
      <c r="D365" s="7"/>
      <c r="E365" s="7"/>
      <c r="F365" s="7"/>
      <c r="G365" s="7"/>
      <c r="J365" s="7"/>
    </row>
    <row r="366" spans="3:10" ht="15" x14ac:dyDescent="0.25">
      <c r="C366" s="7"/>
      <c r="D366" s="7"/>
      <c r="E366" s="7"/>
      <c r="F366" s="7"/>
      <c r="G366" s="7"/>
      <c r="J366" s="7"/>
    </row>
    <row r="367" spans="3:10" ht="15" x14ac:dyDescent="0.25">
      <c r="C367" s="7"/>
      <c r="D367" s="7"/>
      <c r="E367" s="7"/>
      <c r="F367" s="7"/>
      <c r="G367" s="7"/>
      <c r="J367" s="7"/>
    </row>
    <row r="368" spans="3:10" ht="15" x14ac:dyDescent="0.25">
      <c r="C368" s="7"/>
      <c r="D368" s="7"/>
      <c r="E368" s="7"/>
      <c r="F368" s="7"/>
      <c r="G368" s="7"/>
      <c r="J368" s="7"/>
    </row>
    <row r="369" spans="3:10" ht="15" x14ac:dyDescent="0.25">
      <c r="C369" s="7"/>
      <c r="D369" s="7"/>
      <c r="E369" s="7"/>
      <c r="F369" s="7"/>
      <c r="G369" s="7"/>
      <c r="J369" s="7"/>
    </row>
    <row r="370" spans="3:10" ht="15" x14ac:dyDescent="0.25">
      <c r="C370" s="7"/>
      <c r="D370" s="7"/>
      <c r="E370" s="7"/>
      <c r="F370" s="7"/>
      <c r="G370" s="7"/>
      <c r="J370" s="7"/>
    </row>
    <row r="371" spans="3:10" ht="15" x14ac:dyDescent="0.25">
      <c r="C371" s="7"/>
      <c r="D371" s="7"/>
      <c r="E371" s="7"/>
      <c r="F371" s="7"/>
      <c r="G371" s="7"/>
      <c r="J371" s="7"/>
    </row>
    <row r="372" spans="3:10" ht="15" x14ac:dyDescent="0.25">
      <c r="C372" s="7"/>
      <c r="D372" s="7"/>
      <c r="E372" s="7"/>
      <c r="F372" s="7"/>
      <c r="G372" s="7"/>
      <c r="J372" s="7"/>
    </row>
    <row r="373" spans="3:10" ht="15" x14ac:dyDescent="0.25">
      <c r="C373" s="7"/>
      <c r="D373" s="7"/>
      <c r="E373" s="7"/>
      <c r="F373" s="7"/>
      <c r="G373" s="7"/>
      <c r="J373" s="7"/>
    </row>
    <row r="374" spans="3:10" ht="15" x14ac:dyDescent="0.25">
      <c r="C374" s="7"/>
      <c r="D374" s="7"/>
      <c r="E374" s="7"/>
      <c r="F374" s="7"/>
      <c r="G374" s="7"/>
      <c r="J374" s="7"/>
    </row>
    <row r="375" spans="3:10" ht="15" x14ac:dyDescent="0.25">
      <c r="C375" s="7"/>
      <c r="D375" s="7"/>
      <c r="E375" s="7"/>
      <c r="F375" s="7"/>
      <c r="G375" s="7"/>
      <c r="J375" s="7"/>
    </row>
    <row r="376" spans="3:10" ht="15" x14ac:dyDescent="0.25">
      <c r="C376" s="7"/>
      <c r="D376" s="7"/>
      <c r="E376" s="7"/>
      <c r="F376" s="7"/>
      <c r="G376" s="7"/>
      <c r="J376" s="7"/>
    </row>
    <row r="377" spans="3:10" ht="15" x14ac:dyDescent="0.25">
      <c r="C377" s="7"/>
      <c r="D377" s="7"/>
      <c r="E377" s="7"/>
      <c r="F377" s="7"/>
      <c r="G377" s="7"/>
      <c r="J377" s="7"/>
    </row>
    <row r="378" spans="3:10" ht="15" x14ac:dyDescent="0.25">
      <c r="C378" s="7"/>
      <c r="D378" s="7"/>
      <c r="E378" s="7"/>
      <c r="F378" s="7"/>
      <c r="G378" s="7"/>
      <c r="J378" s="7"/>
    </row>
    <row r="379" spans="3:10" ht="15" x14ac:dyDescent="0.25">
      <c r="C379" s="7"/>
      <c r="D379" s="7"/>
      <c r="E379" s="7"/>
      <c r="F379" s="7"/>
      <c r="G379" s="7"/>
      <c r="J379" s="7"/>
    </row>
    <row r="380" spans="3:10" ht="15" x14ac:dyDescent="0.25">
      <c r="C380" s="7"/>
      <c r="D380" s="7"/>
      <c r="E380" s="7"/>
      <c r="F380" s="7"/>
      <c r="G380" s="7"/>
      <c r="J380" s="7"/>
    </row>
    <row r="381" spans="3:10" ht="15" x14ac:dyDescent="0.25">
      <c r="C381" s="7"/>
      <c r="D381" s="7"/>
      <c r="E381" s="7"/>
      <c r="F381" s="7"/>
      <c r="G381" s="7"/>
      <c r="J381" s="7"/>
    </row>
    <row r="382" spans="3:10" ht="15" x14ac:dyDescent="0.25">
      <c r="C382" s="7"/>
      <c r="D382" s="7"/>
      <c r="E382" s="7"/>
      <c r="F382" s="7"/>
      <c r="G382" s="7"/>
      <c r="J382" s="7"/>
    </row>
    <row r="383" spans="3:10" ht="15" x14ac:dyDescent="0.25">
      <c r="C383" s="7"/>
      <c r="D383" s="7"/>
      <c r="E383" s="7"/>
      <c r="F383" s="7"/>
      <c r="G383" s="7"/>
      <c r="J383" s="7"/>
    </row>
    <row r="384" spans="3:10" ht="15" x14ac:dyDescent="0.25">
      <c r="C384" s="7"/>
      <c r="D384" s="7"/>
      <c r="E384" s="7"/>
      <c r="F384" s="7"/>
      <c r="G384" s="7"/>
      <c r="J384" s="7"/>
    </row>
    <row r="385" spans="3:10" ht="15" x14ac:dyDescent="0.25">
      <c r="C385" s="7"/>
      <c r="D385" s="7"/>
      <c r="E385" s="7"/>
      <c r="F385" s="7"/>
      <c r="G385" s="7"/>
      <c r="J385" s="7"/>
    </row>
    <row r="386" spans="3:10" ht="15" x14ac:dyDescent="0.25">
      <c r="C386" s="7"/>
      <c r="D386" s="7"/>
      <c r="E386" s="7"/>
      <c r="F386" s="7"/>
      <c r="G386" s="7"/>
      <c r="J386" s="7"/>
    </row>
    <row r="387" spans="3:10" ht="15" x14ac:dyDescent="0.25">
      <c r="C387" s="7"/>
      <c r="D387" s="7"/>
      <c r="E387" s="7"/>
      <c r="F387" s="7"/>
      <c r="G387" s="7"/>
      <c r="J387" s="7"/>
    </row>
    <row r="388" spans="3:10" ht="15" x14ac:dyDescent="0.25">
      <c r="C388" s="7"/>
      <c r="D388" s="7"/>
      <c r="E388" s="7"/>
      <c r="F388" s="7"/>
      <c r="G388" s="7"/>
      <c r="J388" s="7"/>
    </row>
    <row r="389" spans="3:10" ht="15" x14ac:dyDescent="0.25">
      <c r="C389" s="7"/>
      <c r="D389" s="7"/>
      <c r="E389" s="7"/>
      <c r="F389" s="7"/>
      <c r="G389" s="7"/>
      <c r="J389" s="7"/>
    </row>
    <row r="390" spans="3:10" ht="15" x14ac:dyDescent="0.25">
      <c r="C390" s="7"/>
      <c r="D390" s="7"/>
      <c r="E390" s="7"/>
      <c r="F390" s="7"/>
      <c r="G390" s="7"/>
      <c r="J390" s="7"/>
    </row>
    <row r="391" spans="3:10" ht="15" x14ac:dyDescent="0.25">
      <c r="C391" s="7"/>
      <c r="D391" s="7"/>
      <c r="E391" s="7"/>
      <c r="F391" s="7"/>
      <c r="G391" s="7"/>
      <c r="J391" s="7"/>
    </row>
    <row r="392" spans="3:10" ht="15" x14ac:dyDescent="0.25">
      <c r="C392" s="7"/>
      <c r="D392" s="7"/>
      <c r="E392" s="7"/>
      <c r="F392" s="7"/>
      <c r="G392" s="7"/>
      <c r="J392" s="7"/>
    </row>
    <row r="393" spans="3:10" ht="15" x14ac:dyDescent="0.25">
      <c r="C393" s="7"/>
      <c r="D393" s="7"/>
      <c r="E393" s="7"/>
      <c r="F393" s="7"/>
      <c r="G393" s="7"/>
      <c r="J393" s="7"/>
    </row>
    <row r="394" spans="3:10" ht="15" x14ac:dyDescent="0.25">
      <c r="C394" s="7"/>
      <c r="D394" s="7"/>
      <c r="E394" s="7"/>
      <c r="F394" s="7"/>
      <c r="G394" s="7"/>
      <c r="J394" s="7"/>
    </row>
    <row r="395" spans="3:10" ht="15" x14ac:dyDescent="0.25">
      <c r="C395" s="7"/>
      <c r="D395" s="7"/>
      <c r="E395" s="7"/>
      <c r="F395" s="7"/>
      <c r="G395" s="7"/>
      <c r="J395" s="7"/>
    </row>
    <row r="396" spans="3:10" ht="15" x14ac:dyDescent="0.25">
      <c r="C396" s="7"/>
      <c r="D396" s="7"/>
      <c r="E396" s="7"/>
      <c r="F396" s="7"/>
      <c r="G396" s="7"/>
      <c r="J396" s="7"/>
    </row>
    <row r="397" spans="3:10" ht="15" x14ac:dyDescent="0.25">
      <c r="C397" s="7"/>
      <c r="D397" s="7"/>
      <c r="E397" s="7"/>
      <c r="F397" s="7"/>
      <c r="G397" s="7"/>
      <c r="J397" s="7"/>
    </row>
    <row r="398" spans="3:10" ht="15" x14ac:dyDescent="0.25">
      <c r="C398" s="7"/>
      <c r="D398" s="7"/>
      <c r="E398" s="7"/>
      <c r="F398" s="7"/>
      <c r="G398" s="7"/>
      <c r="J398" s="7"/>
    </row>
    <row r="399" spans="3:10" ht="15" x14ac:dyDescent="0.25">
      <c r="C399" s="7"/>
      <c r="D399" s="7"/>
      <c r="E399" s="7"/>
      <c r="F399" s="7"/>
      <c r="G399" s="7"/>
      <c r="J399" s="7"/>
    </row>
    <row r="400" spans="3:10" ht="15" x14ac:dyDescent="0.25">
      <c r="C400" s="7"/>
      <c r="D400" s="7"/>
      <c r="E400" s="7"/>
      <c r="F400" s="7"/>
      <c r="G400" s="7"/>
      <c r="J400" s="7"/>
    </row>
    <row r="401" spans="3:10" ht="15" x14ac:dyDescent="0.25">
      <c r="C401" s="7"/>
      <c r="D401" s="7"/>
      <c r="E401" s="7"/>
      <c r="F401" s="7"/>
      <c r="G401" s="7"/>
      <c r="J401" s="7"/>
    </row>
    <row r="402" spans="3:10" ht="15" x14ac:dyDescent="0.25">
      <c r="C402" s="7"/>
      <c r="D402" s="7"/>
      <c r="E402" s="7"/>
      <c r="F402" s="7"/>
      <c r="G402" s="7"/>
      <c r="J402" s="7"/>
    </row>
    <row r="403" spans="3:10" ht="15" x14ac:dyDescent="0.25">
      <c r="C403" s="7"/>
      <c r="D403" s="7"/>
      <c r="E403" s="7"/>
      <c r="F403" s="7"/>
      <c r="G403" s="7"/>
      <c r="J403" s="7"/>
    </row>
    <row r="404" spans="3:10" ht="15" x14ac:dyDescent="0.25">
      <c r="C404" s="7"/>
      <c r="D404" s="7"/>
      <c r="E404" s="7"/>
      <c r="F404" s="7"/>
      <c r="G404" s="7"/>
      <c r="J404" s="7"/>
    </row>
    <row r="405" spans="3:10" ht="15" x14ac:dyDescent="0.25">
      <c r="C405" s="7"/>
      <c r="D405" s="7"/>
      <c r="E405" s="7"/>
      <c r="F405" s="7"/>
      <c r="G405" s="7"/>
      <c r="J405" s="7"/>
    </row>
    <row r="406" spans="3:10" ht="15" x14ac:dyDescent="0.25">
      <c r="C406" s="7"/>
      <c r="D406" s="7"/>
      <c r="E406" s="7"/>
      <c r="F406" s="7"/>
      <c r="G406" s="7"/>
      <c r="J406" s="7"/>
    </row>
    <row r="407" spans="3:10" ht="15" x14ac:dyDescent="0.25">
      <c r="C407" s="7"/>
      <c r="D407" s="7"/>
      <c r="E407" s="7"/>
      <c r="F407" s="7"/>
      <c r="G407" s="7"/>
      <c r="J407" s="7"/>
    </row>
    <row r="408" spans="3:10" ht="15" x14ac:dyDescent="0.25">
      <c r="C408" s="7"/>
      <c r="D408" s="7"/>
      <c r="E408" s="7"/>
      <c r="F408" s="7"/>
      <c r="G408" s="7"/>
      <c r="J408" s="7"/>
    </row>
    <row r="409" spans="3:10" ht="15" x14ac:dyDescent="0.25">
      <c r="C409" s="7"/>
      <c r="D409" s="7"/>
      <c r="E409" s="7"/>
      <c r="F409" s="7"/>
      <c r="G409" s="7"/>
      <c r="J409" s="7"/>
    </row>
    <row r="410" spans="3:10" ht="15" x14ac:dyDescent="0.25">
      <c r="C410" s="7"/>
      <c r="D410" s="7"/>
      <c r="E410" s="7"/>
      <c r="F410" s="7"/>
      <c r="G410" s="7"/>
      <c r="J410" s="7"/>
    </row>
    <row r="411" spans="3:10" ht="15" x14ac:dyDescent="0.25">
      <c r="C411" s="7"/>
      <c r="D411" s="7"/>
      <c r="E411" s="7"/>
      <c r="F411" s="7"/>
      <c r="G411" s="7"/>
      <c r="J411" s="7"/>
    </row>
    <row r="412" spans="3:10" ht="15" x14ac:dyDescent="0.25">
      <c r="C412" s="7"/>
      <c r="D412" s="7"/>
      <c r="E412" s="7"/>
      <c r="F412" s="7"/>
      <c r="G412" s="7"/>
      <c r="J412" s="7"/>
    </row>
    <row r="413" spans="3:10" ht="15" x14ac:dyDescent="0.25">
      <c r="C413" s="7"/>
      <c r="D413" s="7"/>
      <c r="E413" s="7"/>
      <c r="F413" s="7"/>
      <c r="G413" s="7"/>
      <c r="J413" s="7"/>
    </row>
    <row r="414" spans="3:10" ht="15" x14ac:dyDescent="0.25">
      <c r="C414" s="7"/>
      <c r="D414" s="7"/>
      <c r="E414" s="7"/>
      <c r="F414" s="7"/>
      <c r="G414" s="7"/>
      <c r="J414" s="7"/>
    </row>
    <row r="415" spans="3:10" ht="15" x14ac:dyDescent="0.25">
      <c r="C415" s="7"/>
      <c r="D415" s="7"/>
      <c r="E415" s="7"/>
      <c r="F415" s="7"/>
      <c r="G415" s="7"/>
      <c r="J415" s="7"/>
    </row>
    <row r="416" spans="3:10" ht="15" x14ac:dyDescent="0.25">
      <c r="C416" s="7"/>
      <c r="D416" s="7"/>
      <c r="E416" s="7"/>
      <c r="F416" s="7"/>
      <c r="G416" s="7"/>
      <c r="J416" s="7"/>
    </row>
    <row r="417" spans="3:10" ht="15" x14ac:dyDescent="0.25">
      <c r="C417" s="7"/>
      <c r="D417" s="7"/>
      <c r="E417" s="7"/>
      <c r="F417" s="7"/>
      <c r="G417" s="7"/>
      <c r="J417" s="7"/>
    </row>
    <row r="418" spans="3:10" ht="15" x14ac:dyDescent="0.25">
      <c r="C418" s="7"/>
      <c r="D418" s="7"/>
      <c r="E418" s="7"/>
      <c r="F418" s="7"/>
      <c r="G418" s="7"/>
      <c r="J418" s="7"/>
    </row>
    <row r="419" spans="3:10" ht="15" x14ac:dyDescent="0.25">
      <c r="C419" s="7"/>
      <c r="D419" s="7"/>
      <c r="E419" s="7"/>
      <c r="F419" s="7"/>
      <c r="G419" s="7"/>
      <c r="J419" s="7"/>
    </row>
    <row r="420" spans="3:10" ht="15" x14ac:dyDescent="0.25">
      <c r="C420" s="7"/>
      <c r="D420" s="7"/>
      <c r="E420" s="7"/>
      <c r="F420" s="7"/>
      <c r="G420" s="7"/>
      <c r="J420" s="7"/>
    </row>
    <row r="421" spans="3:10" ht="15" x14ac:dyDescent="0.25">
      <c r="C421" s="7"/>
      <c r="D421" s="7"/>
      <c r="E421" s="7"/>
      <c r="F421" s="7"/>
      <c r="G421" s="7"/>
      <c r="J421" s="7"/>
    </row>
    <row r="422" spans="3:10" ht="15" x14ac:dyDescent="0.25">
      <c r="C422" s="7"/>
      <c r="D422" s="7"/>
      <c r="E422" s="7"/>
      <c r="F422" s="7"/>
      <c r="G422" s="7"/>
      <c r="J422" s="7"/>
    </row>
    <row r="423" spans="3:10" ht="15" x14ac:dyDescent="0.25">
      <c r="C423" s="7"/>
      <c r="D423" s="7"/>
      <c r="E423" s="7"/>
      <c r="F423" s="7"/>
      <c r="G423" s="7"/>
      <c r="J423" s="7"/>
    </row>
    <row r="424" spans="3:10" ht="15" x14ac:dyDescent="0.25">
      <c r="C424" s="7"/>
      <c r="D424" s="7"/>
      <c r="E424" s="7"/>
      <c r="F424" s="7"/>
      <c r="G424" s="7"/>
      <c r="J424" s="7"/>
    </row>
    <row r="425" spans="3:10" ht="15" x14ac:dyDescent="0.25">
      <c r="C425" s="7"/>
      <c r="D425" s="7"/>
      <c r="E425" s="7"/>
      <c r="F425" s="7"/>
      <c r="G425" s="7"/>
      <c r="J425" s="7"/>
    </row>
    <row r="426" spans="3:10" ht="15" x14ac:dyDescent="0.25">
      <c r="C426" s="7"/>
      <c r="D426" s="7"/>
      <c r="E426" s="7"/>
      <c r="F426" s="7"/>
      <c r="G426" s="7"/>
      <c r="J426" s="7"/>
    </row>
    <row r="427" spans="3:10" ht="15" x14ac:dyDescent="0.25">
      <c r="C427" s="7"/>
      <c r="D427" s="7"/>
      <c r="E427" s="7"/>
      <c r="F427" s="7"/>
      <c r="G427" s="7"/>
      <c r="J427" s="7"/>
    </row>
    <row r="428" spans="3:10" ht="15" x14ac:dyDescent="0.25">
      <c r="C428" s="7"/>
      <c r="D428" s="7"/>
      <c r="E428" s="7"/>
      <c r="F428" s="7"/>
      <c r="G428" s="7"/>
      <c r="J428" s="7"/>
    </row>
    <row r="429" spans="3:10" ht="15" x14ac:dyDescent="0.25">
      <c r="C429" s="7"/>
      <c r="D429" s="7"/>
      <c r="E429" s="7"/>
      <c r="F429" s="7"/>
      <c r="G429" s="7"/>
      <c r="J429" s="7"/>
    </row>
    <row r="430" spans="3:10" ht="15" x14ac:dyDescent="0.25">
      <c r="C430" s="7"/>
      <c r="D430" s="7"/>
      <c r="E430" s="7"/>
      <c r="F430" s="7"/>
      <c r="G430" s="7"/>
      <c r="J430" s="7"/>
    </row>
    <row r="431" spans="3:10" ht="15" x14ac:dyDescent="0.25">
      <c r="C431" s="7"/>
      <c r="D431" s="7"/>
      <c r="E431" s="7"/>
      <c r="F431" s="7"/>
      <c r="G431" s="7"/>
      <c r="J431" s="7"/>
    </row>
    <row r="432" spans="3:10" ht="15" x14ac:dyDescent="0.25">
      <c r="C432" s="7"/>
      <c r="D432" s="7"/>
      <c r="E432" s="7"/>
      <c r="F432" s="7"/>
      <c r="G432" s="7"/>
      <c r="J432" s="7"/>
    </row>
    <row r="433" spans="3:10" ht="15" x14ac:dyDescent="0.25">
      <c r="C433" s="7"/>
      <c r="D433" s="7"/>
      <c r="E433" s="7"/>
      <c r="F433" s="7"/>
      <c r="G433" s="7"/>
      <c r="J433" s="7"/>
    </row>
    <row r="434" spans="3:10" ht="15" x14ac:dyDescent="0.25">
      <c r="C434" s="7"/>
      <c r="D434" s="7"/>
      <c r="E434" s="7"/>
      <c r="F434" s="7"/>
      <c r="G434" s="7"/>
      <c r="J434" s="7"/>
    </row>
    <row r="435" spans="3:10" ht="15" x14ac:dyDescent="0.25">
      <c r="C435" s="7"/>
      <c r="D435" s="7"/>
      <c r="E435" s="7"/>
      <c r="F435" s="7"/>
      <c r="G435" s="7"/>
      <c r="J435" s="7"/>
    </row>
    <row r="436" spans="3:10" ht="15" x14ac:dyDescent="0.25">
      <c r="C436" s="7"/>
      <c r="D436" s="7"/>
      <c r="E436" s="7"/>
      <c r="F436" s="7"/>
      <c r="G436" s="7"/>
      <c r="J436" s="7"/>
    </row>
    <row r="437" spans="3:10" ht="15" x14ac:dyDescent="0.25">
      <c r="C437" s="7"/>
      <c r="D437" s="7"/>
      <c r="E437" s="7"/>
      <c r="F437" s="7"/>
      <c r="G437" s="7"/>
      <c r="J437" s="7"/>
    </row>
    <row r="438" spans="3:10" ht="15" x14ac:dyDescent="0.25">
      <c r="C438" s="7"/>
      <c r="D438" s="7"/>
      <c r="E438" s="7"/>
      <c r="F438" s="7"/>
      <c r="G438" s="7"/>
      <c r="J438" s="7"/>
    </row>
    <row r="439" spans="3:10" ht="15" x14ac:dyDescent="0.25">
      <c r="C439" s="7"/>
      <c r="D439" s="7"/>
      <c r="E439" s="7"/>
      <c r="F439" s="7"/>
      <c r="G439" s="7"/>
      <c r="J439" s="7"/>
    </row>
    <row r="440" spans="3:10" ht="15" x14ac:dyDescent="0.25">
      <c r="C440" s="7"/>
      <c r="D440" s="7"/>
      <c r="E440" s="7"/>
      <c r="F440" s="7"/>
      <c r="G440" s="7"/>
      <c r="J440" s="7"/>
    </row>
    <row r="441" spans="3:10" ht="15" x14ac:dyDescent="0.25">
      <c r="C441" s="7"/>
      <c r="D441" s="7"/>
      <c r="E441" s="7"/>
      <c r="F441" s="7"/>
      <c r="G441" s="7"/>
      <c r="J441" s="7"/>
    </row>
    <row r="442" spans="3:10" ht="15" x14ac:dyDescent="0.25">
      <c r="C442" s="7"/>
      <c r="D442" s="7"/>
      <c r="E442" s="7"/>
      <c r="F442" s="7"/>
      <c r="G442" s="7"/>
      <c r="J442" s="7"/>
    </row>
    <row r="443" spans="3:10" ht="15" x14ac:dyDescent="0.25">
      <c r="C443" s="7"/>
      <c r="D443" s="7"/>
      <c r="E443" s="7"/>
      <c r="F443" s="7"/>
      <c r="G443" s="7"/>
      <c r="J443" s="7"/>
    </row>
    <row r="444" spans="3:10" ht="15" x14ac:dyDescent="0.25">
      <c r="C444" s="7"/>
      <c r="D444" s="7"/>
      <c r="E444" s="7"/>
      <c r="F444" s="7"/>
      <c r="G444" s="7"/>
      <c r="J444" s="7"/>
    </row>
    <row r="445" spans="3:10" ht="15" x14ac:dyDescent="0.25">
      <c r="C445" s="7"/>
      <c r="D445" s="7"/>
      <c r="E445" s="7"/>
      <c r="F445" s="7"/>
      <c r="G445" s="7"/>
      <c r="J445" s="7"/>
    </row>
    <row r="446" spans="3:10" ht="15" x14ac:dyDescent="0.25">
      <c r="C446" s="7"/>
      <c r="D446" s="7"/>
      <c r="E446" s="7"/>
      <c r="F446" s="7"/>
      <c r="G446" s="7"/>
      <c r="J446" s="7"/>
    </row>
    <row r="447" spans="3:10" ht="15" x14ac:dyDescent="0.25">
      <c r="C447" s="7"/>
      <c r="D447" s="7"/>
      <c r="E447" s="7"/>
      <c r="F447" s="7"/>
      <c r="G447" s="7"/>
      <c r="J447" s="7"/>
    </row>
    <row r="448" spans="3:10" ht="15" x14ac:dyDescent="0.25">
      <c r="C448" s="7"/>
      <c r="D448" s="7"/>
      <c r="E448" s="7"/>
      <c r="F448" s="7"/>
      <c r="G448" s="7"/>
      <c r="J448" s="7"/>
    </row>
    <row r="449" spans="3:10" ht="15" x14ac:dyDescent="0.25">
      <c r="C449" s="7"/>
      <c r="D449" s="7"/>
      <c r="E449" s="7"/>
      <c r="F449" s="7"/>
      <c r="G449" s="7"/>
      <c r="J449" s="7"/>
    </row>
    <row r="450" spans="3:10" ht="15" x14ac:dyDescent="0.25">
      <c r="C450" s="7"/>
      <c r="D450" s="7"/>
      <c r="E450" s="7"/>
      <c r="F450" s="7"/>
      <c r="G450" s="7"/>
      <c r="J450" s="7"/>
    </row>
    <row r="451" spans="3:10" ht="15" x14ac:dyDescent="0.25">
      <c r="C451" s="7"/>
      <c r="D451" s="7"/>
      <c r="E451" s="7"/>
      <c r="F451" s="7"/>
      <c r="G451" s="7"/>
      <c r="J451" s="7"/>
    </row>
    <row r="452" spans="3:10" ht="15" x14ac:dyDescent="0.25">
      <c r="C452" s="7"/>
      <c r="D452" s="7"/>
      <c r="E452" s="7"/>
      <c r="F452" s="7"/>
      <c r="G452" s="7"/>
      <c r="J452" s="7"/>
    </row>
    <row r="453" spans="3:10" ht="15" x14ac:dyDescent="0.25">
      <c r="C453" s="7"/>
      <c r="D453" s="7"/>
      <c r="E453" s="7"/>
      <c r="F453" s="7"/>
      <c r="G453" s="7"/>
      <c r="J453" s="7"/>
    </row>
    <row r="454" spans="3:10" ht="15" x14ac:dyDescent="0.25">
      <c r="C454" s="7"/>
      <c r="D454" s="7"/>
      <c r="E454" s="7"/>
      <c r="F454" s="7"/>
      <c r="G454" s="7"/>
      <c r="J454" s="7"/>
    </row>
    <row r="455" spans="3:10" ht="15" x14ac:dyDescent="0.25">
      <c r="C455" s="7"/>
      <c r="D455" s="7"/>
      <c r="E455" s="7"/>
      <c r="F455" s="7"/>
      <c r="G455" s="7"/>
      <c r="J455" s="7"/>
    </row>
    <row r="456" spans="3:10" ht="15" x14ac:dyDescent="0.25">
      <c r="C456" s="7"/>
      <c r="D456" s="7"/>
      <c r="E456" s="7"/>
      <c r="F456" s="7"/>
      <c r="G456" s="7"/>
      <c r="J456" s="7"/>
    </row>
    <row r="457" spans="3:10" ht="15" x14ac:dyDescent="0.25">
      <c r="C457" s="7"/>
      <c r="D457" s="7"/>
      <c r="E457" s="7"/>
      <c r="F457" s="7"/>
      <c r="G457" s="7"/>
      <c r="J457" s="7"/>
    </row>
    <row r="458" spans="3:10" ht="15" x14ac:dyDescent="0.25">
      <c r="C458" s="7"/>
      <c r="D458" s="7"/>
      <c r="E458" s="7"/>
      <c r="F458" s="7"/>
      <c r="G458" s="7"/>
      <c r="J458" s="7"/>
    </row>
    <row r="459" spans="3:10" ht="15" x14ac:dyDescent="0.25">
      <c r="C459" s="7"/>
      <c r="D459" s="7"/>
      <c r="E459" s="7"/>
      <c r="F459" s="7"/>
      <c r="G459" s="7"/>
      <c r="J459" s="7"/>
    </row>
    <row r="460" spans="3:10" ht="15" x14ac:dyDescent="0.25">
      <c r="C460" s="7"/>
      <c r="D460" s="7"/>
      <c r="E460" s="7"/>
      <c r="F460" s="7"/>
      <c r="G460" s="7"/>
      <c r="J460" s="7"/>
    </row>
    <row r="461" spans="3:10" ht="15" x14ac:dyDescent="0.25">
      <c r="C461" s="7"/>
      <c r="D461" s="7"/>
      <c r="E461" s="7"/>
      <c r="F461" s="7"/>
      <c r="G461" s="7"/>
      <c r="J461" s="7"/>
    </row>
    <row r="462" spans="3:10" ht="15" x14ac:dyDescent="0.25">
      <c r="C462" s="7"/>
      <c r="D462" s="7"/>
      <c r="E462" s="7"/>
      <c r="F462" s="7"/>
      <c r="G462" s="7"/>
      <c r="J462" s="7"/>
    </row>
    <row r="463" spans="3:10" ht="15" x14ac:dyDescent="0.25">
      <c r="C463" s="7"/>
      <c r="D463" s="7"/>
      <c r="E463" s="7"/>
      <c r="F463" s="7"/>
      <c r="G463" s="7"/>
      <c r="J463" s="7"/>
    </row>
    <row r="464" spans="3:10" ht="15" x14ac:dyDescent="0.25">
      <c r="C464" s="7"/>
      <c r="D464" s="7"/>
      <c r="E464" s="7"/>
      <c r="F464" s="7"/>
      <c r="G464" s="7"/>
      <c r="J464" s="7"/>
    </row>
    <row r="465" spans="3:10" ht="15" x14ac:dyDescent="0.25">
      <c r="C465" s="7"/>
      <c r="D465" s="7"/>
      <c r="E465" s="7"/>
      <c r="F465" s="7"/>
      <c r="G465" s="7"/>
      <c r="J465" s="7"/>
    </row>
    <row r="466" spans="3:10" ht="15" x14ac:dyDescent="0.25">
      <c r="C466" s="7"/>
      <c r="D466" s="7"/>
      <c r="E466" s="7"/>
      <c r="F466" s="7"/>
      <c r="G466" s="7"/>
      <c r="J466" s="7"/>
    </row>
    <row r="467" spans="3:10" ht="15" x14ac:dyDescent="0.25">
      <c r="C467" s="7"/>
      <c r="D467" s="7"/>
      <c r="E467" s="7"/>
      <c r="F467" s="7"/>
      <c r="G467" s="7"/>
      <c r="J467" s="7"/>
    </row>
    <row r="468" spans="3:10" ht="15" x14ac:dyDescent="0.25">
      <c r="C468" s="7"/>
      <c r="D468" s="7"/>
      <c r="E468" s="7"/>
      <c r="F468" s="7"/>
      <c r="G468" s="7"/>
      <c r="J468" s="7"/>
    </row>
    <row r="469" spans="3:10" ht="15" x14ac:dyDescent="0.25">
      <c r="C469" s="7"/>
      <c r="D469" s="7"/>
      <c r="E469" s="7"/>
      <c r="F469" s="7"/>
      <c r="G469" s="7"/>
      <c r="J469" s="7"/>
    </row>
    <row r="470" spans="3:10" ht="15" x14ac:dyDescent="0.25">
      <c r="C470" s="7"/>
      <c r="D470" s="7"/>
      <c r="E470" s="7"/>
      <c r="F470" s="7"/>
      <c r="G470" s="7"/>
      <c r="J470" s="7"/>
    </row>
    <row r="471" spans="3:10" ht="15" x14ac:dyDescent="0.25">
      <c r="C471" s="7"/>
      <c r="D471" s="7"/>
      <c r="E471" s="7"/>
      <c r="F471" s="7"/>
      <c r="G471" s="7"/>
      <c r="J471" s="7"/>
    </row>
    <row r="472" spans="3:10" ht="15" x14ac:dyDescent="0.25">
      <c r="C472" s="7"/>
      <c r="D472" s="7"/>
      <c r="E472" s="7"/>
      <c r="F472" s="7"/>
      <c r="G472" s="7"/>
      <c r="J472" s="7"/>
    </row>
    <row r="473" spans="3:10" ht="15" x14ac:dyDescent="0.25">
      <c r="C473" s="7"/>
      <c r="D473" s="7"/>
      <c r="E473" s="7"/>
      <c r="F473" s="7"/>
      <c r="G473" s="7"/>
      <c r="J473" s="7"/>
    </row>
    <row r="474" spans="3:10" ht="15" x14ac:dyDescent="0.25">
      <c r="C474" s="7"/>
      <c r="D474" s="7"/>
      <c r="E474" s="7"/>
      <c r="F474" s="7"/>
      <c r="G474" s="7"/>
      <c r="J474" s="7"/>
    </row>
    <row r="475" spans="3:10" ht="15" x14ac:dyDescent="0.25">
      <c r="C475" s="7"/>
      <c r="D475" s="7"/>
      <c r="E475" s="7"/>
      <c r="F475" s="7"/>
      <c r="G475" s="7"/>
      <c r="J475" s="7"/>
    </row>
    <row r="476" spans="3:10" ht="15" x14ac:dyDescent="0.25">
      <c r="C476" s="7"/>
      <c r="D476" s="7"/>
      <c r="E476" s="7"/>
      <c r="F476" s="7"/>
      <c r="G476" s="7"/>
      <c r="J476" s="7"/>
    </row>
    <row r="477" spans="3:10" ht="15" x14ac:dyDescent="0.25">
      <c r="C477" s="7"/>
      <c r="D477" s="7"/>
      <c r="E477" s="7"/>
      <c r="F477" s="7"/>
      <c r="G477" s="7"/>
      <c r="J477" s="7"/>
    </row>
    <row r="478" spans="3:10" ht="15" x14ac:dyDescent="0.25">
      <c r="C478" s="7"/>
      <c r="D478" s="7"/>
      <c r="E478" s="7"/>
      <c r="F478" s="7"/>
      <c r="G478" s="7"/>
      <c r="J478" s="7"/>
    </row>
    <row r="479" spans="3:10" ht="15" x14ac:dyDescent="0.25">
      <c r="C479" s="7"/>
      <c r="D479" s="7"/>
      <c r="E479" s="7"/>
      <c r="F479" s="7"/>
      <c r="G479" s="7"/>
      <c r="J479" s="7"/>
    </row>
    <row r="480" spans="3:10" ht="15" x14ac:dyDescent="0.25">
      <c r="C480" s="7"/>
      <c r="D480" s="7"/>
      <c r="E480" s="7"/>
      <c r="F480" s="7"/>
      <c r="G480" s="7"/>
      <c r="J480" s="7"/>
    </row>
    <row r="481" spans="3:10" ht="15" x14ac:dyDescent="0.25">
      <c r="C481" s="7"/>
      <c r="D481" s="7"/>
      <c r="E481" s="7"/>
      <c r="F481" s="7"/>
      <c r="G481" s="7"/>
      <c r="J481" s="7"/>
    </row>
    <row r="482" spans="3:10" ht="15" x14ac:dyDescent="0.25">
      <c r="C482" s="7"/>
      <c r="D482" s="7"/>
      <c r="E482" s="7"/>
      <c r="F482" s="7"/>
      <c r="G482" s="7"/>
      <c r="J482" s="7"/>
    </row>
    <row r="483" spans="3:10" ht="15" x14ac:dyDescent="0.25">
      <c r="C483" s="7"/>
      <c r="D483" s="7"/>
      <c r="E483" s="7"/>
      <c r="F483" s="7"/>
      <c r="G483" s="7"/>
      <c r="J483" s="7"/>
    </row>
    <row r="484" spans="3:10" ht="15" x14ac:dyDescent="0.25">
      <c r="C484" s="7"/>
      <c r="D484" s="7"/>
      <c r="E484" s="7"/>
      <c r="F484" s="7"/>
      <c r="G484" s="7"/>
      <c r="J484" s="7"/>
    </row>
    <row r="485" spans="3:10" ht="15" x14ac:dyDescent="0.25">
      <c r="C485" s="7"/>
      <c r="D485" s="7"/>
      <c r="E485" s="7"/>
      <c r="F485" s="7"/>
      <c r="G485" s="7"/>
      <c r="J485" s="7"/>
    </row>
    <row r="486" spans="3:10" ht="15" x14ac:dyDescent="0.25">
      <c r="C486" s="7"/>
      <c r="D486" s="7"/>
      <c r="E486" s="7"/>
      <c r="F486" s="7"/>
      <c r="G486" s="7"/>
      <c r="J486" s="7"/>
    </row>
    <row r="487" spans="3:10" ht="15" x14ac:dyDescent="0.25">
      <c r="C487" s="7"/>
      <c r="D487" s="7"/>
      <c r="E487" s="7"/>
      <c r="F487" s="7"/>
      <c r="G487" s="7"/>
      <c r="J487" s="7"/>
    </row>
    <row r="488" spans="3:10" ht="15" x14ac:dyDescent="0.25">
      <c r="C488" s="7"/>
      <c r="D488" s="7"/>
      <c r="E488" s="7"/>
      <c r="F488" s="7"/>
      <c r="G488" s="7"/>
      <c r="J488" s="7"/>
    </row>
    <row r="489" spans="3:10" ht="15" x14ac:dyDescent="0.25">
      <c r="C489" s="7"/>
      <c r="D489" s="7"/>
      <c r="E489" s="7"/>
      <c r="F489" s="7"/>
      <c r="G489" s="7"/>
      <c r="J489" s="7"/>
    </row>
    <row r="490" spans="3:10" ht="15" x14ac:dyDescent="0.25">
      <c r="C490" s="7"/>
      <c r="D490" s="7"/>
      <c r="E490" s="7"/>
      <c r="F490" s="7"/>
      <c r="G490" s="7"/>
      <c r="J490" s="7"/>
    </row>
    <row r="491" spans="3:10" ht="15" x14ac:dyDescent="0.25">
      <c r="C491" s="7"/>
      <c r="D491" s="7"/>
      <c r="E491" s="7"/>
      <c r="F491" s="7"/>
      <c r="G491" s="7"/>
      <c r="J491" s="7"/>
    </row>
    <row r="492" spans="3:10" ht="15" x14ac:dyDescent="0.25">
      <c r="C492" s="7"/>
      <c r="D492" s="7"/>
      <c r="E492" s="7"/>
      <c r="F492" s="7"/>
      <c r="G492" s="7"/>
      <c r="J492" s="7"/>
    </row>
    <row r="493" spans="3:10" ht="15" x14ac:dyDescent="0.25">
      <c r="C493" s="7"/>
      <c r="D493" s="7"/>
      <c r="E493" s="7"/>
      <c r="F493" s="7"/>
      <c r="G493" s="7"/>
      <c r="J493" s="7"/>
    </row>
    <row r="494" spans="3:10" ht="15" x14ac:dyDescent="0.25">
      <c r="C494" s="7"/>
      <c r="D494" s="7"/>
      <c r="E494" s="7"/>
      <c r="F494" s="7"/>
      <c r="G494" s="7"/>
      <c r="J494" s="7"/>
    </row>
    <row r="495" spans="3:10" ht="15" x14ac:dyDescent="0.25">
      <c r="C495" s="7"/>
      <c r="D495" s="7"/>
      <c r="E495" s="7"/>
      <c r="F495" s="7"/>
      <c r="G495" s="7"/>
      <c r="J495" s="7"/>
    </row>
    <row r="496" spans="3:10" ht="15" x14ac:dyDescent="0.25">
      <c r="C496" s="7"/>
      <c r="D496" s="7"/>
      <c r="E496" s="7"/>
      <c r="F496" s="7"/>
      <c r="G496" s="7"/>
      <c r="J496" s="7"/>
    </row>
    <row r="497" spans="2:10" ht="15" x14ac:dyDescent="0.25">
      <c r="C497" s="7"/>
      <c r="D497" s="7"/>
      <c r="E497" s="7"/>
      <c r="F497" s="7"/>
      <c r="G497" s="7"/>
      <c r="J497" s="7"/>
    </row>
    <row r="498" spans="2:10" ht="15" x14ac:dyDescent="0.25">
      <c r="C498" s="7"/>
      <c r="D498" s="7"/>
      <c r="E498" s="7"/>
      <c r="F498" s="7"/>
      <c r="G498" s="7"/>
      <c r="J498" s="7"/>
    </row>
    <row r="499" spans="2:10" ht="15" x14ac:dyDescent="0.25">
      <c r="C499" s="7"/>
      <c r="D499" s="7"/>
      <c r="E499" s="7"/>
      <c r="F499" s="7"/>
      <c r="G499" s="7"/>
      <c r="J499" s="7"/>
    </row>
    <row r="500" spans="2:10" ht="15" x14ac:dyDescent="0.25">
      <c r="B500" s="7"/>
      <c r="C500" s="7"/>
      <c r="D500" s="7"/>
      <c r="E500" s="7"/>
      <c r="F500" s="7"/>
      <c r="G500" s="7"/>
    </row>
    <row r="501" spans="2:10" ht="15" x14ac:dyDescent="0.25">
      <c r="B501" s="7"/>
      <c r="C501" s="7"/>
      <c r="D501" s="7"/>
      <c r="E501" s="7"/>
      <c r="F501" s="7"/>
      <c r="G501" s="7"/>
    </row>
    <row r="502" spans="2:10" ht="15" x14ac:dyDescent="0.25">
      <c r="B502" s="7"/>
      <c r="C502" s="7"/>
      <c r="D502" s="7"/>
      <c r="E502" s="7"/>
      <c r="F502" s="7"/>
      <c r="G502" s="7"/>
    </row>
    <row r="503" spans="2:10" ht="15" x14ac:dyDescent="0.25">
      <c r="B503" s="7"/>
      <c r="C503" s="7"/>
      <c r="D503" s="7"/>
      <c r="E503" s="7"/>
      <c r="F503" s="7"/>
      <c r="G503" s="7"/>
    </row>
    <row r="504" spans="2:10" ht="15" x14ac:dyDescent="0.25">
      <c r="B504" s="7"/>
      <c r="C504" s="7"/>
      <c r="D504" s="7"/>
      <c r="E504" s="7"/>
      <c r="F504" s="7"/>
      <c r="G504" s="7"/>
    </row>
    <row r="505" spans="2:10" ht="15" x14ac:dyDescent="0.25">
      <c r="B505" s="7"/>
      <c r="C505" s="7"/>
      <c r="D505" s="7"/>
      <c r="E505" s="7"/>
      <c r="F505" s="7"/>
      <c r="G505" s="7"/>
    </row>
    <row r="506" spans="2:10" ht="15" x14ac:dyDescent="0.25">
      <c r="B506" s="7"/>
      <c r="C506" s="7"/>
      <c r="D506" s="7"/>
      <c r="E506" s="7"/>
      <c r="F506" s="7"/>
      <c r="G506" s="7"/>
    </row>
    <row r="507" spans="2:10" ht="15" x14ac:dyDescent="0.25">
      <c r="B507" s="7"/>
      <c r="C507" s="7"/>
      <c r="D507" s="7"/>
      <c r="E507" s="7"/>
      <c r="F507" s="7"/>
      <c r="G507" s="7"/>
    </row>
    <row r="508" spans="2:10" ht="15" x14ac:dyDescent="0.25">
      <c r="B508" s="7"/>
      <c r="C508" s="7"/>
      <c r="D508" s="7"/>
      <c r="E508" s="7"/>
      <c r="F508" s="7"/>
      <c r="G508" s="7"/>
    </row>
    <row r="509" spans="2:10" ht="15" x14ac:dyDescent="0.25">
      <c r="B509" s="7"/>
      <c r="C509" s="7"/>
      <c r="D509" s="7"/>
      <c r="E509" s="7"/>
      <c r="F509" s="7"/>
      <c r="G509" s="7"/>
    </row>
    <row r="510" spans="2:10" ht="15" x14ac:dyDescent="0.25">
      <c r="B510" s="7"/>
      <c r="C510" s="7"/>
      <c r="D510" s="7"/>
      <c r="E510" s="7"/>
      <c r="F510" s="7"/>
      <c r="G510" s="7"/>
    </row>
    <row r="511" spans="2:10" ht="15" x14ac:dyDescent="0.25">
      <c r="B511" s="7"/>
      <c r="C511" s="7"/>
      <c r="D511" s="7"/>
      <c r="E511" s="7"/>
      <c r="F511" s="7"/>
      <c r="G511" s="7"/>
    </row>
    <row r="512" spans="2:10" ht="15" x14ac:dyDescent="0.25">
      <c r="B512" s="7"/>
      <c r="C512" s="7"/>
      <c r="D512" s="7"/>
      <c r="E512" s="7"/>
      <c r="F512" s="7"/>
      <c r="G512" s="7"/>
    </row>
    <row r="513" spans="2:7" ht="15" x14ac:dyDescent="0.25">
      <c r="B513" s="7"/>
      <c r="C513" s="7"/>
      <c r="D513" s="7"/>
      <c r="E513" s="7"/>
      <c r="F513" s="7"/>
      <c r="G513" s="7"/>
    </row>
    <row r="514" spans="2:7" ht="15" x14ac:dyDescent="0.25">
      <c r="B514" s="7"/>
      <c r="C514" s="7"/>
      <c r="D514" s="7"/>
      <c r="E514" s="7"/>
      <c r="F514" s="7"/>
      <c r="G514" s="7"/>
    </row>
    <row r="515" spans="2:7" ht="15" x14ac:dyDescent="0.25">
      <c r="B515" s="7"/>
      <c r="C515" s="7"/>
      <c r="D515" s="7"/>
      <c r="E515" s="7"/>
      <c r="F515" s="7"/>
      <c r="G515" s="7"/>
    </row>
    <row r="516" spans="2:7" ht="15" x14ac:dyDescent="0.25">
      <c r="B516" s="7"/>
      <c r="C516" s="7"/>
      <c r="D516" s="7"/>
      <c r="E516" s="7"/>
      <c r="F516" s="7"/>
      <c r="G516" s="7"/>
    </row>
    <row r="517" spans="2:7" ht="15" x14ac:dyDescent="0.25">
      <c r="B517" s="7"/>
      <c r="C517" s="7"/>
      <c r="D517" s="7"/>
      <c r="E517" s="7"/>
      <c r="F517" s="7"/>
      <c r="G517" s="7"/>
    </row>
    <row r="518" spans="2:7" ht="15" x14ac:dyDescent="0.25">
      <c r="B518" s="7"/>
      <c r="C518" s="7"/>
      <c r="D518" s="7"/>
      <c r="E518" s="7"/>
      <c r="F518" s="7"/>
      <c r="G518" s="7"/>
    </row>
    <row r="519" spans="2:7" ht="15" x14ac:dyDescent="0.25">
      <c r="B519" s="7"/>
      <c r="C519" s="7"/>
      <c r="D519" s="7"/>
      <c r="E519" s="7"/>
      <c r="F519" s="7"/>
      <c r="G519" s="7"/>
    </row>
    <row r="520" spans="2:7" ht="15" x14ac:dyDescent="0.25">
      <c r="B520" s="7"/>
      <c r="C520" s="7"/>
      <c r="D520" s="7"/>
      <c r="E520" s="7"/>
      <c r="F520" s="7"/>
      <c r="G520" s="7"/>
    </row>
    <row r="521" spans="2:7" ht="15" x14ac:dyDescent="0.25">
      <c r="B521" s="7"/>
      <c r="C521" s="7"/>
      <c r="D521" s="7"/>
      <c r="E521" s="7"/>
      <c r="F521" s="7"/>
      <c r="G521" s="7"/>
    </row>
    <row r="522" spans="2:7" ht="15" x14ac:dyDescent="0.25">
      <c r="B522" s="7"/>
      <c r="C522" s="7"/>
      <c r="D522" s="7"/>
      <c r="E522" s="7"/>
      <c r="F522" s="7"/>
      <c r="G522" s="7"/>
    </row>
    <row r="523" spans="2:7" ht="15" x14ac:dyDescent="0.25">
      <c r="B523" s="7"/>
      <c r="C523" s="7"/>
      <c r="D523" s="7"/>
      <c r="E523" s="7"/>
      <c r="F523" s="7"/>
      <c r="G523" s="7"/>
    </row>
    <row r="524" spans="2:7" ht="15" x14ac:dyDescent="0.25">
      <c r="B524" s="7"/>
      <c r="C524" s="7"/>
      <c r="D524" s="7"/>
      <c r="E524" s="7"/>
      <c r="F524" s="7"/>
      <c r="G524" s="7"/>
    </row>
    <row r="525" spans="2:7" ht="15" x14ac:dyDescent="0.25">
      <c r="B525" s="7"/>
      <c r="C525" s="7"/>
      <c r="D525" s="7"/>
      <c r="E525" s="7"/>
      <c r="F525" s="7"/>
      <c r="G525" s="7"/>
    </row>
    <row r="526" spans="2:7" ht="15" x14ac:dyDescent="0.25">
      <c r="B526" s="7"/>
      <c r="C526" s="7"/>
      <c r="D526" s="7"/>
      <c r="E526" s="7"/>
      <c r="F526" s="7"/>
      <c r="G526" s="7"/>
    </row>
    <row r="527" spans="2:7" ht="15" x14ac:dyDescent="0.25">
      <c r="B527" s="7"/>
      <c r="C527" s="7"/>
      <c r="D527" s="7"/>
      <c r="E527" s="7"/>
      <c r="F527" s="7"/>
      <c r="G527" s="7"/>
    </row>
    <row r="528" spans="2:7" ht="15" x14ac:dyDescent="0.25">
      <c r="B528" s="7"/>
      <c r="C528" s="7"/>
      <c r="D528" s="7"/>
      <c r="E528" s="7"/>
      <c r="F528" s="7"/>
      <c r="G528" s="7"/>
    </row>
    <row r="529" spans="2:7" ht="15" x14ac:dyDescent="0.25">
      <c r="B529" s="7"/>
      <c r="C529" s="7"/>
      <c r="D529" s="7"/>
      <c r="E529" s="7"/>
      <c r="F529" s="7"/>
      <c r="G529" s="7"/>
    </row>
    <row r="530" spans="2:7" ht="15" x14ac:dyDescent="0.25">
      <c r="B530" s="7"/>
      <c r="C530" s="7"/>
      <c r="D530" s="7"/>
      <c r="E530" s="7"/>
      <c r="F530" s="7"/>
      <c r="G530" s="7"/>
    </row>
    <row r="531" spans="2:7" ht="15" x14ac:dyDescent="0.25">
      <c r="B531" s="7"/>
      <c r="C531" s="7"/>
      <c r="D531" s="7"/>
      <c r="E531" s="7"/>
      <c r="F531" s="7"/>
      <c r="G531" s="7"/>
    </row>
    <row r="532" spans="2:7" ht="15" x14ac:dyDescent="0.25">
      <c r="B532" s="7"/>
      <c r="C532" s="7"/>
      <c r="D532" s="7"/>
      <c r="E532" s="7"/>
      <c r="F532" s="7"/>
      <c r="G532" s="7"/>
    </row>
    <row r="533" spans="2:7" ht="15" x14ac:dyDescent="0.25">
      <c r="B533" s="7"/>
      <c r="C533" s="7"/>
      <c r="D533" s="7"/>
      <c r="E533" s="7"/>
      <c r="F533" s="7"/>
      <c r="G533" s="7"/>
    </row>
    <row r="534" spans="2:7" ht="15" x14ac:dyDescent="0.25">
      <c r="B534" s="7"/>
      <c r="C534" s="7"/>
      <c r="D534" s="7"/>
      <c r="E534" s="7"/>
      <c r="F534" s="7"/>
      <c r="G534" s="7"/>
    </row>
    <row r="535" spans="2:7" ht="15" x14ac:dyDescent="0.25">
      <c r="B535" s="7"/>
      <c r="C535" s="7"/>
      <c r="D535" s="7"/>
      <c r="E535" s="7"/>
      <c r="F535" s="7"/>
      <c r="G535" s="7"/>
    </row>
    <row r="536" spans="2:7" ht="15" x14ac:dyDescent="0.25">
      <c r="B536" s="7"/>
      <c r="C536" s="7"/>
      <c r="D536" s="7"/>
      <c r="E536" s="7"/>
      <c r="F536" s="7"/>
      <c r="G536" s="7"/>
    </row>
    <row r="537" spans="2:7" ht="15" x14ac:dyDescent="0.25">
      <c r="B537" s="7"/>
      <c r="C537" s="7"/>
      <c r="D537" s="7"/>
      <c r="E537" s="7"/>
      <c r="F537" s="7"/>
      <c r="G537" s="7"/>
    </row>
    <row r="538" spans="2:7" ht="15" x14ac:dyDescent="0.25">
      <c r="B538" s="7"/>
      <c r="C538" s="7"/>
      <c r="D538" s="7"/>
      <c r="E538" s="7"/>
      <c r="F538" s="7"/>
      <c r="G538" s="7"/>
    </row>
    <row r="539" spans="2:7" ht="15" x14ac:dyDescent="0.25">
      <c r="B539" s="7"/>
      <c r="C539" s="7"/>
      <c r="D539" s="7"/>
      <c r="E539" s="7"/>
      <c r="F539" s="7"/>
      <c r="G539" s="7"/>
    </row>
    <row r="540" spans="2:7" ht="15" x14ac:dyDescent="0.25">
      <c r="B540" s="7"/>
      <c r="C540" s="7"/>
      <c r="D540" s="7"/>
      <c r="E540" s="7"/>
      <c r="F540" s="7"/>
      <c r="G540" s="7"/>
    </row>
    <row r="541" spans="2:7" ht="15" x14ac:dyDescent="0.25">
      <c r="B541" s="7"/>
      <c r="C541" s="7"/>
      <c r="D541" s="7"/>
      <c r="E541" s="7"/>
      <c r="F541" s="7"/>
      <c r="G541" s="7"/>
    </row>
    <row r="542" spans="2:7" ht="15" x14ac:dyDescent="0.25">
      <c r="B542" s="7"/>
      <c r="C542" s="7"/>
      <c r="D542" s="7"/>
      <c r="E542" s="7"/>
      <c r="F542" s="7"/>
      <c r="G542" s="7"/>
    </row>
    <row r="543" spans="2:7" ht="15" x14ac:dyDescent="0.25">
      <c r="B543" s="7"/>
      <c r="C543" s="7"/>
      <c r="D543" s="7"/>
      <c r="E543" s="7"/>
      <c r="F543" s="7"/>
      <c r="G543" s="7"/>
    </row>
    <row r="544" spans="2:7" ht="15" x14ac:dyDescent="0.25">
      <c r="B544" s="7"/>
      <c r="C544" s="7"/>
      <c r="D544" s="7"/>
      <c r="E544" s="7"/>
      <c r="F544" s="7"/>
      <c r="G544" s="7"/>
    </row>
    <row r="545" spans="2:7" ht="15" x14ac:dyDescent="0.25">
      <c r="B545" s="7"/>
      <c r="C545" s="7"/>
      <c r="D545" s="7"/>
      <c r="E545" s="7"/>
      <c r="F545" s="7"/>
      <c r="G545" s="7"/>
    </row>
    <row r="546" spans="2:7" ht="15" x14ac:dyDescent="0.25">
      <c r="B546" s="7"/>
      <c r="C546" s="7"/>
      <c r="D546" s="7"/>
      <c r="E546" s="7"/>
      <c r="F546" s="7"/>
      <c r="G546" s="7"/>
    </row>
    <row r="547" spans="2:7" ht="15" x14ac:dyDescent="0.25">
      <c r="B547" s="7"/>
      <c r="C547" s="7"/>
      <c r="D547" s="7"/>
      <c r="E547" s="7"/>
      <c r="F547" s="7"/>
      <c r="G547" s="7"/>
    </row>
    <row r="548" spans="2:7" ht="15" x14ac:dyDescent="0.25">
      <c r="B548" s="7"/>
      <c r="C548" s="7"/>
      <c r="D548" s="7"/>
      <c r="E548" s="7"/>
      <c r="F548" s="7"/>
      <c r="G548" s="7"/>
    </row>
    <row r="549" spans="2:7" ht="15" x14ac:dyDescent="0.25">
      <c r="B549" s="7"/>
      <c r="C549" s="7"/>
      <c r="D549" s="7"/>
      <c r="E549" s="7"/>
      <c r="F549" s="7"/>
      <c r="G549" s="7"/>
    </row>
    <row r="550" spans="2:7" ht="15" x14ac:dyDescent="0.25">
      <c r="B550" s="7"/>
      <c r="C550" s="7"/>
      <c r="D550" s="7"/>
      <c r="E550" s="7"/>
      <c r="F550" s="7"/>
      <c r="G550" s="7"/>
    </row>
    <row r="551" spans="2:7" ht="15" x14ac:dyDescent="0.25">
      <c r="B551" s="7"/>
      <c r="C551" s="7"/>
      <c r="D551" s="7"/>
      <c r="E551" s="7"/>
      <c r="F551" s="7"/>
      <c r="G551" s="7"/>
    </row>
    <row r="552" spans="2:7" ht="15" x14ac:dyDescent="0.25">
      <c r="B552" s="7"/>
      <c r="C552" s="7"/>
      <c r="D552" s="7"/>
      <c r="E552" s="7"/>
      <c r="F552" s="7"/>
      <c r="G552" s="7"/>
    </row>
    <row r="553" spans="2:7" ht="15" x14ac:dyDescent="0.25">
      <c r="B553" s="7"/>
      <c r="C553" s="7"/>
      <c r="D553" s="7"/>
      <c r="E553" s="7"/>
      <c r="F553" s="7"/>
      <c r="G553" s="7"/>
    </row>
    <row r="554" spans="2:7" ht="15" x14ac:dyDescent="0.25">
      <c r="B554" s="7"/>
      <c r="C554" s="7"/>
      <c r="D554" s="7"/>
      <c r="E554" s="7"/>
      <c r="F554" s="7"/>
      <c r="G554" s="7"/>
    </row>
    <row r="555" spans="2:7" ht="15" x14ac:dyDescent="0.25">
      <c r="B555" s="7"/>
      <c r="C555" s="7"/>
      <c r="D555" s="7"/>
      <c r="E555" s="7"/>
      <c r="F555" s="7"/>
      <c r="G555" s="7"/>
    </row>
    <row r="556" spans="2:7" ht="15" x14ac:dyDescent="0.25">
      <c r="B556" s="7"/>
      <c r="C556" s="7"/>
      <c r="D556" s="7"/>
      <c r="E556" s="7"/>
      <c r="F556" s="7"/>
      <c r="G556" s="7"/>
    </row>
    <row r="557" spans="2:7" ht="15" x14ac:dyDescent="0.25">
      <c r="B557" s="7"/>
      <c r="C557" s="7"/>
      <c r="D557" s="7"/>
      <c r="E557" s="7"/>
      <c r="F557" s="7"/>
      <c r="G557" s="7"/>
    </row>
    <row r="558" spans="2:7" ht="15" x14ac:dyDescent="0.25">
      <c r="B558" s="7"/>
      <c r="C558" s="7"/>
      <c r="D558" s="7"/>
      <c r="E558" s="7"/>
      <c r="F558" s="7"/>
      <c r="G558" s="7"/>
    </row>
    <row r="559" spans="2:7" ht="15" x14ac:dyDescent="0.25">
      <c r="B559" s="7"/>
      <c r="C559" s="7"/>
      <c r="D559" s="7"/>
      <c r="E559" s="7"/>
      <c r="F559" s="7"/>
      <c r="G559" s="7"/>
    </row>
    <row r="560" spans="2:7" ht="15" x14ac:dyDescent="0.25">
      <c r="B560" s="7"/>
      <c r="C560" s="7"/>
      <c r="D560" s="7"/>
      <c r="E560" s="7"/>
      <c r="F560" s="7"/>
      <c r="G560" s="7"/>
    </row>
    <row r="561" spans="2:7" ht="15" x14ac:dyDescent="0.25">
      <c r="B561" s="7"/>
      <c r="C561" s="7"/>
      <c r="D561" s="7"/>
      <c r="E561" s="7"/>
      <c r="F561" s="7"/>
      <c r="G561" s="7"/>
    </row>
    <row r="562" spans="2:7" ht="15" x14ac:dyDescent="0.25">
      <c r="B562" s="7"/>
      <c r="C562" s="7"/>
      <c r="D562" s="7"/>
      <c r="E562" s="7"/>
      <c r="F562" s="7"/>
      <c r="G562" s="7"/>
    </row>
    <row r="563" spans="2:7" ht="15" x14ac:dyDescent="0.25">
      <c r="B563" s="7"/>
      <c r="C563" s="7"/>
      <c r="D563" s="7"/>
      <c r="E563" s="7"/>
      <c r="F563" s="7"/>
      <c r="G563" s="7"/>
    </row>
    <row r="564" spans="2:7" ht="15" x14ac:dyDescent="0.25">
      <c r="B564" s="7"/>
      <c r="C564" s="7"/>
      <c r="D564" s="7"/>
      <c r="E564" s="7"/>
      <c r="F564" s="7"/>
      <c r="G564" s="7"/>
    </row>
    <row r="565" spans="2:7" ht="15" x14ac:dyDescent="0.25">
      <c r="B565" s="7"/>
      <c r="C565" s="7"/>
      <c r="D565" s="7"/>
      <c r="E565" s="7"/>
      <c r="F565" s="7"/>
      <c r="G565" s="7"/>
    </row>
    <row r="566" spans="2:7" ht="15" x14ac:dyDescent="0.25">
      <c r="B566" s="7"/>
      <c r="C566" s="7"/>
      <c r="D566" s="7"/>
      <c r="E566" s="7"/>
      <c r="F566" s="7"/>
      <c r="G566" s="7"/>
    </row>
    <row r="567" spans="2:7" ht="15" x14ac:dyDescent="0.25">
      <c r="B567" s="7"/>
      <c r="C567" s="7"/>
      <c r="D567" s="7"/>
      <c r="E567" s="7"/>
      <c r="F567" s="7"/>
      <c r="G567" s="7"/>
    </row>
    <row r="568" spans="2:7" ht="15" x14ac:dyDescent="0.25">
      <c r="B568" s="7"/>
      <c r="C568" s="7"/>
      <c r="D568" s="7"/>
      <c r="E568" s="7"/>
      <c r="F568" s="7"/>
      <c r="G568" s="7"/>
    </row>
    <row r="569" spans="2:7" ht="15" x14ac:dyDescent="0.25">
      <c r="B569" s="7"/>
      <c r="C569" s="7"/>
      <c r="D569" s="7"/>
      <c r="E569" s="7"/>
      <c r="F569" s="7"/>
      <c r="G569" s="7"/>
    </row>
    <row r="570" spans="2:7" ht="15" x14ac:dyDescent="0.25">
      <c r="B570" s="7"/>
      <c r="C570" s="7"/>
      <c r="D570" s="7"/>
      <c r="E570" s="7"/>
      <c r="F570" s="7"/>
      <c r="G570" s="7"/>
    </row>
    <row r="571" spans="2:7" ht="15" x14ac:dyDescent="0.25">
      <c r="B571" s="7"/>
      <c r="C571" s="7"/>
      <c r="D571" s="7"/>
      <c r="E571" s="7"/>
      <c r="F571" s="7"/>
      <c r="G571" s="7"/>
    </row>
    <row r="572" spans="2:7" ht="15" x14ac:dyDescent="0.25">
      <c r="B572" s="7"/>
      <c r="C572" s="7"/>
      <c r="D572" s="7"/>
      <c r="E572" s="7"/>
      <c r="F572" s="7"/>
      <c r="G572" s="7"/>
    </row>
    <row r="573" spans="2:7" ht="15" x14ac:dyDescent="0.25">
      <c r="B573" s="7"/>
      <c r="C573" s="7"/>
      <c r="D573" s="7"/>
      <c r="E573" s="7"/>
      <c r="F573" s="7"/>
      <c r="G573" s="7"/>
    </row>
    <row r="574" spans="2:7" ht="15" x14ac:dyDescent="0.25">
      <c r="B574" s="7"/>
      <c r="C574" s="7"/>
      <c r="D574" s="7"/>
      <c r="E574" s="7"/>
      <c r="F574" s="7"/>
      <c r="G574" s="7"/>
    </row>
    <row r="575" spans="2:7" ht="15" x14ac:dyDescent="0.25">
      <c r="B575" s="7"/>
      <c r="C575" s="7"/>
      <c r="D575" s="7"/>
      <c r="E575" s="7"/>
      <c r="F575" s="7"/>
      <c r="G575" s="7"/>
    </row>
    <row r="576" spans="2:7" ht="15" x14ac:dyDescent="0.25">
      <c r="B576" s="7"/>
      <c r="C576" s="7"/>
      <c r="D576" s="7"/>
      <c r="E576" s="7"/>
      <c r="F576" s="7"/>
      <c r="G576" s="7"/>
    </row>
    <row r="577" spans="2:7" ht="15" x14ac:dyDescent="0.25">
      <c r="B577" s="7"/>
      <c r="C577" s="7"/>
      <c r="D577" s="7"/>
      <c r="E577" s="7"/>
      <c r="F577" s="7"/>
      <c r="G577" s="7"/>
    </row>
    <row r="578" spans="2:7" ht="15" x14ac:dyDescent="0.25">
      <c r="B578" s="7"/>
      <c r="C578" s="7"/>
      <c r="D578" s="7"/>
      <c r="E578" s="7"/>
      <c r="F578" s="7"/>
      <c r="G578" s="7"/>
    </row>
    <row r="579" spans="2:7" ht="15" x14ac:dyDescent="0.25">
      <c r="B579" s="7"/>
      <c r="C579" s="7"/>
      <c r="D579" s="7"/>
      <c r="E579" s="7"/>
      <c r="F579" s="7"/>
      <c r="G579" s="7"/>
    </row>
    <row r="580" spans="2:7" ht="15" x14ac:dyDescent="0.25">
      <c r="B580" s="7"/>
      <c r="C580" s="7"/>
      <c r="D580" s="7"/>
      <c r="E580" s="7"/>
      <c r="F580" s="7"/>
      <c r="G580" s="7"/>
    </row>
    <row r="581" spans="2:7" ht="15" x14ac:dyDescent="0.25">
      <c r="B581" s="7"/>
      <c r="C581" s="7"/>
      <c r="D581" s="7"/>
      <c r="E581" s="7"/>
      <c r="F581" s="7"/>
      <c r="G581" s="7"/>
    </row>
    <row r="582" spans="2:7" ht="15" x14ac:dyDescent="0.25">
      <c r="B582" s="7"/>
      <c r="C582" s="7"/>
      <c r="D582" s="7"/>
      <c r="E582" s="7"/>
      <c r="F582" s="7"/>
      <c r="G582" s="7"/>
    </row>
    <row r="583" spans="2:7" ht="15" x14ac:dyDescent="0.25">
      <c r="B583" s="7"/>
      <c r="C583" s="7"/>
      <c r="D583" s="7"/>
      <c r="E583" s="7"/>
      <c r="F583" s="7"/>
      <c r="G583" s="7"/>
    </row>
    <row r="584" spans="2:7" ht="15" x14ac:dyDescent="0.25">
      <c r="B584" s="7"/>
      <c r="C584" s="7"/>
      <c r="D584" s="7"/>
      <c r="E584" s="7"/>
      <c r="F584" s="7"/>
      <c r="G584" s="7"/>
    </row>
    <row r="585" spans="2:7" ht="15" x14ac:dyDescent="0.25">
      <c r="B585" s="7"/>
      <c r="C585" s="7"/>
      <c r="D585" s="7"/>
      <c r="E585" s="7"/>
      <c r="F585" s="7"/>
      <c r="G585" s="7"/>
    </row>
    <row r="586" spans="2:7" ht="15" x14ac:dyDescent="0.25">
      <c r="B586" s="7"/>
      <c r="C586" s="7"/>
      <c r="D586" s="7"/>
      <c r="E586" s="7"/>
      <c r="F586" s="7"/>
      <c r="G586" s="7"/>
    </row>
    <row r="587" spans="2:7" ht="15" x14ac:dyDescent="0.25">
      <c r="B587" s="7"/>
      <c r="C587" s="7"/>
      <c r="D587" s="7"/>
      <c r="E587" s="7"/>
      <c r="F587" s="7"/>
      <c r="G587" s="7"/>
    </row>
    <row r="588" spans="2:7" ht="15" x14ac:dyDescent="0.25">
      <c r="B588" s="7"/>
      <c r="C588" s="7"/>
      <c r="D588" s="7"/>
      <c r="E588" s="7"/>
      <c r="F588" s="7"/>
      <c r="G588" s="7"/>
    </row>
    <row r="589" spans="2:7" ht="15" x14ac:dyDescent="0.25">
      <c r="B589" s="7"/>
      <c r="C589" s="7"/>
      <c r="D589" s="7"/>
      <c r="E589" s="7"/>
      <c r="F589" s="7"/>
      <c r="G589" s="7"/>
    </row>
    <row r="590" spans="2:7" ht="15" x14ac:dyDescent="0.25">
      <c r="B590" s="7"/>
      <c r="C590" s="7"/>
      <c r="D590" s="7"/>
      <c r="E590" s="7"/>
      <c r="F590" s="7"/>
      <c r="G590" s="7"/>
    </row>
    <row r="591" spans="2:7" ht="15" x14ac:dyDescent="0.25">
      <c r="B591" s="7"/>
      <c r="C591" s="7"/>
      <c r="D591" s="7"/>
      <c r="E591" s="7"/>
      <c r="F591" s="7"/>
      <c r="G591" s="7"/>
    </row>
    <row r="592" spans="2:7" ht="15" x14ac:dyDescent="0.25">
      <c r="B592" s="7"/>
      <c r="C592" s="7"/>
      <c r="D592" s="7"/>
      <c r="E592" s="7"/>
      <c r="F592" s="7"/>
      <c r="G592" s="7"/>
    </row>
    <row r="593" spans="2:7" ht="15" x14ac:dyDescent="0.25">
      <c r="B593" s="7"/>
      <c r="C593" s="7"/>
      <c r="D593" s="7"/>
      <c r="E593" s="7"/>
      <c r="F593" s="7"/>
      <c r="G593" s="7"/>
    </row>
    <row r="594" spans="2:7" ht="15" x14ac:dyDescent="0.25">
      <c r="B594" s="7"/>
      <c r="C594" s="7"/>
      <c r="D594" s="7"/>
      <c r="E594" s="7"/>
      <c r="F594" s="7"/>
      <c r="G594" s="7"/>
    </row>
    <row r="595" spans="2:7" ht="15" x14ac:dyDescent="0.25">
      <c r="B595" s="7"/>
      <c r="C595" s="7"/>
      <c r="D595" s="7"/>
      <c r="E595" s="7"/>
      <c r="F595" s="7"/>
      <c r="G595" s="7"/>
    </row>
    <row r="596" spans="2:7" ht="15" x14ac:dyDescent="0.25">
      <c r="B596" s="7"/>
      <c r="C596" s="7"/>
      <c r="D596" s="7"/>
      <c r="E596" s="7"/>
      <c r="F596" s="7"/>
      <c r="G596" s="7"/>
    </row>
    <row r="597" spans="2:7" ht="15" x14ac:dyDescent="0.25">
      <c r="B597" s="7"/>
      <c r="C597" s="7"/>
      <c r="D597" s="7"/>
      <c r="E597" s="7"/>
      <c r="F597" s="7"/>
      <c r="G597" s="7"/>
    </row>
    <row r="598" spans="2:7" ht="15" x14ac:dyDescent="0.25">
      <c r="B598" s="7"/>
      <c r="C598" s="7"/>
      <c r="D598" s="7"/>
      <c r="E598" s="7"/>
      <c r="F598" s="7"/>
      <c r="G598" s="7"/>
    </row>
    <row r="599" spans="2:7" ht="15" x14ac:dyDescent="0.25">
      <c r="B599" s="7"/>
      <c r="C599" s="7"/>
      <c r="D599" s="7"/>
      <c r="E599" s="7"/>
      <c r="F599" s="7"/>
      <c r="G599" s="7"/>
    </row>
    <row r="600" spans="2:7" ht="15" x14ac:dyDescent="0.25">
      <c r="B600" s="7"/>
      <c r="C600" s="7"/>
      <c r="D600" s="7"/>
      <c r="E600" s="7"/>
      <c r="F600" s="7"/>
      <c r="G600" s="7"/>
    </row>
    <row r="601" spans="2:7" ht="15" x14ac:dyDescent="0.25">
      <c r="B601" s="7"/>
      <c r="C601" s="7"/>
      <c r="D601" s="7"/>
      <c r="E601" s="7"/>
      <c r="F601" s="7"/>
      <c r="G601" s="7"/>
    </row>
    <row r="602" spans="2:7" ht="15" x14ac:dyDescent="0.25">
      <c r="B602" s="7"/>
      <c r="C602" s="7"/>
      <c r="D602" s="7"/>
      <c r="E602" s="7"/>
      <c r="F602" s="7"/>
      <c r="G602" s="7"/>
    </row>
    <row r="603" spans="2:7" ht="15" x14ac:dyDescent="0.25">
      <c r="B603" s="7"/>
      <c r="C603" s="7"/>
      <c r="D603" s="7"/>
      <c r="E603" s="7"/>
      <c r="F603" s="7"/>
      <c r="G603" s="7"/>
    </row>
    <row r="604" spans="2:7" ht="15" x14ac:dyDescent="0.25">
      <c r="B604" s="7"/>
      <c r="C604" s="7"/>
      <c r="D604" s="7"/>
      <c r="E604" s="7"/>
      <c r="F604" s="7"/>
      <c r="G604" s="7"/>
    </row>
    <row r="605" spans="2:7" ht="15" x14ac:dyDescent="0.25">
      <c r="B605" s="7"/>
      <c r="C605" s="7"/>
      <c r="D605" s="7"/>
      <c r="E605" s="7"/>
      <c r="F605" s="7"/>
      <c r="G605" s="7"/>
    </row>
    <row r="606" spans="2:7" ht="15" x14ac:dyDescent="0.25">
      <c r="B606" s="7"/>
      <c r="C606" s="7"/>
      <c r="D606" s="7"/>
      <c r="E606" s="7"/>
      <c r="F606" s="7"/>
      <c r="G606" s="7"/>
    </row>
    <row r="607" spans="2:7" ht="15" x14ac:dyDescent="0.25">
      <c r="B607" s="7"/>
      <c r="C607" s="7"/>
      <c r="D607" s="7"/>
      <c r="E607" s="7"/>
      <c r="F607" s="7"/>
      <c r="G607" s="7"/>
    </row>
    <row r="608" spans="2:7" ht="15" x14ac:dyDescent="0.25">
      <c r="B608" s="7"/>
      <c r="C608" s="7"/>
      <c r="D608" s="7"/>
      <c r="E608" s="7"/>
      <c r="F608" s="7"/>
      <c r="G608" s="7"/>
    </row>
    <row r="609" spans="2:7" ht="15" x14ac:dyDescent="0.25">
      <c r="B609" s="7"/>
      <c r="C609" s="7"/>
      <c r="D609" s="7"/>
      <c r="E609" s="7"/>
      <c r="F609" s="7"/>
      <c r="G609" s="7"/>
    </row>
    <row r="610" spans="2:7" ht="15" x14ac:dyDescent="0.25">
      <c r="B610" s="7"/>
      <c r="C610" s="7"/>
      <c r="D610" s="7"/>
      <c r="E610" s="7"/>
      <c r="F610" s="7"/>
      <c r="G610" s="7"/>
    </row>
    <row r="611" spans="2:7" ht="15" x14ac:dyDescent="0.25">
      <c r="B611" s="7"/>
      <c r="C611" s="7"/>
      <c r="D611" s="7"/>
      <c r="E611" s="7"/>
      <c r="F611" s="7"/>
      <c r="G611" s="7"/>
    </row>
    <row r="612" spans="2:7" ht="15" x14ac:dyDescent="0.25">
      <c r="B612" s="7"/>
      <c r="C612" s="7"/>
      <c r="D612" s="7"/>
      <c r="E612" s="7"/>
      <c r="F612" s="7"/>
      <c r="G612" s="7"/>
    </row>
    <row r="613" spans="2:7" ht="15" x14ac:dyDescent="0.25">
      <c r="B613" s="7"/>
      <c r="C613" s="7"/>
      <c r="D613" s="7"/>
      <c r="E613" s="7"/>
      <c r="F613" s="7"/>
      <c r="G613" s="7"/>
    </row>
    <row r="614" spans="2:7" ht="15" x14ac:dyDescent="0.25">
      <c r="B614" s="7"/>
      <c r="C614" s="7"/>
      <c r="D614" s="7"/>
      <c r="E614" s="7"/>
      <c r="F614" s="7"/>
      <c r="G614" s="7"/>
    </row>
    <row r="615" spans="2:7" ht="15" x14ac:dyDescent="0.25">
      <c r="B615" s="7"/>
      <c r="C615" s="7"/>
      <c r="D615" s="7"/>
      <c r="E615" s="7"/>
      <c r="F615" s="7"/>
      <c r="G615" s="7"/>
    </row>
    <row r="616" spans="2:7" ht="15" x14ac:dyDescent="0.25">
      <c r="B616" s="7"/>
      <c r="C616" s="7"/>
      <c r="D616" s="7"/>
      <c r="E616" s="7"/>
      <c r="F616" s="7"/>
      <c r="G616" s="7"/>
    </row>
    <row r="617" spans="2:7" ht="15" x14ac:dyDescent="0.25">
      <c r="B617" s="7"/>
      <c r="C617" s="7"/>
      <c r="D617" s="7"/>
      <c r="E617" s="7"/>
      <c r="F617" s="7"/>
      <c r="G617" s="7"/>
    </row>
    <row r="618" spans="2:7" ht="15" x14ac:dyDescent="0.25">
      <c r="B618" s="7"/>
      <c r="C618" s="7"/>
      <c r="D618" s="7"/>
      <c r="E618" s="7"/>
      <c r="F618" s="7"/>
      <c r="G618" s="7"/>
    </row>
    <row r="619" spans="2:7" ht="15" x14ac:dyDescent="0.25">
      <c r="B619" s="7"/>
      <c r="C619" s="7"/>
      <c r="D619" s="7"/>
      <c r="E619" s="7"/>
      <c r="F619" s="7"/>
      <c r="G619" s="7"/>
    </row>
    <row r="620" spans="2:7" ht="15" x14ac:dyDescent="0.25">
      <c r="B620" s="7"/>
      <c r="C620" s="7"/>
      <c r="D620" s="7"/>
      <c r="E620" s="7"/>
      <c r="F620" s="7"/>
      <c r="G620" s="7"/>
    </row>
    <row r="621" spans="2:7" ht="15" x14ac:dyDescent="0.25">
      <c r="B621" s="7"/>
      <c r="C621" s="7"/>
      <c r="D621" s="7"/>
      <c r="E621" s="7"/>
      <c r="F621" s="7"/>
      <c r="G621" s="7"/>
    </row>
    <row r="622" spans="2:7" ht="15" x14ac:dyDescent="0.25">
      <c r="B622" s="7"/>
      <c r="C622" s="7"/>
      <c r="D622" s="7"/>
      <c r="E622" s="7"/>
      <c r="F622" s="7"/>
      <c r="G622" s="7"/>
    </row>
    <row r="623" spans="2:7" ht="15" x14ac:dyDescent="0.25">
      <c r="B623" s="7"/>
      <c r="C623" s="7"/>
      <c r="D623" s="7"/>
      <c r="E623" s="7"/>
      <c r="F623" s="7"/>
      <c r="G623" s="7"/>
    </row>
    <row r="624" spans="2:7" ht="15" x14ac:dyDescent="0.25">
      <c r="B624" s="7"/>
      <c r="C624" s="7"/>
      <c r="D624" s="7"/>
      <c r="E624" s="7"/>
      <c r="F624" s="7"/>
      <c r="G624" s="7"/>
    </row>
    <row r="625" spans="2:7" ht="15" x14ac:dyDescent="0.25">
      <c r="B625" s="7"/>
      <c r="C625" s="7"/>
      <c r="D625" s="7"/>
      <c r="E625" s="7"/>
      <c r="F625" s="7"/>
      <c r="G625" s="7"/>
    </row>
    <row r="626" spans="2:7" ht="15" x14ac:dyDescent="0.25">
      <c r="B626" s="7"/>
      <c r="C626" s="7"/>
      <c r="D626" s="7"/>
      <c r="E626" s="7"/>
      <c r="F626" s="7"/>
      <c r="G626" s="7"/>
    </row>
    <row r="627" spans="2:7" ht="15" x14ac:dyDescent="0.25">
      <c r="B627" s="7"/>
      <c r="C627" s="7"/>
      <c r="D627" s="7"/>
      <c r="E627" s="7"/>
      <c r="F627" s="7"/>
      <c r="G627" s="7"/>
    </row>
    <row r="628" spans="2:7" ht="15" x14ac:dyDescent="0.25">
      <c r="B628" s="7"/>
      <c r="C628" s="7"/>
      <c r="D628" s="7"/>
      <c r="E628" s="7"/>
      <c r="F628" s="7"/>
      <c r="G628" s="7"/>
    </row>
    <row r="629" spans="2:7" ht="15" x14ac:dyDescent="0.25">
      <c r="B629" s="7"/>
      <c r="C629" s="7"/>
      <c r="D629" s="7"/>
      <c r="E629" s="7"/>
      <c r="F629" s="7"/>
      <c r="G629" s="7"/>
    </row>
    <row r="630" spans="2:7" ht="15" x14ac:dyDescent="0.25">
      <c r="B630" s="7"/>
      <c r="C630" s="7"/>
      <c r="D630" s="7"/>
      <c r="E630" s="7"/>
      <c r="F630" s="7"/>
      <c r="G630" s="7"/>
    </row>
    <row r="631" spans="2:7" ht="15" x14ac:dyDescent="0.25">
      <c r="B631" s="7"/>
      <c r="C631" s="7"/>
      <c r="D631" s="7"/>
      <c r="E631" s="7"/>
      <c r="F631" s="7"/>
      <c r="G631" s="7"/>
    </row>
    <row r="632" spans="2:7" ht="15" x14ac:dyDescent="0.25">
      <c r="B632" s="7"/>
      <c r="C632" s="7"/>
      <c r="D632" s="7"/>
      <c r="E632" s="7"/>
      <c r="F632" s="7"/>
      <c r="G632" s="7"/>
    </row>
    <row r="633" spans="2:7" ht="15" x14ac:dyDescent="0.25">
      <c r="B633" s="7"/>
      <c r="C633" s="7"/>
      <c r="D633" s="7"/>
      <c r="E633" s="7"/>
      <c r="F633" s="7"/>
      <c r="G633" s="7"/>
    </row>
    <row r="634" spans="2:7" ht="15" x14ac:dyDescent="0.25">
      <c r="B634" s="7"/>
      <c r="C634" s="7"/>
      <c r="D634" s="7"/>
      <c r="E634" s="7"/>
      <c r="F634" s="7"/>
      <c r="G634" s="7"/>
    </row>
    <row r="635" spans="2:7" ht="15" x14ac:dyDescent="0.25">
      <c r="B635" s="7"/>
      <c r="C635" s="7"/>
      <c r="D635" s="7"/>
      <c r="E635" s="7"/>
      <c r="F635" s="7"/>
      <c r="G635" s="7"/>
    </row>
    <row r="636" spans="2:7" ht="15" x14ac:dyDescent="0.25">
      <c r="B636" s="7"/>
      <c r="C636" s="7"/>
      <c r="D636" s="7"/>
      <c r="E636" s="7"/>
      <c r="F636" s="7"/>
      <c r="G636" s="7"/>
    </row>
    <row r="637" spans="2:7" ht="15" x14ac:dyDescent="0.25">
      <c r="B637" s="7"/>
      <c r="C637" s="7"/>
      <c r="D637" s="7"/>
      <c r="E637" s="7"/>
      <c r="F637" s="7"/>
      <c r="G637" s="7"/>
    </row>
    <row r="638" spans="2:7" ht="15" x14ac:dyDescent="0.25">
      <c r="B638" s="7"/>
      <c r="C638" s="7"/>
      <c r="D638" s="7"/>
      <c r="E638" s="7"/>
      <c r="F638" s="7"/>
      <c r="G638" s="7"/>
    </row>
    <row r="639" spans="2:7" ht="15" x14ac:dyDescent="0.25">
      <c r="B639" s="7"/>
      <c r="C639" s="7"/>
      <c r="D639" s="7"/>
      <c r="E639" s="7"/>
      <c r="F639" s="7"/>
      <c r="G639" s="7"/>
    </row>
    <row r="640" spans="2:7" ht="15" x14ac:dyDescent="0.25">
      <c r="B640" s="7"/>
      <c r="C640" s="7"/>
      <c r="D640" s="7"/>
      <c r="E640" s="7"/>
      <c r="F640" s="7"/>
      <c r="G640" s="7"/>
    </row>
    <row r="641" spans="2:7" ht="15" x14ac:dyDescent="0.25">
      <c r="B641" s="7"/>
      <c r="C641" s="7"/>
      <c r="D641" s="7"/>
      <c r="E641" s="7"/>
      <c r="F641" s="7"/>
      <c r="G641" s="7"/>
    </row>
    <row r="642" spans="2:7" ht="15" x14ac:dyDescent="0.25">
      <c r="B642" s="7"/>
      <c r="C642" s="7"/>
      <c r="D642" s="7"/>
      <c r="E642" s="7"/>
      <c r="F642" s="7"/>
      <c r="G642" s="7"/>
    </row>
    <row r="643" spans="2:7" ht="15" x14ac:dyDescent="0.25">
      <c r="B643" s="7"/>
      <c r="C643" s="7"/>
      <c r="D643" s="7"/>
      <c r="E643" s="7"/>
      <c r="F643" s="7"/>
      <c r="G643" s="7"/>
    </row>
    <row r="644" spans="2:7" ht="15" x14ac:dyDescent="0.25">
      <c r="B644" s="7"/>
      <c r="C644" s="7"/>
      <c r="D644" s="7"/>
      <c r="E644" s="7"/>
      <c r="F644" s="7"/>
      <c r="G644" s="7"/>
    </row>
    <row r="645" spans="2:7" ht="15" x14ac:dyDescent="0.25">
      <c r="B645" s="7"/>
      <c r="C645" s="7"/>
      <c r="D645" s="7"/>
      <c r="E645" s="7"/>
      <c r="F645" s="7"/>
      <c r="G645" s="7"/>
    </row>
    <row r="646" spans="2:7" ht="15" x14ac:dyDescent="0.25">
      <c r="B646" s="7"/>
      <c r="C646" s="7"/>
      <c r="D646" s="7"/>
      <c r="E646" s="7"/>
      <c r="F646" s="7"/>
      <c r="G646" s="7"/>
    </row>
    <row r="647" spans="2:7" ht="15" x14ac:dyDescent="0.25">
      <c r="B647" s="7"/>
      <c r="C647" s="7"/>
      <c r="D647" s="7"/>
      <c r="E647" s="7"/>
      <c r="F647" s="7"/>
      <c r="G647" s="7"/>
    </row>
    <row r="648" spans="2:7" ht="15" x14ac:dyDescent="0.25">
      <c r="B648" s="7"/>
      <c r="C648" s="7"/>
      <c r="D648" s="7"/>
      <c r="E648" s="7"/>
      <c r="F648" s="7"/>
      <c r="G648" s="7"/>
    </row>
    <row r="649" spans="2:7" ht="15" x14ac:dyDescent="0.25">
      <c r="B649" s="7"/>
      <c r="C649" s="7"/>
      <c r="D649" s="7"/>
      <c r="E649" s="7"/>
      <c r="F649" s="7"/>
      <c r="G649" s="7"/>
    </row>
    <row r="650" spans="2:7" ht="15" x14ac:dyDescent="0.25">
      <c r="B650" s="7"/>
      <c r="C650" s="7"/>
      <c r="D650" s="7"/>
      <c r="E650" s="7"/>
      <c r="F650" s="7"/>
      <c r="G650" s="7"/>
    </row>
    <row r="651" spans="2:7" ht="15" x14ac:dyDescent="0.25">
      <c r="B651" s="7"/>
      <c r="C651" s="7"/>
      <c r="D651" s="7"/>
      <c r="E651" s="7"/>
      <c r="F651" s="7"/>
      <c r="G651" s="7"/>
    </row>
    <row r="652" spans="2:7" ht="15" x14ac:dyDescent="0.25">
      <c r="B652" s="7"/>
      <c r="C652" s="7"/>
      <c r="D652" s="7"/>
      <c r="E652" s="7"/>
      <c r="F652" s="7"/>
      <c r="G652" s="7"/>
    </row>
    <row r="653" spans="2:7" ht="15" x14ac:dyDescent="0.25">
      <c r="B653" s="7"/>
      <c r="C653" s="7"/>
      <c r="D653" s="7"/>
      <c r="E653" s="7"/>
      <c r="F653" s="7"/>
      <c r="G653" s="7"/>
    </row>
    <row r="654" spans="2:7" ht="15" x14ac:dyDescent="0.25">
      <c r="B654" s="7"/>
      <c r="C654" s="7"/>
      <c r="D654" s="7"/>
      <c r="E654" s="7"/>
      <c r="F654" s="7"/>
      <c r="G654" s="7"/>
    </row>
    <row r="655" spans="2:7" ht="15" x14ac:dyDescent="0.25">
      <c r="B655" s="7"/>
      <c r="C655" s="7"/>
      <c r="D655" s="7"/>
      <c r="E655" s="7"/>
      <c r="F655" s="7"/>
      <c r="G655" s="7"/>
    </row>
    <row r="656" spans="2:7" ht="15" x14ac:dyDescent="0.25">
      <c r="B656" s="7"/>
      <c r="C656" s="7"/>
      <c r="D656" s="7"/>
      <c r="E656" s="7"/>
      <c r="F656" s="7"/>
      <c r="G656" s="7"/>
    </row>
    <row r="657" spans="2:7" ht="15" x14ac:dyDescent="0.25">
      <c r="B657" s="7"/>
      <c r="C657" s="7"/>
      <c r="D657" s="7"/>
      <c r="E657" s="7"/>
      <c r="F657" s="7"/>
      <c r="G657" s="7"/>
    </row>
    <row r="658" spans="2:7" ht="15" x14ac:dyDescent="0.25">
      <c r="B658" s="7"/>
      <c r="C658" s="7"/>
      <c r="D658" s="7"/>
      <c r="E658" s="7"/>
      <c r="F658" s="7"/>
      <c r="G658" s="7"/>
    </row>
    <row r="659" spans="2:7" ht="15" x14ac:dyDescent="0.25">
      <c r="B659" s="7"/>
      <c r="C659" s="7"/>
      <c r="D659" s="7"/>
      <c r="E659" s="7"/>
      <c r="F659" s="7"/>
      <c r="G659" s="7"/>
    </row>
    <row r="660" spans="2:7" ht="15" x14ac:dyDescent="0.25">
      <c r="B660" s="7"/>
      <c r="C660" s="7"/>
      <c r="D660" s="7"/>
      <c r="E660" s="7"/>
      <c r="F660" s="7"/>
      <c r="G660" s="7"/>
    </row>
    <row r="661" spans="2:7" ht="15" x14ac:dyDescent="0.25">
      <c r="B661" s="7"/>
      <c r="C661" s="7"/>
      <c r="D661" s="7"/>
      <c r="E661" s="7"/>
      <c r="F661" s="7"/>
      <c r="G661" s="7"/>
    </row>
    <row r="662" spans="2:7" ht="15" x14ac:dyDescent="0.25">
      <c r="B662" s="7"/>
      <c r="C662" s="7"/>
      <c r="D662" s="7"/>
      <c r="E662" s="7"/>
      <c r="F662" s="7"/>
      <c r="G662" s="7"/>
    </row>
    <row r="663" spans="2:7" ht="15" x14ac:dyDescent="0.25">
      <c r="B663" s="7"/>
      <c r="C663" s="7"/>
      <c r="D663" s="7"/>
      <c r="E663" s="7"/>
      <c r="F663" s="7"/>
      <c r="G663" s="7"/>
    </row>
    <row r="664" spans="2:7" ht="15" x14ac:dyDescent="0.25">
      <c r="B664" s="7"/>
      <c r="C664" s="7"/>
      <c r="D664" s="7"/>
      <c r="E664" s="7"/>
      <c r="F664" s="7"/>
      <c r="G664" s="7"/>
    </row>
    <row r="665" spans="2:7" ht="15" x14ac:dyDescent="0.25">
      <c r="B665" s="7"/>
      <c r="C665" s="7"/>
      <c r="D665" s="7"/>
      <c r="E665" s="7"/>
      <c r="F665" s="7"/>
      <c r="G665" s="7"/>
    </row>
    <row r="666" spans="2:7" ht="15" x14ac:dyDescent="0.25">
      <c r="B666" s="7"/>
      <c r="C666" s="7"/>
      <c r="D666" s="7"/>
      <c r="E666" s="7"/>
      <c r="F666" s="7"/>
      <c r="G666" s="7"/>
    </row>
    <row r="667" spans="2:7" ht="15" x14ac:dyDescent="0.25">
      <c r="B667" s="7"/>
      <c r="C667" s="7"/>
      <c r="D667" s="7"/>
      <c r="E667" s="7"/>
      <c r="F667" s="7"/>
      <c r="G667" s="7"/>
    </row>
    <row r="668" spans="2:7" ht="15" x14ac:dyDescent="0.25">
      <c r="B668" s="7"/>
      <c r="C668" s="7"/>
      <c r="D668" s="7"/>
      <c r="E668" s="7"/>
      <c r="F668" s="7"/>
      <c r="G668" s="7"/>
    </row>
    <row r="669" spans="2:7" ht="15" x14ac:dyDescent="0.25">
      <c r="B669" s="7"/>
      <c r="C669" s="7"/>
      <c r="D669" s="7"/>
      <c r="E669" s="7"/>
      <c r="F669" s="7"/>
      <c r="G669" s="7"/>
    </row>
    <row r="670" spans="2:7" ht="15" x14ac:dyDescent="0.25">
      <c r="B670" s="7"/>
      <c r="C670" s="7"/>
      <c r="D670" s="7"/>
      <c r="E670" s="7"/>
      <c r="F670" s="7"/>
      <c r="G670" s="7"/>
    </row>
    <row r="671" spans="2:7" ht="15" x14ac:dyDescent="0.25">
      <c r="B671" s="7"/>
      <c r="C671" s="7"/>
      <c r="D671" s="7"/>
      <c r="E671" s="7"/>
      <c r="F671" s="7"/>
      <c r="G671" s="7"/>
    </row>
    <row r="672" spans="2:7" ht="15" x14ac:dyDescent="0.25">
      <c r="B672" s="7"/>
      <c r="C672" s="7"/>
      <c r="D672" s="7"/>
      <c r="E672" s="7"/>
      <c r="F672" s="7"/>
      <c r="G672" s="7"/>
    </row>
    <row r="673" spans="2:7" ht="15" x14ac:dyDescent="0.25">
      <c r="B673" s="7"/>
      <c r="C673" s="7"/>
      <c r="D673" s="7"/>
      <c r="E673" s="7"/>
      <c r="F673" s="7"/>
      <c r="G673" s="7"/>
    </row>
    <row r="674" spans="2:7" ht="15" x14ac:dyDescent="0.25">
      <c r="B674" s="7"/>
      <c r="C674" s="7"/>
      <c r="D674" s="7"/>
      <c r="E674" s="7"/>
      <c r="F674" s="7"/>
      <c r="G674" s="7"/>
    </row>
    <row r="675" spans="2:7" ht="15" x14ac:dyDescent="0.25">
      <c r="B675" s="7"/>
      <c r="C675" s="7"/>
      <c r="D675" s="7"/>
      <c r="E675" s="7"/>
      <c r="F675" s="7"/>
      <c r="G675" s="7"/>
    </row>
    <row r="676" spans="2:7" ht="15" x14ac:dyDescent="0.25">
      <c r="B676" s="7"/>
      <c r="C676" s="7"/>
      <c r="D676" s="7"/>
      <c r="E676" s="7"/>
      <c r="F676" s="7"/>
      <c r="G676" s="7"/>
    </row>
    <row r="677" spans="2:7" ht="15" x14ac:dyDescent="0.25">
      <c r="B677" s="7"/>
      <c r="C677" s="7"/>
      <c r="D677" s="7"/>
      <c r="E677" s="7"/>
      <c r="F677" s="7"/>
      <c r="G677" s="7"/>
    </row>
    <row r="678" spans="2:7" ht="15" x14ac:dyDescent="0.25">
      <c r="B678" s="7"/>
      <c r="C678" s="7"/>
      <c r="D678" s="7"/>
      <c r="E678" s="7"/>
      <c r="F678" s="7"/>
      <c r="G678" s="7"/>
    </row>
    <row r="679" spans="2:7" ht="15" x14ac:dyDescent="0.25">
      <c r="B679" s="7"/>
      <c r="C679" s="7"/>
      <c r="D679" s="7"/>
      <c r="E679" s="7"/>
      <c r="F679" s="7"/>
      <c r="G679" s="7"/>
    </row>
    <row r="680" spans="2:7" ht="15" x14ac:dyDescent="0.25">
      <c r="B680" s="7"/>
      <c r="C680" s="7"/>
      <c r="D680" s="7"/>
      <c r="E680" s="7"/>
      <c r="F680" s="7"/>
      <c r="G680" s="7"/>
    </row>
    <row r="681" spans="2:7" ht="15" x14ac:dyDescent="0.25">
      <c r="B681" s="7"/>
      <c r="C681" s="7"/>
      <c r="D681" s="7"/>
      <c r="E681" s="7"/>
      <c r="F681" s="7"/>
      <c r="G681" s="7"/>
    </row>
    <row r="682" spans="2:7" ht="15" x14ac:dyDescent="0.25">
      <c r="B682" s="7"/>
      <c r="C682" s="7"/>
      <c r="D682" s="7"/>
      <c r="E682" s="7"/>
      <c r="F682" s="7"/>
      <c r="G682" s="7"/>
    </row>
    <row r="683" spans="2:7" ht="15" x14ac:dyDescent="0.25">
      <c r="B683" s="7"/>
      <c r="C683" s="7"/>
      <c r="D683" s="7"/>
      <c r="E683" s="7"/>
      <c r="F683" s="7"/>
      <c r="G683" s="7"/>
    </row>
    <row r="684" spans="2:7" ht="15" x14ac:dyDescent="0.25">
      <c r="B684" s="7"/>
      <c r="C684" s="7"/>
      <c r="D684" s="7"/>
      <c r="E684" s="7"/>
      <c r="F684" s="7"/>
      <c r="G684" s="7"/>
    </row>
    <row r="685" spans="2:7" ht="15" x14ac:dyDescent="0.25">
      <c r="B685" s="7"/>
      <c r="C685" s="7"/>
      <c r="D685" s="7"/>
      <c r="E685" s="7"/>
      <c r="F685" s="7"/>
      <c r="G685" s="7"/>
    </row>
    <row r="686" spans="2:7" ht="15" x14ac:dyDescent="0.25">
      <c r="B686" s="7"/>
      <c r="C686" s="7"/>
      <c r="D686" s="7"/>
      <c r="E686" s="7"/>
      <c r="F686" s="7"/>
      <c r="G686" s="7"/>
    </row>
    <row r="687" spans="2:7" ht="15" x14ac:dyDescent="0.25">
      <c r="B687" s="7"/>
      <c r="C687" s="7"/>
      <c r="D687" s="7"/>
      <c r="E687" s="7"/>
      <c r="F687" s="7"/>
      <c r="G687" s="7"/>
    </row>
    <row r="688" spans="2:7" ht="15" x14ac:dyDescent="0.25">
      <c r="B688" s="7"/>
      <c r="C688" s="7"/>
      <c r="D688" s="7"/>
      <c r="E688" s="7"/>
      <c r="F688" s="7"/>
      <c r="G688" s="7"/>
    </row>
    <row r="689" spans="2:7" ht="15" x14ac:dyDescent="0.25">
      <c r="B689" s="7"/>
      <c r="C689" s="7"/>
      <c r="D689" s="7"/>
      <c r="E689" s="7"/>
      <c r="F689" s="7"/>
      <c r="G689" s="7"/>
    </row>
    <row r="690" spans="2:7" ht="15" x14ac:dyDescent="0.25">
      <c r="B690" s="7"/>
      <c r="C690" s="7"/>
      <c r="D690" s="7"/>
      <c r="E690" s="7"/>
      <c r="F690" s="7"/>
      <c r="G690" s="7"/>
    </row>
    <row r="691" spans="2:7" ht="15" x14ac:dyDescent="0.25">
      <c r="B691" s="7"/>
      <c r="C691" s="7"/>
      <c r="D691" s="7"/>
      <c r="E691" s="7"/>
      <c r="F691" s="7"/>
      <c r="G691" s="7"/>
    </row>
    <row r="692" spans="2:7" ht="15" x14ac:dyDescent="0.25">
      <c r="B692" s="7"/>
      <c r="C692" s="7"/>
      <c r="D692" s="7"/>
      <c r="E692" s="7"/>
      <c r="F692" s="7"/>
      <c r="G692" s="7"/>
    </row>
    <row r="693" spans="2:7" ht="15" x14ac:dyDescent="0.25">
      <c r="B693" s="7"/>
      <c r="C693" s="7"/>
      <c r="D693" s="7"/>
      <c r="E693" s="7"/>
      <c r="F693" s="7"/>
      <c r="G693" s="7"/>
    </row>
    <row r="694" spans="2:7" ht="15" x14ac:dyDescent="0.25">
      <c r="B694" s="7"/>
      <c r="C694" s="7"/>
      <c r="D694" s="7"/>
      <c r="E694" s="7"/>
      <c r="F694" s="7"/>
      <c r="G694" s="7"/>
    </row>
    <row r="695" spans="2:7" ht="15" x14ac:dyDescent="0.25">
      <c r="B695" s="7"/>
      <c r="C695" s="7"/>
      <c r="D695" s="7"/>
      <c r="E695" s="7"/>
      <c r="F695" s="7"/>
      <c r="G695" s="7"/>
    </row>
    <row r="696" spans="2:7" ht="15" x14ac:dyDescent="0.25">
      <c r="B696" s="7"/>
      <c r="C696" s="7"/>
      <c r="D696" s="7"/>
      <c r="E696" s="7"/>
      <c r="F696" s="7"/>
      <c r="G696" s="7"/>
    </row>
    <row r="697" spans="2:7" ht="15" x14ac:dyDescent="0.25">
      <c r="B697" s="7"/>
      <c r="C697" s="7"/>
      <c r="D697" s="7"/>
      <c r="E697" s="7"/>
      <c r="F697" s="7"/>
      <c r="G697" s="7"/>
    </row>
    <row r="698" spans="2:7" ht="15" x14ac:dyDescent="0.25">
      <c r="B698" s="7"/>
      <c r="C698" s="7"/>
      <c r="D698" s="7"/>
      <c r="E698" s="7"/>
      <c r="F698" s="7"/>
      <c r="G698" s="7"/>
    </row>
    <row r="699" spans="2:7" ht="15" x14ac:dyDescent="0.25">
      <c r="B699" s="7"/>
      <c r="C699" s="7"/>
      <c r="D699" s="7"/>
      <c r="E699" s="7"/>
      <c r="F699" s="7"/>
      <c r="G699" s="7"/>
    </row>
    <row r="700" spans="2:7" ht="15" x14ac:dyDescent="0.25">
      <c r="B700" s="7"/>
      <c r="C700" s="7"/>
      <c r="D700" s="7"/>
      <c r="E700" s="7"/>
      <c r="F700" s="7"/>
      <c r="G700" s="7"/>
    </row>
    <row r="701" spans="2:7" ht="15" x14ac:dyDescent="0.25">
      <c r="B701" s="7"/>
      <c r="C701" s="7"/>
      <c r="D701" s="7"/>
      <c r="E701" s="7"/>
      <c r="F701" s="7"/>
      <c r="G701" s="7"/>
    </row>
    <row r="702" spans="2:7" ht="15" x14ac:dyDescent="0.25">
      <c r="B702" s="7"/>
      <c r="C702" s="7"/>
      <c r="D702" s="7"/>
      <c r="E702" s="7"/>
      <c r="F702" s="7"/>
      <c r="G702" s="7"/>
    </row>
    <row r="703" spans="2:7" ht="15" x14ac:dyDescent="0.25">
      <c r="B703" s="7"/>
      <c r="C703" s="7"/>
      <c r="D703" s="7"/>
      <c r="E703" s="7"/>
      <c r="F703" s="7"/>
      <c r="G703" s="7"/>
    </row>
    <row r="704" spans="2:7" ht="15" x14ac:dyDescent="0.25">
      <c r="B704" s="7"/>
      <c r="C704" s="7"/>
      <c r="D704" s="7"/>
      <c r="E704" s="7"/>
      <c r="F704" s="7"/>
      <c r="G704" s="7"/>
    </row>
    <row r="705" spans="2:7" ht="15" x14ac:dyDescent="0.25">
      <c r="B705" s="7"/>
      <c r="C705" s="7"/>
      <c r="D705" s="7"/>
      <c r="E705" s="7"/>
      <c r="F705" s="7"/>
      <c r="G705" s="7"/>
    </row>
    <row r="706" spans="2:7" ht="15" x14ac:dyDescent="0.25">
      <c r="B706" s="7"/>
      <c r="C706" s="7"/>
      <c r="D706" s="7"/>
      <c r="E706" s="7"/>
      <c r="F706" s="7"/>
      <c r="G706" s="7"/>
    </row>
    <row r="707" spans="2:7" ht="15" x14ac:dyDescent="0.25">
      <c r="B707" s="7"/>
      <c r="C707" s="7"/>
      <c r="D707" s="7"/>
      <c r="E707" s="7"/>
      <c r="F707" s="7"/>
      <c r="G707" s="7"/>
    </row>
    <row r="708" spans="2:7" ht="15" x14ac:dyDescent="0.25">
      <c r="B708" s="7"/>
      <c r="C708" s="7"/>
      <c r="D708" s="7"/>
      <c r="E708" s="7"/>
      <c r="F708" s="7"/>
      <c r="G708" s="7"/>
    </row>
    <row r="709" spans="2:7" ht="15" x14ac:dyDescent="0.25">
      <c r="B709" s="7"/>
      <c r="C709" s="7"/>
      <c r="D709" s="7"/>
      <c r="E709" s="7"/>
      <c r="F709" s="7"/>
      <c r="G709" s="7"/>
    </row>
    <row r="710" spans="2:7" ht="15" x14ac:dyDescent="0.25">
      <c r="B710" s="7"/>
      <c r="C710" s="7"/>
      <c r="D710" s="7"/>
      <c r="E710" s="7"/>
      <c r="F710" s="7"/>
      <c r="G710" s="7"/>
    </row>
    <row r="711" spans="2:7" ht="15" x14ac:dyDescent="0.25">
      <c r="B711" s="7"/>
      <c r="C711" s="7"/>
      <c r="D711" s="7"/>
      <c r="E711" s="7"/>
      <c r="F711" s="7"/>
      <c r="G711" s="7"/>
    </row>
    <row r="712" spans="2:7" ht="15" x14ac:dyDescent="0.25">
      <c r="B712" s="7"/>
      <c r="C712" s="7"/>
      <c r="D712" s="7"/>
      <c r="E712" s="7"/>
      <c r="F712" s="7"/>
      <c r="G712" s="7"/>
    </row>
    <row r="713" spans="2:7" ht="15" x14ac:dyDescent="0.25">
      <c r="B713" s="7"/>
      <c r="C713" s="7"/>
      <c r="D713" s="7"/>
      <c r="E713" s="7"/>
      <c r="F713" s="7"/>
      <c r="G713" s="7"/>
    </row>
    <row r="714" spans="2:7" ht="15" x14ac:dyDescent="0.25">
      <c r="B714" s="7"/>
      <c r="C714" s="7"/>
      <c r="D714" s="7"/>
      <c r="E714" s="7"/>
      <c r="F714" s="7"/>
      <c r="G714" s="7"/>
    </row>
    <row r="715" spans="2:7" ht="15" x14ac:dyDescent="0.25">
      <c r="B715" s="7"/>
      <c r="C715" s="7"/>
      <c r="D715" s="7"/>
      <c r="E715" s="7"/>
      <c r="F715" s="7"/>
      <c r="G715" s="7"/>
    </row>
    <row r="716" spans="2:7" ht="15" x14ac:dyDescent="0.25">
      <c r="B716" s="7"/>
      <c r="C716" s="7"/>
      <c r="D716" s="7"/>
      <c r="E716" s="7"/>
      <c r="F716" s="7"/>
      <c r="G716" s="7"/>
    </row>
    <row r="717" spans="2:7" ht="15" x14ac:dyDescent="0.25">
      <c r="B717" s="7"/>
      <c r="C717" s="7"/>
      <c r="D717" s="7"/>
      <c r="E717" s="7"/>
      <c r="F717" s="7"/>
      <c r="G717" s="7"/>
    </row>
    <row r="718" spans="2:7" ht="15" x14ac:dyDescent="0.25">
      <c r="B718" s="7"/>
      <c r="C718" s="7"/>
      <c r="D718" s="7"/>
      <c r="E718" s="7"/>
      <c r="F718" s="7"/>
      <c r="G718" s="7"/>
    </row>
    <row r="719" spans="2:7" ht="15" x14ac:dyDescent="0.25">
      <c r="B719" s="7"/>
      <c r="C719" s="7"/>
      <c r="D719" s="7"/>
      <c r="E719" s="7"/>
      <c r="F719" s="7"/>
      <c r="G719" s="7"/>
    </row>
    <row r="720" spans="2:7" ht="15" x14ac:dyDescent="0.25">
      <c r="B720" s="7"/>
      <c r="C720" s="7"/>
      <c r="D720" s="7"/>
      <c r="E720" s="7"/>
      <c r="F720" s="7"/>
      <c r="G720" s="7"/>
    </row>
    <row r="721" spans="2:7" ht="15" x14ac:dyDescent="0.25">
      <c r="B721" s="7"/>
      <c r="C721" s="7"/>
      <c r="D721" s="7"/>
      <c r="E721" s="7"/>
      <c r="F721" s="7"/>
      <c r="G721" s="7"/>
    </row>
    <row r="722" spans="2:7" ht="15" x14ac:dyDescent="0.25">
      <c r="B722" s="7"/>
      <c r="C722" s="7"/>
      <c r="D722" s="7"/>
      <c r="E722" s="7"/>
      <c r="F722" s="7"/>
      <c r="G722" s="7"/>
    </row>
    <row r="723" spans="2:7" ht="15" x14ac:dyDescent="0.25">
      <c r="B723" s="7"/>
      <c r="C723" s="7"/>
      <c r="D723" s="7"/>
      <c r="E723" s="7"/>
      <c r="F723" s="7"/>
      <c r="G723" s="7"/>
    </row>
    <row r="724" spans="2:7" ht="15" x14ac:dyDescent="0.25">
      <c r="B724" s="7"/>
      <c r="C724" s="7"/>
      <c r="D724" s="7"/>
      <c r="E724" s="7"/>
      <c r="F724" s="7"/>
      <c r="G724" s="7"/>
    </row>
    <row r="725" spans="2:7" ht="15" x14ac:dyDescent="0.25">
      <c r="B725" s="7"/>
      <c r="C725" s="7"/>
      <c r="D725" s="7"/>
      <c r="E725" s="7"/>
      <c r="F725" s="7"/>
      <c r="G725" s="7"/>
    </row>
    <row r="726" spans="2:7" ht="15" x14ac:dyDescent="0.25">
      <c r="B726" s="7"/>
      <c r="C726" s="7"/>
      <c r="D726" s="7"/>
      <c r="E726" s="7"/>
      <c r="F726" s="7"/>
      <c r="G726" s="7"/>
    </row>
    <row r="727" spans="2:7" ht="15" x14ac:dyDescent="0.25">
      <c r="B727" s="7"/>
      <c r="C727" s="7"/>
      <c r="D727" s="7"/>
      <c r="E727" s="7"/>
      <c r="F727" s="7"/>
      <c r="G727" s="7"/>
    </row>
    <row r="728" spans="2:7" ht="15" x14ac:dyDescent="0.25">
      <c r="B728" s="7"/>
      <c r="C728" s="7"/>
      <c r="D728" s="7"/>
      <c r="E728" s="7"/>
      <c r="F728" s="7"/>
      <c r="G728" s="7"/>
    </row>
    <row r="729" spans="2:7" ht="15" x14ac:dyDescent="0.25">
      <c r="B729" s="7"/>
      <c r="C729" s="7"/>
      <c r="D729" s="7"/>
      <c r="E729" s="7"/>
      <c r="F729" s="7"/>
      <c r="G729" s="7"/>
    </row>
    <row r="730" spans="2:7" ht="15" x14ac:dyDescent="0.25">
      <c r="B730" s="7"/>
      <c r="C730" s="7"/>
      <c r="D730" s="7"/>
      <c r="E730" s="7"/>
      <c r="F730" s="7"/>
      <c r="G730" s="7"/>
    </row>
    <row r="731" spans="2:7" ht="15" x14ac:dyDescent="0.25">
      <c r="B731" s="7"/>
      <c r="C731" s="7"/>
      <c r="D731" s="7"/>
      <c r="E731" s="7"/>
      <c r="F731" s="7"/>
      <c r="G731" s="7"/>
    </row>
    <row r="732" spans="2:7" ht="15" x14ac:dyDescent="0.25">
      <c r="B732" s="7"/>
      <c r="C732" s="7"/>
      <c r="D732" s="7"/>
      <c r="E732" s="7"/>
      <c r="F732" s="7"/>
      <c r="G732" s="7"/>
    </row>
    <row r="733" spans="2:7" ht="15" x14ac:dyDescent="0.25">
      <c r="B733" s="7"/>
      <c r="C733" s="7"/>
      <c r="D733" s="7"/>
      <c r="E733" s="7"/>
      <c r="F733" s="7"/>
      <c r="G733" s="7"/>
    </row>
    <row r="734" spans="2:7" ht="15" x14ac:dyDescent="0.25">
      <c r="B734" s="7"/>
      <c r="C734" s="7"/>
      <c r="D734" s="7"/>
      <c r="E734" s="7"/>
      <c r="F734" s="7"/>
      <c r="G734" s="7"/>
    </row>
    <row r="735" spans="2:7" ht="15" x14ac:dyDescent="0.25">
      <c r="B735" s="7"/>
      <c r="C735" s="7"/>
      <c r="D735" s="7"/>
      <c r="E735" s="7"/>
      <c r="F735" s="7"/>
      <c r="G735" s="7"/>
    </row>
    <row r="736" spans="2:7" ht="15" x14ac:dyDescent="0.25">
      <c r="B736" s="7"/>
      <c r="C736" s="7"/>
      <c r="D736" s="7"/>
      <c r="E736" s="7"/>
      <c r="F736" s="7"/>
      <c r="G736" s="7"/>
    </row>
    <row r="737" spans="2:7" ht="15" x14ac:dyDescent="0.25">
      <c r="B737" s="7"/>
      <c r="C737" s="7"/>
      <c r="D737" s="7"/>
      <c r="E737" s="7"/>
      <c r="F737" s="7"/>
      <c r="G737" s="7"/>
    </row>
    <row r="738" spans="2:7" ht="15" x14ac:dyDescent="0.25">
      <c r="B738" s="7"/>
      <c r="C738" s="7"/>
      <c r="D738" s="7"/>
      <c r="E738" s="7"/>
      <c r="F738" s="7"/>
      <c r="G738" s="7"/>
    </row>
    <row r="739" spans="2:7" ht="15" x14ac:dyDescent="0.25">
      <c r="B739" s="7"/>
      <c r="C739" s="7"/>
      <c r="D739" s="7"/>
      <c r="E739" s="7"/>
      <c r="F739" s="7"/>
      <c r="G739" s="7"/>
    </row>
    <row r="740" spans="2:7" ht="15" x14ac:dyDescent="0.25">
      <c r="B740" s="7"/>
      <c r="C740" s="7"/>
      <c r="D740" s="7"/>
      <c r="E740" s="7"/>
      <c r="F740" s="7"/>
      <c r="G740" s="7"/>
    </row>
    <row r="741" spans="2:7" ht="15" x14ac:dyDescent="0.25">
      <c r="B741" s="7"/>
      <c r="C741" s="7"/>
      <c r="D741" s="7"/>
      <c r="E741" s="7"/>
      <c r="F741" s="7"/>
      <c r="G741" s="7"/>
    </row>
    <row r="742" spans="2:7" ht="15" x14ac:dyDescent="0.25">
      <c r="B742" s="7"/>
      <c r="C742" s="7"/>
      <c r="D742" s="7"/>
      <c r="E742" s="7"/>
      <c r="F742" s="7"/>
      <c r="G742" s="7"/>
    </row>
    <row r="743" spans="2:7" ht="15" x14ac:dyDescent="0.25">
      <c r="B743" s="7"/>
      <c r="C743" s="7"/>
      <c r="D743" s="7"/>
      <c r="E743" s="7"/>
      <c r="F743" s="7"/>
      <c r="G743" s="7"/>
    </row>
    <row r="744" spans="2:7" ht="15" x14ac:dyDescent="0.25">
      <c r="B744" s="7"/>
      <c r="C744" s="7"/>
      <c r="D744" s="7"/>
      <c r="E744" s="7"/>
      <c r="F744" s="7"/>
      <c r="G744" s="7"/>
    </row>
    <row r="745" spans="2:7" ht="15" x14ac:dyDescent="0.25">
      <c r="B745" s="7"/>
      <c r="C745" s="7"/>
      <c r="D745" s="7"/>
      <c r="E745" s="7"/>
      <c r="F745" s="7"/>
      <c r="G745" s="7"/>
    </row>
    <row r="746" spans="2:7" ht="15" x14ac:dyDescent="0.25">
      <c r="B746" s="7"/>
      <c r="C746" s="7"/>
      <c r="D746" s="7"/>
      <c r="E746" s="7"/>
      <c r="F746" s="7"/>
      <c r="G746" s="7"/>
    </row>
    <row r="747" spans="2:7" ht="15" x14ac:dyDescent="0.25">
      <c r="B747" s="7"/>
      <c r="C747" s="7"/>
      <c r="D747" s="7"/>
      <c r="E747" s="7"/>
      <c r="F747" s="7"/>
      <c r="G747" s="7"/>
    </row>
    <row r="748" spans="2:7" ht="15" x14ac:dyDescent="0.25">
      <c r="B748" s="7"/>
      <c r="C748" s="7"/>
      <c r="D748" s="7"/>
      <c r="E748" s="7"/>
      <c r="F748" s="7"/>
      <c r="G748" s="7"/>
    </row>
    <row r="749" spans="2:7" ht="15" x14ac:dyDescent="0.25">
      <c r="B749" s="7"/>
      <c r="C749" s="7"/>
      <c r="D749" s="7"/>
      <c r="E749" s="7"/>
      <c r="F749" s="7"/>
      <c r="G749" s="7"/>
    </row>
    <row r="750" spans="2:7" ht="15" x14ac:dyDescent="0.25">
      <c r="B750" s="7"/>
      <c r="C750" s="7"/>
      <c r="D750" s="7"/>
      <c r="E750" s="7"/>
      <c r="F750" s="7"/>
      <c r="G750" s="7"/>
    </row>
    <row r="751" spans="2:7" ht="15" x14ac:dyDescent="0.25">
      <c r="B751" s="7"/>
      <c r="C751" s="7"/>
      <c r="D751" s="7"/>
      <c r="E751" s="7"/>
      <c r="F751" s="7"/>
      <c r="G751" s="7"/>
    </row>
    <row r="752" spans="2:7" ht="15" x14ac:dyDescent="0.25">
      <c r="B752" s="7"/>
      <c r="C752" s="7"/>
      <c r="D752" s="7"/>
      <c r="E752" s="7"/>
      <c r="F752" s="7"/>
      <c r="G752" s="7"/>
    </row>
    <row r="753" spans="2:7" ht="15" x14ac:dyDescent="0.25">
      <c r="B753" s="7"/>
      <c r="C753" s="7"/>
      <c r="D753" s="7"/>
      <c r="E753" s="7"/>
      <c r="F753" s="7"/>
      <c r="G753" s="7"/>
    </row>
    <row r="754" spans="2:7" ht="15" x14ac:dyDescent="0.25">
      <c r="B754" s="7"/>
      <c r="C754" s="7"/>
      <c r="D754" s="7"/>
      <c r="E754" s="7"/>
      <c r="F754" s="7"/>
      <c r="G754" s="7"/>
    </row>
    <row r="755" spans="2:7" ht="15" x14ac:dyDescent="0.25">
      <c r="B755" s="7"/>
      <c r="C755" s="7"/>
      <c r="D755" s="7"/>
      <c r="E755" s="7"/>
      <c r="F755" s="7"/>
      <c r="G755" s="7"/>
    </row>
    <row r="756" spans="2:7" ht="15" x14ac:dyDescent="0.25">
      <c r="B756" s="7"/>
      <c r="C756" s="7"/>
      <c r="D756" s="7"/>
      <c r="E756" s="7"/>
      <c r="F756" s="7"/>
      <c r="G756" s="7"/>
    </row>
    <row r="757" spans="2:7" ht="15" x14ac:dyDescent="0.25">
      <c r="B757" s="7"/>
      <c r="C757" s="7"/>
      <c r="D757" s="7"/>
      <c r="E757" s="7"/>
      <c r="F757" s="7"/>
      <c r="G757" s="7"/>
    </row>
    <row r="758" spans="2:7" ht="15" x14ac:dyDescent="0.25">
      <c r="B758" s="7"/>
      <c r="C758" s="7"/>
      <c r="D758" s="7"/>
      <c r="E758" s="7"/>
      <c r="F758" s="7"/>
      <c r="G758" s="7"/>
    </row>
    <row r="759" spans="2:7" ht="15" x14ac:dyDescent="0.25">
      <c r="B759" s="7"/>
      <c r="C759" s="7"/>
      <c r="D759" s="7"/>
      <c r="E759" s="7"/>
      <c r="F759" s="7"/>
      <c r="G759" s="7"/>
    </row>
    <row r="760" spans="2:7" ht="15" x14ac:dyDescent="0.25">
      <c r="B760" s="7"/>
      <c r="C760" s="7"/>
      <c r="D760" s="7"/>
      <c r="E760" s="7"/>
      <c r="F760" s="7"/>
      <c r="G760" s="7"/>
    </row>
    <row r="761" spans="2:7" ht="15" x14ac:dyDescent="0.25">
      <c r="B761" s="7"/>
      <c r="C761" s="7"/>
      <c r="D761" s="7"/>
      <c r="E761" s="7"/>
      <c r="F761" s="7"/>
      <c r="G761" s="7"/>
    </row>
    <row r="762" spans="2:7" ht="15" x14ac:dyDescent="0.25">
      <c r="B762" s="7"/>
      <c r="C762" s="7"/>
      <c r="D762" s="7"/>
      <c r="E762" s="7"/>
      <c r="F762" s="7"/>
      <c r="G762" s="7"/>
    </row>
    <row r="763" spans="2:7" ht="15" x14ac:dyDescent="0.25">
      <c r="B763" s="7"/>
      <c r="C763" s="7"/>
      <c r="D763" s="7"/>
      <c r="E763" s="7"/>
      <c r="F763" s="7"/>
      <c r="G763" s="7"/>
    </row>
    <row r="764" spans="2:7" ht="15" x14ac:dyDescent="0.25">
      <c r="B764" s="7"/>
      <c r="C764" s="7"/>
      <c r="D764" s="7"/>
      <c r="E764" s="7"/>
      <c r="F764" s="7"/>
      <c r="G764" s="7"/>
    </row>
    <row r="765" spans="2:7" ht="15" x14ac:dyDescent="0.25">
      <c r="B765" s="7"/>
      <c r="C765" s="7"/>
      <c r="D765" s="7"/>
      <c r="E765" s="7"/>
      <c r="F765" s="7"/>
      <c r="G765" s="7"/>
    </row>
    <row r="766" spans="2:7" ht="15" x14ac:dyDescent="0.25">
      <c r="B766" s="7"/>
      <c r="C766" s="7"/>
      <c r="D766" s="7"/>
      <c r="E766" s="7"/>
      <c r="F766" s="7"/>
      <c r="G766" s="7"/>
    </row>
    <row r="767" spans="2:7" ht="15" x14ac:dyDescent="0.25">
      <c r="B767" s="7"/>
      <c r="C767" s="7"/>
      <c r="D767" s="7"/>
      <c r="E767" s="7"/>
      <c r="F767" s="7"/>
      <c r="G767" s="7"/>
    </row>
    <row r="768" spans="2:7" ht="15" x14ac:dyDescent="0.25">
      <c r="B768" s="7"/>
      <c r="C768" s="7"/>
      <c r="D768" s="7"/>
      <c r="E768" s="7"/>
      <c r="F768" s="7"/>
      <c r="G768" s="7"/>
    </row>
    <row r="769" spans="2:7" ht="15" x14ac:dyDescent="0.25">
      <c r="B769" s="7"/>
      <c r="C769" s="7"/>
      <c r="D769" s="7"/>
      <c r="E769" s="7"/>
      <c r="F769" s="7"/>
      <c r="G769" s="7"/>
    </row>
    <row r="770" spans="2:7" ht="15" x14ac:dyDescent="0.25">
      <c r="B770" s="7"/>
      <c r="C770" s="7"/>
      <c r="D770" s="7"/>
      <c r="E770" s="7"/>
      <c r="F770" s="7"/>
      <c r="G770" s="7"/>
    </row>
    <row r="771" spans="2:7" ht="15" x14ac:dyDescent="0.25">
      <c r="B771" s="7"/>
      <c r="C771" s="7"/>
      <c r="D771" s="7"/>
      <c r="E771" s="7"/>
      <c r="F771" s="7"/>
      <c r="G771" s="7"/>
    </row>
    <row r="772" spans="2:7" ht="15" x14ac:dyDescent="0.25">
      <c r="B772" s="7"/>
      <c r="C772" s="7"/>
      <c r="D772" s="7"/>
      <c r="E772" s="7"/>
      <c r="F772" s="7"/>
      <c r="G772" s="7"/>
    </row>
    <row r="773" spans="2:7" ht="15" x14ac:dyDescent="0.25">
      <c r="B773" s="7"/>
      <c r="C773" s="7"/>
      <c r="D773" s="7"/>
      <c r="E773" s="7"/>
      <c r="F773" s="7"/>
      <c r="G773" s="7"/>
    </row>
    <row r="774" spans="2:7" ht="15" x14ac:dyDescent="0.25">
      <c r="B774" s="7"/>
      <c r="C774" s="7"/>
      <c r="D774" s="7"/>
      <c r="E774" s="7"/>
      <c r="F774" s="7"/>
      <c r="G774" s="7"/>
    </row>
    <row r="775" spans="2:7" ht="15" x14ac:dyDescent="0.25">
      <c r="B775" s="7"/>
      <c r="C775" s="7"/>
      <c r="D775" s="7"/>
      <c r="E775" s="7"/>
      <c r="F775" s="7"/>
      <c r="G775" s="7"/>
    </row>
    <row r="776" spans="2:7" ht="15" x14ac:dyDescent="0.25">
      <c r="B776" s="7"/>
      <c r="C776" s="7"/>
      <c r="D776" s="7"/>
      <c r="E776" s="7"/>
      <c r="F776" s="7"/>
      <c r="G776" s="7"/>
    </row>
    <row r="777" spans="2:7" ht="15" x14ac:dyDescent="0.25">
      <c r="B777" s="7"/>
      <c r="C777" s="7"/>
      <c r="D777" s="7"/>
      <c r="E777" s="7"/>
      <c r="F777" s="7"/>
      <c r="G777" s="7"/>
    </row>
    <row r="778" spans="2:7" ht="15" x14ac:dyDescent="0.25">
      <c r="B778" s="7"/>
      <c r="C778" s="7"/>
      <c r="D778" s="7"/>
      <c r="E778" s="7"/>
      <c r="F778" s="7"/>
      <c r="G778" s="7"/>
    </row>
    <row r="779" spans="2:7" ht="15" x14ac:dyDescent="0.25">
      <c r="B779" s="7"/>
      <c r="C779" s="7"/>
      <c r="D779" s="7"/>
      <c r="E779" s="7"/>
      <c r="F779" s="7"/>
      <c r="G779" s="7"/>
    </row>
    <row r="780" spans="2:7" ht="15" x14ac:dyDescent="0.25">
      <c r="B780" s="7"/>
      <c r="C780" s="7"/>
      <c r="D780" s="7"/>
      <c r="E780" s="7"/>
      <c r="F780" s="7"/>
      <c r="G780" s="7"/>
    </row>
    <row r="781" spans="2:7" ht="15" x14ac:dyDescent="0.25">
      <c r="B781" s="7"/>
      <c r="C781" s="7"/>
      <c r="D781" s="7"/>
      <c r="E781" s="7"/>
      <c r="F781" s="7"/>
      <c r="G781" s="7"/>
    </row>
    <row r="782" spans="2:7" ht="15" x14ac:dyDescent="0.25">
      <c r="B782" s="7"/>
      <c r="C782" s="7"/>
      <c r="D782" s="7"/>
      <c r="E782" s="7"/>
      <c r="F782" s="7"/>
      <c r="G782" s="7"/>
    </row>
    <row r="783" spans="2:7" ht="15" x14ac:dyDescent="0.25">
      <c r="B783" s="7"/>
      <c r="C783" s="7"/>
      <c r="D783" s="7"/>
      <c r="E783" s="7"/>
      <c r="F783" s="7"/>
      <c r="G783" s="7"/>
    </row>
    <row r="784" spans="2:7" ht="15" x14ac:dyDescent="0.25">
      <c r="B784" s="7"/>
      <c r="C784" s="7"/>
      <c r="D784" s="7"/>
      <c r="E784" s="7"/>
      <c r="F784" s="7"/>
      <c r="G784" s="7"/>
    </row>
    <row r="785" spans="2:7" ht="15" x14ac:dyDescent="0.25">
      <c r="B785" s="7"/>
      <c r="C785" s="7"/>
      <c r="D785" s="7"/>
      <c r="E785" s="7"/>
      <c r="F785" s="7"/>
      <c r="G785" s="7"/>
    </row>
    <row r="786" spans="2:7" ht="15" x14ac:dyDescent="0.25">
      <c r="B786" s="7"/>
      <c r="C786" s="7"/>
      <c r="D786" s="7"/>
      <c r="E786" s="7"/>
      <c r="F786" s="7"/>
      <c r="G786" s="7"/>
    </row>
    <row r="787" spans="2:7" ht="15" x14ac:dyDescent="0.25">
      <c r="B787" s="7"/>
      <c r="C787" s="7"/>
      <c r="D787" s="7"/>
      <c r="E787" s="7"/>
      <c r="F787" s="7"/>
      <c r="G787" s="7"/>
    </row>
    <row r="788" spans="2:7" ht="15" x14ac:dyDescent="0.25">
      <c r="B788" s="7"/>
      <c r="C788" s="7"/>
      <c r="D788" s="7"/>
      <c r="E788" s="7"/>
      <c r="F788" s="7"/>
      <c r="G788" s="7"/>
    </row>
    <row r="789" spans="2:7" ht="15" x14ac:dyDescent="0.25">
      <c r="B789" s="7"/>
      <c r="C789" s="7"/>
      <c r="D789" s="7"/>
      <c r="E789" s="7"/>
      <c r="F789" s="7"/>
      <c r="G789" s="7"/>
    </row>
    <row r="790" spans="2:7" ht="15" x14ac:dyDescent="0.25">
      <c r="B790" s="7"/>
      <c r="C790" s="7"/>
      <c r="D790" s="7"/>
      <c r="E790" s="7"/>
      <c r="F790" s="7"/>
      <c r="G790" s="7"/>
    </row>
    <row r="791" spans="2:7" ht="15" x14ac:dyDescent="0.25">
      <c r="B791" s="7"/>
      <c r="C791" s="7"/>
      <c r="D791" s="7"/>
      <c r="E791" s="7"/>
      <c r="F791" s="7"/>
      <c r="G791" s="7"/>
    </row>
    <row r="792" spans="2:7" ht="15" x14ac:dyDescent="0.25">
      <c r="B792" s="7"/>
      <c r="C792" s="7"/>
      <c r="D792" s="7"/>
      <c r="E792" s="7"/>
      <c r="F792" s="7"/>
      <c r="G792" s="7"/>
    </row>
    <row r="793" spans="2:7" ht="15" x14ac:dyDescent="0.25">
      <c r="B793" s="7"/>
      <c r="C793" s="7"/>
      <c r="D793" s="7"/>
      <c r="E793" s="7"/>
      <c r="F793" s="7"/>
      <c r="G793" s="7"/>
    </row>
    <row r="794" spans="2:7" ht="15" x14ac:dyDescent="0.25">
      <c r="B794" s="7"/>
      <c r="C794" s="7"/>
      <c r="D794" s="7"/>
      <c r="E794" s="7"/>
      <c r="F794" s="7"/>
      <c r="G794" s="7"/>
    </row>
    <row r="795" spans="2:7" ht="15" x14ac:dyDescent="0.25">
      <c r="B795" s="7"/>
      <c r="C795" s="7"/>
      <c r="D795" s="7"/>
      <c r="E795" s="7"/>
      <c r="F795" s="7"/>
      <c r="G795" s="7"/>
    </row>
    <row r="796" spans="2:7" ht="15" x14ac:dyDescent="0.25">
      <c r="B796" s="7"/>
      <c r="C796" s="7"/>
      <c r="D796" s="7"/>
      <c r="E796" s="7"/>
      <c r="F796" s="7"/>
      <c r="G796" s="7"/>
    </row>
    <row r="797" spans="2:7" ht="15" x14ac:dyDescent="0.25">
      <c r="B797" s="7"/>
      <c r="C797" s="7"/>
      <c r="D797" s="7"/>
      <c r="E797" s="7"/>
      <c r="F797" s="7"/>
      <c r="G797" s="7"/>
    </row>
    <row r="798" spans="2:7" ht="15" x14ac:dyDescent="0.25">
      <c r="B798" s="7"/>
      <c r="C798" s="7"/>
      <c r="D798" s="7"/>
      <c r="E798" s="7"/>
      <c r="F798" s="7"/>
      <c r="G798" s="7"/>
    </row>
    <row r="799" spans="2:7" ht="15" x14ac:dyDescent="0.25">
      <c r="B799" s="7"/>
      <c r="C799" s="7"/>
      <c r="D799" s="7"/>
      <c r="E799" s="7"/>
      <c r="F799" s="7"/>
      <c r="G799" s="7"/>
    </row>
    <row r="800" spans="2:7" ht="15" x14ac:dyDescent="0.25">
      <c r="B800" s="7"/>
      <c r="C800" s="7"/>
      <c r="D800" s="7"/>
      <c r="E800" s="7"/>
      <c r="F800" s="7"/>
      <c r="G800" s="7"/>
    </row>
    <row r="801" spans="2:7" ht="15" x14ac:dyDescent="0.25">
      <c r="B801" s="7"/>
      <c r="C801" s="7"/>
      <c r="D801" s="7"/>
      <c r="E801" s="7"/>
      <c r="F801" s="7"/>
      <c r="G801" s="7"/>
    </row>
    <row r="802" spans="2:7" ht="15" x14ac:dyDescent="0.25">
      <c r="B802" s="7"/>
      <c r="C802" s="7"/>
      <c r="D802" s="7"/>
      <c r="E802" s="7"/>
      <c r="F802" s="7"/>
      <c r="G802" s="7"/>
    </row>
    <row r="803" spans="2:7" ht="15" x14ac:dyDescent="0.25">
      <c r="B803" s="7"/>
      <c r="C803" s="7"/>
      <c r="D803" s="7"/>
      <c r="E803" s="7"/>
      <c r="F803" s="7"/>
      <c r="G803" s="7"/>
    </row>
    <row r="804" spans="2:7" ht="15" x14ac:dyDescent="0.25">
      <c r="B804" s="7"/>
      <c r="C804" s="7"/>
      <c r="D804" s="7"/>
      <c r="E804" s="7"/>
      <c r="F804" s="7"/>
      <c r="G804" s="7"/>
    </row>
    <row r="805" spans="2:7" ht="15" x14ac:dyDescent="0.25">
      <c r="B805" s="7"/>
      <c r="C805" s="7"/>
      <c r="D805" s="7"/>
      <c r="E805" s="7"/>
      <c r="F805" s="7"/>
      <c r="G805" s="7"/>
    </row>
    <row r="806" spans="2:7" ht="15" x14ac:dyDescent="0.25">
      <c r="B806" s="7"/>
      <c r="C806" s="7"/>
      <c r="D806" s="7"/>
      <c r="E806" s="7"/>
      <c r="F806" s="7"/>
      <c r="G806" s="7"/>
    </row>
    <row r="807" spans="2:7" ht="15" x14ac:dyDescent="0.25">
      <c r="B807" s="7"/>
      <c r="C807" s="7"/>
      <c r="D807" s="7"/>
      <c r="E807" s="7"/>
      <c r="F807" s="7"/>
      <c r="G807" s="7"/>
    </row>
    <row r="808" spans="2:7" ht="15" x14ac:dyDescent="0.25">
      <c r="B808" s="7"/>
      <c r="C808" s="7"/>
      <c r="D808" s="7"/>
      <c r="E808" s="7"/>
      <c r="F808" s="7"/>
      <c r="G808" s="7"/>
    </row>
    <row r="809" spans="2:7" ht="15" x14ac:dyDescent="0.25">
      <c r="B809" s="7"/>
      <c r="C809" s="7"/>
      <c r="D809" s="7"/>
      <c r="E809" s="7"/>
      <c r="F809" s="7"/>
      <c r="G809" s="7"/>
    </row>
    <row r="810" spans="2:7" ht="15" x14ac:dyDescent="0.25">
      <c r="B810" s="7"/>
      <c r="C810" s="7"/>
      <c r="D810" s="7"/>
      <c r="E810" s="7"/>
      <c r="F810" s="7"/>
      <c r="G810" s="7"/>
    </row>
    <row r="811" spans="2:7" ht="15" x14ac:dyDescent="0.25">
      <c r="B811" s="7"/>
      <c r="C811" s="7"/>
      <c r="D811" s="7"/>
      <c r="E811" s="7"/>
      <c r="F811" s="7"/>
      <c r="G811" s="7"/>
    </row>
    <row r="812" spans="2:7" ht="15" x14ac:dyDescent="0.25">
      <c r="B812" s="7"/>
      <c r="C812" s="7"/>
      <c r="D812" s="7"/>
      <c r="E812" s="7"/>
      <c r="F812" s="7"/>
      <c r="G812" s="7"/>
    </row>
    <row r="813" spans="2:7" ht="15" x14ac:dyDescent="0.25">
      <c r="B813" s="7"/>
      <c r="C813" s="7"/>
      <c r="D813" s="7"/>
      <c r="E813" s="7"/>
      <c r="F813" s="7"/>
      <c r="G813" s="7"/>
    </row>
    <row r="814" spans="2:7" ht="15" x14ac:dyDescent="0.25">
      <c r="B814" s="7"/>
      <c r="C814" s="7"/>
      <c r="D814" s="7"/>
      <c r="E814" s="7"/>
      <c r="F814" s="7"/>
      <c r="G814" s="7"/>
    </row>
    <row r="815" spans="2:7" ht="15" x14ac:dyDescent="0.25">
      <c r="B815" s="7"/>
      <c r="C815" s="7"/>
      <c r="D815" s="7"/>
      <c r="E815" s="7"/>
      <c r="F815" s="7"/>
      <c r="G815" s="7"/>
    </row>
    <row r="816" spans="2:7" ht="15" x14ac:dyDescent="0.25">
      <c r="B816" s="7"/>
      <c r="C816" s="7"/>
      <c r="D816" s="7"/>
      <c r="E816" s="7"/>
      <c r="F816" s="7"/>
      <c r="G816" s="7"/>
    </row>
    <row r="817" spans="2:7" ht="15" x14ac:dyDescent="0.25">
      <c r="B817" s="7"/>
      <c r="C817" s="7"/>
      <c r="D817" s="7"/>
      <c r="E817" s="7"/>
      <c r="F817" s="7"/>
      <c r="G817" s="7"/>
    </row>
    <row r="818" spans="2:7" ht="15" x14ac:dyDescent="0.25">
      <c r="B818" s="7"/>
      <c r="C818" s="7"/>
      <c r="D818" s="7"/>
      <c r="E818" s="7"/>
      <c r="F818" s="7"/>
      <c r="G818" s="7"/>
    </row>
    <row r="819" spans="2:7" ht="15" x14ac:dyDescent="0.25">
      <c r="B819" s="7"/>
      <c r="C819" s="7"/>
      <c r="D819" s="7"/>
      <c r="E819" s="7"/>
      <c r="F819" s="7"/>
      <c r="G819" s="7"/>
    </row>
    <row r="820" spans="2:7" ht="15" x14ac:dyDescent="0.25">
      <c r="B820" s="7"/>
      <c r="C820" s="7"/>
      <c r="D820" s="7"/>
      <c r="E820" s="7"/>
      <c r="F820" s="7"/>
      <c r="G820" s="7"/>
    </row>
    <row r="821" spans="2:7" ht="15" x14ac:dyDescent="0.25">
      <c r="B821" s="7"/>
      <c r="C821" s="7"/>
      <c r="D821" s="7"/>
      <c r="E821" s="7"/>
      <c r="F821" s="7"/>
      <c r="G821" s="7"/>
    </row>
    <row r="822" spans="2:7" ht="15" x14ac:dyDescent="0.25">
      <c r="B822" s="7"/>
      <c r="C822" s="7"/>
      <c r="D822" s="7"/>
      <c r="E822" s="7"/>
      <c r="F822" s="7"/>
      <c r="G822" s="7"/>
    </row>
    <row r="823" spans="2:7" ht="15" x14ac:dyDescent="0.25">
      <c r="B823" s="7"/>
      <c r="C823" s="7"/>
      <c r="D823" s="7"/>
      <c r="E823" s="7"/>
      <c r="F823" s="7"/>
      <c r="G823" s="7"/>
    </row>
    <row r="824" spans="2:7" ht="15" x14ac:dyDescent="0.25">
      <c r="B824" s="7"/>
      <c r="C824" s="7"/>
      <c r="D824" s="7"/>
      <c r="E824" s="7"/>
      <c r="F824" s="7"/>
      <c r="G824" s="7"/>
    </row>
    <row r="825" spans="2:7" ht="15" x14ac:dyDescent="0.25">
      <c r="B825" s="7"/>
      <c r="C825" s="7"/>
      <c r="D825" s="7"/>
      <c r="E825" s="7"/>
      <c r="F825" s="7"/>
      <c r="G825" s="7"/>
    </row>
    <row r="826" spans="2:7" ht="15" x14ac:dyDescent="0.25">
      <c r="B826" s="7"/>
      <c r="C826" s="7"/>
      <c r="D826" s="7"/>
      <c r="E826" s="7"/>
      <c r="F826" s="7"/>
      <c r="G826" s="7"/>
    </row>
    <row r="827" spans="2:7" ht="15" x14ac:dyDescent="0.25">
      <c r="B827" s="7"/>
      <c r="C827" s="7"/>
      <c r="D827" s="7"/>
      <c r="E827" s="7"/>
      <c r="F827" s="7"/>
      <c r="G827" s="7"/>
    </row>
    <row r="828" spans="2:7" ht="15" x14ac:dyDescent="0.25">
      <c r="B828" s="7"/>
      <c r="C828" s="7"/>
      <c r="D828" s="7"/>
      <c r="E828" s="7"/>
      <c r="F828" s="7"/>
      <c r="G828" s="7"/>
    </row>
    <row r="829" spans="2:7" ht="15" x14ac:dyDescent="0.25">
      <c r="B829" s="7"/>
      <c r="C829" s="7"/>
      <c r="D829" s="7"/>
      <c r="E829" s="7"/>
      <c r="F829" s="7"/>
      <c r="G829" s="7"/>
    </row>
    <row r="830" spans="2:7" ht="15" x14ac:dyDescent="0.25">
      <c r="B830" s="7"/>
      <c r="C830" s="7"/>
      <c r="D830" s="7"/>
      <c r="E830" s="7"/>
      <c r="F830" s="7"/>
      <c r="G830" s="7"/>
    </row>
    <row r="831" spans="2:7" ht="15" x14ac:dyDescent="0.25">
      <c r="B831" s="7"/>
      <c r="C831" s="7"/>
      <c r="D831" s="7"/>
      <c r="E831" s="7"/>
      <c r="F831" s="7"/>
      <c r="G831" s="7"/>
    </row>
    <row r="832" spans="2:7" ht="15" x14ac:dyDescent="0.25">
      <c r="B832" s="7"/>
      <c r="C832" s="7"/>
      <c r="D832" s="7"/>
      <c r="E832" s="7"/>
      <c r="F832" s="7"/>
      <c r="G832" s="7"/>
    </row>
    <row r="833" spans="2:7" ht="15" x14ac:dyDescent="0.25">
      <c r="B833" s="7"/>
      <c r="C833" s="7"/>
      <c r="D833" s="7"/>
      <c r="E833" s="7"/>
      <c r="F833" s="7"/>
      <c r="G833" s="7"/>
    </row>
    <row r="834" spans="2:7" ht="15" x14ac:dyDescent="0.25">
      <c r="B834" s="7"/>
      <c r="C834" s="7"/>
      <c r="D834" s="7"/>
      <c r="E834" s="7"/>
      <c r="F834" s="7"/>
      <c r="G834" s="7"/>
    </row>
    <row r="835" spans="2:7" ht="15" x14ac:dyDescent="0.25">
      <c r="B835" s="7"/>
      <c r="C835" s="7"/>
      <c r="D835" s="7"/>
      <c r="E835" s="7"/>
      <c r="F835" s="7"/>
      <c r="G835" s="7"/>
    </row>
    <row r="836" spans="2:7" ht="15" x14ac:dyDescent="0.25">
      <c r="B836" s="7"/>
      <c r="C836" s="7"/>
      <c r="D836" s="7"/>
      <c r="E836" s="7"/>
      <c r="F836" s="7"/>
      <c r="G836" s="7"/>
    </row>
    <row r="837" spans="2:7" ht="15" x14ac:dyDescent="0.25">
      <c r="B837" s="7"/>
      <c r="C837" s="7"/>
      <c r="D837" s="7"/>
      <c r="E837" s="7"/>
      <c r="F837" s="7"/>
      <c r="G837" s="7"/>
    </row>
    <row r="838" spans="2:7" ht="15" x14ac:dyDescent="0.25">
      <c r="B838" s="7"/>
      <c r="C838" s="7"/>
      <c r="D838" s="7"/>
      <c r="E838" s="7"/>
      <c r="F838" s="7"/>
      <c r="G838" s="7"/>
    </row>
    <row r="839" spans="2:7" ht="15" x14ac:dyDescent="0.25">
      <c r="B839" s="7"/>
      <c r="C839" s="7"/>
      <c r="D839" s="7"/>
      <c r="E839" s="7"/>
      <c r="F839" s="7"/>
      <c r="G839" s="7"/>
    </row>
    <row r="840" spans="2:7" ht="15" x14ac:dyDescent="0.25">
      <c r="B840" s="7"/>
      <c r="C840" s="7"/>
      <c r="D840" s="7"/>
      <c r="E840" s="7"/>
      <c r="F840" s="7"/>
      <c r="G840" s="7"/>
    </row>
    <row r="841" spans="2:7" ht="15" x14ac:dyDescent="0.25">
      <c r="B841" s="7"/>
      <c r="C841" s="7"/>
      <c r="D841" s="7"/>
      <c r="E841" s="7"/>
      <c r="F841" s="7"/>
      <c r="G841" s="7"/>
    </row>
    <row r="842" spans="2:7" ht="15" x14ac:dyDescent="0.25">
      <c r="B842" s="7"/>
      <c r="C842" s="7"/>
      <c r="D842" s="7"/>
      <c r="E842" s="7"/>
      <c r="F842" s="7"/>
      <c r="G842" s="7"/>
    </row>
    <row r="843" spans="2:7" ht="15" x14ac:dyDescent="0.25">
      <c r="B843" s="7"/>
      <c r="C843" s="7"/>
      <c r="D843" s="7"/>
      <c r="E843" s="7"/>
      <c r="F843" s="7"/>
      <c r="G843" s="7"/>
    </row>
    <row r="844" spans="2:7" ht="15" x14ac:dyDescent="0.25">
      <c r="B844" s="7"/>
      <c r="C844" s="7"/>
      <c r="D844" s="7"/>
      <c r="E844" s="7"/>
      <c r="F844" s="7"/>
      <c r="G844" s="7"/>
    </row>
    <row r="845" spans="2:7" ht="15" x14ac:dyDescent="0.25">
      <c r="B845" s="7"/>
      <c r="C845" s="7"/>
      <c r="D845" s="7"/>
      <c r="E845" s="7"/>
      <c r="F845" s="7"/>
      <c r="G845" s="7"/>
    </row>
    <row r="846" spans="2:7" ht="15" x14ac:dyDescent="0.25">
      <c r="B846" s="7"/>
      <c r="C846" s="7"/>
      <c r="D846" s="7"/>
      <c r="E846" s="7"/>
      <c r="F846" s="7"/>
      <c r="G846" s="7"/>
    </row>
    <row r="847" spans="2:7" ht="15" x14ac:dyDescent="0.25">
      <c r="B847" s="7"/>
      <c r="C847" s="7"/>
      <c r="D847" s="7"/>
      <c r="E847" s="7"/>
      <c r="F847" s="7"/>
      <c r="G847" s="7"/>
    </row>
    <row r="848" spans="2:7" ht="15" x14ac:dyDescent="0.25">
      <c r="B848" s="7"/>
      <c r="C848" s="7"/>
      <c r="D848" s="7"/>
      <c r="E848" s="7"/>
      <c r="F848" s="7"/>
      <c r="G848" s="7"/>
    </row>
    <row r="849" spans="2:7" ht="15" x14ac:dyDescent="0.25">
      <c r="B849" s="7"/>
      <c r="C849" s="7"/>
      <c r="D849" s="7"/>
      <c r="E849" s="7"/>
      <c r="F849" s="7"/>
      <c r="G849" s="7"/>
    </row>
    <row r="850" spans="2:7" ht="15" x14ac:dyDescent="0.25">
      <c r="B850" s="7"/>
      <c r="C850" s="7"/>
      <c r="D850" s="7"/>
      <c r="E850" s="7"/>
      <c r="F850" s="7"/>
      <c r="G850" s="7"/>
    </row>
    <row r="851" spans="2:7" ht="15" x14ac:dyDescent="0.25">
      <c r="B851" s="7"/>
      <c r="C851" s="7"/>
      <c r="D851" s="7"/>
      <c r="E851" s="7"/>
      <c r="F851" s="7"/>
      <c r="G851" s="7"/>
    </row>
    <row r="852" spans="2:7" ht="15" x14ac:dyDescent="0.25">
      <c r="B852" s="7"/>
      <c r="C852" s="7"/>
      <c r="D852" s="7"/>
      <c r="E852" s="7"/>
      <c r="F852" s="7"/>
      <c r="G852" s="7"/>
    </row>
    <row r="853" spans="2:7" ht="15" x14ac:dyDescent="0.25">
      <c r="B853" s="7"/>
      <c r="C853" s="7"/>
      <c r="D853" s="7"/>
      <c r="E853" s="7"/>
      <c r="F853" s="7"/>
      <c r="G853" s="7"/>
    </row>
    <row r="854" spans="2:7" ht="15" x14ac:dyDescent="0.25">
      <c r="B854" s="7"/>
      <c r="C854" s="7"/>
      <c r="D854" s="7"/>
      <c r="E854" s="7"/>
      <c r="F854" s="7"/>
      <c r="G854" s="7"/>
    </row>
    <row r="855" spans="2:7" ht="15" x14ac:dyDescent="0.25">
      <c r="B855" s="7"/>
      <c r="C855" s="7"/>
      <c r="D855" s="7"/>
      <c r="E855" s="7"/>
      <c r="F855" s="7"/>
      <c r="G855" s="7"/>
    </row>
    <row r="856" spans="2:7" ht="15" x14ac:dyDescent="0.25">
      <c r="B856" s="7"/>
      <c r="C856" s="7"/>
      <c r="D856" s="7"/>
      <c r="E856" s="7"/>
      <c r="F856" s="7"/>
      <c r="G856" s="7"/>
    </row>
    <row r="857" spans="2:7" ht="15" x14ac:dyDescent="0.25">
      <c r="B857" s="7"/>
      <c r="C857" s="7"/>
      <c r="D857" s="7"/>
      <c r="E857" s="7"/>
      <c r="F857" s="7"/>
      <c r="G857" s="7"/>
    </row>
    <row r="858" spans="2:7" ht="15" x14ac:dyDescent="0.25">
      <c r="B858" s="7"/>
      <c r="C858" s="7"/>
      <c r="D858" s="7"/>
      <c r="E858" s="7"/>
      <c r="F858" s="7"/>
      <c r="G858" s="7"/>
    </row>
    <row r="859" spans="2:7" ht="15" x14ac:dyDescent="0.25">
      <c r="B859" s="7"/>
      <c r="C859" s="7"/>
      <c r="D859" s="7"/>
      <c r="E859" s="7"/>
      <c r="F859" s="7"/>
      <c r="G859" s="7"/>
    </row>
    <row r="860" spans="2:7" ht="15" x14ac:dyDescent="0.25">
      <c r="B860" s="7"/>
      <c r="C860" s="7"/>
      <c r="D860" s="7"/>
      <c r="E860" s="7"/>
      <c r="F860" s="7"/>
      <c r="G860" s="7"/>
    </row>
    <row r="861" spans="2:7" ht="15" x14ac:dyDescent="0.25">
      <c r="B861" s="7"/>
      <c r="C861" s="7"/>
      <c r="D861" s="7"/>
      <c r="E861" s="7"/>
      <c r="F861" s="7"/>
      <c r="G861" s="7"/>
    </row>
    <row r="862" spans="2:7" ht="15" x14ac:dyDescent="0.25">
      <c r="B862" s="7"/>
      <c r="C862" s="7"/>
      <c r="D862" s="7"/>
      <c r="E862" s="7"/>
      <c r="F862" s="7"/>
      <c r="G862" s="7"/>
    </row>
    <row r="863" spans="2:7" ht="15" x14ac:dyDescent="0.25">
      <c r="B863" s="7"/>
      <c r="C863" s="7"/>
      <c r="D863" s="7"/>
      <c r="E863" s="7"/>
      <c r="F863" s="7"/>
      <c r="G863" s="7"/>
    </row>
    <row r="864" spans="2:7" ht="15" x14ac:dyDescent="0.25">
      <c r="B864" s="7"/>
      <c r="C864" s="7"/>
      <c r="D864" s="7"/>
      <c r="E864" s="7"/>
      <c r="F864" s="7"/>
      <c r="G864" s="7"/>
    </row>
    <row r="865" spans="2:7" ht="15" x14ac:dyDescent="0.25">
      <c r="B865" s="7"/>
      <c r="C865" s="7"/>
      <c r="D865" s="7"/>
      <c r="E865" s="7"/>
      <c r="F865" s="7"/>
      <c r="G865" s="7"/>
    </row>
    <row r="866" spans="2:7" ht="15" x14ac:dyDescent="0.25">
      <c r="B866" s="7"/>
      <c r="C866" s="7"/>
      <c r="D866" s="7"/>
      <c r="E866" s="7"/>
      <c r="F866" s="7"/>
      <c r="G866" s="7"/>
    </row>
    <row r="867" spans="2:7" ht="15" x14ac:dyDescent="0.25">
      <c r="B867" s="7"/>
      <c r="C867" s="7"/>
      <c r="D867" s="7"/>
      <c r="E867" s="7"/>
      <c r="F867" s="7"/>
      <c r="G867" s="7"/>
    </row>
    <row r="868" spans="2:7" ht="15" x14ac:dyDescent="0.25">
      <c r="B868" s="7"/>
      <c r="C868" s="7"/>
      <c r="D868" s="7"/>
      <c r="E868" s="7"/>
      <c r="F868" s="7"/>
      <c r="G868" s="7"/>
    </row>
    <row r="869" spans="2:7" ht="15" x14ac:dyDescent="0.25">
      <c r="B869" s="7"/>
      <c r="C869" s="7"/>
      <c r="D869" s="7"/>
      <c r="E869" s="7"/>
      <c r="F869" s="7"/>
      <c r="G869" s="7"/>
    </row>
    <row r="870" spans="2:7" ht="15" x14ac:dyDescent="0.25">
      <c r="B870" s="7"/>
      <c r="C870" s="7"/>
      <c r="D870" s="7"/>
      <c r="E870" s="7"/>
      <c r="F870" s="7"/>
      <c r="G870" s="7"/>
    </row>
    <row r="871" spans="2:7" ht="15" x14ac:dyDescent="0.25">
      <c r="B871" s="7"/>
      <c r="C871" s="7"/>
      <c r="D871" s="7"/>
      <c r="E871" s="7"/>
      <c r="F871" s="7"/>
      <c r="G871" s="7"/>
    </row>
    <row r="872" spans="2:7" ht="15" x14ac:dyDescent="0.25">
      <c r="B872" s="7"/>
      <c r="C872" s="7"/>
      <c r="D872" s="7"/>
      <c r="E872" s="7"/>
      <c r="F872" s="7"/>
      <c r="G872" s="7"/>
    </row>
    <row r="873" spans="2:7" ht="15" x14ac:dyDescent="0.25">
      <c r="B873" s="7"/>
      <c r="C873" s="7"/>
      <c r="D873" s="7"/>
      <c r="E873" s="7"/>
      <c r="F873" s="7"/>
      <c r="G873" s="7"/>
    </row>
    <row r="874" spans="2:7" ht="15" x14ac:dyDescent="0.25">
      <c r="B874" s="7"/>
      <c r="C874" s="7"/>
      <c r="D874" s="7"/>
      <c r="E874" s="7"/>
      <c r="F874" s="7"/>
      <c r="G874" s="7"/>
    </row>
    <row r="875" spans="2:7" ht="15" x14ac:dyDescent="0.25">
      <c r="B875" s="7"/>
      <c r="C875" s="7"/>
      <c r="D875" s="7"/>
      <c r="E875" s="7"/>
      <c r="F875" s="7"/>
      <c r="G875" s="7"/>
    </row>
    <row r="876" spans="2:7" ht="15" x14ac:dyDescent="0.25">
      <c r="B876" s="7"/>
      <c r="C876" s="7"/>
      <c r="D876" s="7"/>
      <c r="E876" s="7"/>
      <c r="F876" s="7"/>
      <c r="G876" s="7"/>
    </row>
    <row r="877" spans="2:7" ht="15" x14ac:dyDescent="0.25">
      <c r="B877" s="7"/>
      <c r="C877" s="7"/>
      <c r="D877" s="7"/>
      <c r="E877" s="7"/>
      <c r="F877" s="7"/>
      <c r="G877" s="7"/>
    </row>
    <row r="878" spans="2:7" ht="15" x14ac:dyDescent="0.25">
      <c r="B878" s="7"/>
      <c r="C878" s="7"/>
      <c r="D878" s="7"/>
      <c r="E878" s="7"/>
      <c r="F878" s="7"/>
      <c r="G878" s="7"/>
    </row>
    <row r="879" spans="2:7" ht="15" x14ac:dyDescent="0.25">
      <c r="B879" s="7"/>
      <c r="C879" s="7"/>
      <c r="D879" s="7"/>
      <c r="E879" s="7"/>
      <c r="F879" s="7"/>
      <c r="G879" s="7"/>
    </row>
    <row r="880" spans="2:7" ht="15" x14ac:dyDescent="0.25">
      <c r="B880" s="7"/>
      <c r="C880" s="7"/>
      <c r="D880" s="7"/>
      <c r="E880" s="7"/>
      <c r="F880" s="7"/>
      <c r="G880" s="7"/>
    </row>
    <row r="881" spans="2:7" ht="15" x14ac:dyDescent="0.25">
      <c r="B881" s="7"/>
      <c r="C881" s="7"/>
      <c r="D881" s="7"/>
      <c r="E881" s="7"/>
      <c r="F881" s="7"/>
      <c r="G881" s="7"/>
    </row>
    <row r="882" spans="2:7" ht="15" x14ac:dyDescent="0.25">
      <c r="B882" s="7"/>
      <c r="C882" s="7"/>
      <c r="D882" s="7"/>
      <c r="E882" s="7"/>
      <c r="F882" s="7"/>
      <c r="G882" s="7"/>
    </row>
    <row r="883" spans="2:7" ht="15" x14ac:dyDescent="0.25">
      <c r="B883" s="7"/>
      <c r="C883" s="7"/>
      <c r="D883" s="7"/>
      <c r="E883" s="7"/>
      <c r="F883" s="7"/>
      <c r="G883" s="7"/>
    </row>
    <row r="884" spans="2:7" ht="15" x14ac:dyDescent="0.25">
      <c r="B884" s="7"/>
      <c r="C884" s="7"/>
      <c r="D884" s="7"/>
      <c r="E884" s="7"/>
      <c r="F884" s="7"/>
      <c r="G884" s="7"/>
    </row>
    <row r="885" spans="2:7" ht="15" x14ac:dyDescent="0.25">
      <c r="B885" s="7"/>
      <c r="C885" s="7"/>
      <c r="D885" s="7"/>
      <c r="E885" s="7"/>
      <c r="F885" s="7"/>
      <c r="G885" s="7"/>
    </row>
    <row r="886" spans="2:7" ht="15" x14ac:dyDescent="0.25">
      <c r="B886" s="7"/>
      <c r="C886" s="7"/>
      <c r="D886" s="7"/>
      <c r="E886" s="7"/>
      <c r="F886" s="7"/>
      <c r="G886" s="7"/>
    </row>
    <row r="887" spans="2:7" ht="15" x14ac:dyDescent="0.25">
      <c r="B887" s="7"/>
      <c r="C887" s="7"/>
      <c r="D887" s="7"/>
      <c r="E887" s="7"/>
      <c r="F887" s="7"/>
      <c r="G887" s="7"/>
    </row>
    <row r="888" spans="2:7" ht="15" x14ac:dyDescent="0.25">
      <c r="B888" s="7"/>
      <c r="C888" s="7"/>
      <c r="D888" s="7"/>
      <c r="E888" s="7"/>
      <c r="F888" s="7"/>
      <c r="G888" s="7"/>
    </row>
    <row r="889" spans="2:7" ht="15" x14ac:dyDescent="0.25">
      <c r="B889" s="7"/>
      <c r="C889" s="7"/>
      <c r="D889" s="7"/>
      <c r="E889" s="7"/>
      <c r="F889" s="7"/>
      <c r="G889" s="7"/>
    </row>
    <row r="890" spans="2:7" ht="15" x14ac:dyDescent="0.25">
      <c r="B890" s="7"/>
      <c r="C890" s="7"/>
      <c r="D890" s="7"/>
      <c r="E890" s="7"/>
      <c r="F890" s="7"/>
      <c r="G890" s="7"/>
    </row>
    <row r="891" spans="2:7" ht="15" x14ac:dyDescent="0.25">
      <c r="B891" s="7"/>
      <c r="C891" s="7"/>
      <c r="D891" s="7"/>
      <c r="E891" s="7"/>
      <c r="F891" s="7"/>
      <c r="G891" s="7"/>
    </row>
    <row r="892" spans="2:7" ht="15" x14ac:dyDescent="0.25">
      <c r="B892" s="7"/>
      <c r="C892" s="7"/>
      <c r="D892" s="7"/>
      <c r="E892" s="7"/>
      <c r="F892" s="7"/>
      <c r="G892" s="7"/>
    </row>
    <row r="893" spans="2:7" ht="15" x14ac:dyDescent="0.25">
      <c r="B893" s="7"/>
      <c r="C893" s="7"/>
      <c r="D893" s="7"/>
      <c r="E893" s="7"/>
      <c r="F893" s="7"/>
      <c r="G893" s="7"/>
    </row>
    <row r="894" spans="2:7" ht="15" x14ac:dyDescent="0.25">
      <c r="B894" s="7"/>
      <c r="C894" s="7"/>
      <c r="D894" s="7"/>
      <c r="E894" s="7"/>
      <c r="F894" s="7"/>
      <c r="G894" s="7"/>
    </row>
    <row r="895" spans="2:7" ht="15" x14ac:dyDescent="0.25">
      <c r="B895" s="7"/>
      <c r="C895" s="7"/>
      <c r="D895" s="7"/>
      <c r="E895" s="7"/>
      <c r="F895" s="7"/>
      <c r="G895" s="7"/>
    </row>
    <row r="896" spans="2:7" ht="15" x14ac:dyDescent="0.25">
      <c r="B896" s="7"/>
      <c r="C896" s="7"/>
      <c r="D896" s="7"/>
      <c r="E896" s="7"/>
      <c r="F896" s="7"/>
      <c r="G896" s="7"/>
    </row>
    <row r="897" spans="2:7" ht="15" x14ac:dyDescent="0.25">
      <c r="B897" s="7"/>
      <c r="C897" s="7"/>
      <c r="D897" s="7"/>
      <c r="E897" s="7"/>
      <c r="F897" s="7"/>
      <c r="G897" s="7"/>
    </row>
    <row r="898" spans="2:7" ht="15" x14ac:dyDescent="0.25">
      <c r="B898" s="7"/>
      <c r="C898" s="7"/>
      <c r="D898" s="7"/>
      <c r="E898" s="7"/>
      <c r="F898" s="7"/>
      <c r="G898" s="7"/>
    </row>
    <row r="899" spans="2:7" ht="15" x14ac:dyDescent="0.25">
      <c r="B899" s="7"/>
      <c r="C899" s="7"/>
      <c r="D899" s="7"/>
      <c r="E899" s="7"/>
      <c r="F899" s="7"/>
      <c r="G899" s="7"/>
    </row>
    <row r="900" spans="2:7" ht="15" x14ac:dyDescent="0.25">
      <c r="B900" s="7"/>
      <c r="C900" s="7"/>
      <c r="D900" s="7"/>
      <c r="E900" s="7"/>
      <c r="F900" s="7"/>
      <c r="G900" s="7"/>
    </row>
    <row r="901" spans="2:7" ht="15" x14ac:dyDescent="0.25">
      <c r="B901" s="7"/>
      <c r="C901" s="7"/>
      <c r="D901" s="7"/>
      <c r="E901" s="7"/>
      <c r="F901" s="7"/>
      <c r="G901" s="7"/>
    </row>
    <row r="902" spans="2:7" ht="15" x14ac:dyDescent="0.25">
      <c r="B902" s="7"/>
      <c r="C902" s="7"/>
      <c r="D902" s="7"/>
      <c r="E902" s="7"/>
      <c r="F902" s="7"/>
      <c r="G902" s="7"/>
    </row>
    <row r="903" spans="2:7" ht="15" x14ac:dyDescent="0.25">
      <c r="B903" s="7"/>
      <c r="C903" s="7"/>
      <c r="D903" s="7"/>
      <c r="E903" s="7"/>
      <c r="F903" s="7"/>
      <c r="G903" s="7"/>
    </row>
    <row r="904" spans="2:7" ht="15" x14ac:dyDescent="0.25">
      <c r="B904" s="7"/>
      <c r="C904" s="7"/>
      <c r="D904" s="7"/>
      <c r="E904" s="7"/>
      <c r="F904" s="7"/>
      <c r="G904" s="7"/>
    </row>
    <row r="905" spans="2:7" ht="15" x14ac:dyDescent="0.25">
      <c r="B905" s="7"/>
      <c r="C905" s="7"/>
      <c r="D905" s="7"/>
      <c r="E905" s="7"/>
      <c r="F905" s="7"/>
      <c r="G905" s="7"/>
    </row>
    <row r="906" spans="2:7" ht="15" x14ac:dyDescent="0.25">
      <c r="B906" s="7"/>
      <c r="C906" s="7"/>
      <c r="D906" s="7"/>
      <c r="E906" s="7"/>
      <c r="F906" s="7"/>
      <c r="G906" s="7"/>
    </row>
    <row r="907" spans="2:7" ht="15" x14ac:dyDescent="0.25">
      <c r="B907" s="7"/>
      <c r="C907" s="7"/>
      <c r="D907" s="7"/>
      <c r="E907" s="7"/>
      <c r="F907" s="7"/>
      <c r="G907" s="7"/>
    </row>
    <row r="908" spans="2:7" ht="15" x14ac:dyDescent="0.25">
      <c r="B908" s="7"/>
      <c r="C908" s="7"/>
      <c r="D908" s="7"/>
      <c r="E908" s="7"/>
      <c r="F908" s="7"/>
      <c r="G908" s="7"/>
    </row>
    <row r="909" spans="2:7" ht="15" x14ac:dyDescent="0.25">
      <c r="B909" s="7"/>
      <c r="C909" s="7"/>
      <c r="D909" s="7"/>
      <c r="E909" s="7"/>
      <c r="F909" s="7"/>
      <c r="G909" s="7"/>
    </row>
    <row r="910" spans="2:7" ht="15" x14ac:dyDescent="0.25">
      <c r="B910" s="7"/>
      <c r="C910" s="7"/>
      <c r="D910" s="7"/>
      <c r="E910" s="7"/>
      <c r="F910" s="7"/>
      <c r="G910" s="7"/>
    </row>
    <row r="911" spans="2:7" ht="15" x14ac:dyDescent="0.25">
      <c r="B911" s="7"/>
      <c r="C911" s="7"/>
      <c r="D911" s="7"/>
      <c r="E911" s="7"/>
      <c r="F911" s="7"/>
      <c r="G911" s="7"/>
    </row>
    <row r="912" spans="2:7" ht="15" x14ac:dyDescent="0.25">
      <c r="B912" s="7"/>
      <c r="C912" s="7"/>
      <c r="D912" s="7"/>
      <c r="E912" s="7"/>
      <c r="F912" s="7"/>
      <c r="G912" s="7"/>
    </row>
    <row r="913" spans="2:7" ht="15" x14ac:dyDescent="0.25">
      <c r="B913" s="7"/>
      <c r="C913" s="7"/>
      <c r="D913" s="7"/>
      <c r="E913" s="7"/>
      <c r="F913" s="7"/>
      <c r="G913" s="7"/>
    </row>
    <row r="914" spans="2:7" ht="15" x14ac:dyDescent="0.25">
      <c r="B914" s="7"/>
      <c r="C914" s="7"/>
      <c r="D914" s="7"/>
      <c r="E914" s="7"/>
      <c r="F914" s="7"/>
      <c r="G914" s="7"/>
    </row>
    <row r="915" spans="2:7" ht="15" x14ac:dyDescent="0.25">
      <c r="B915" s="7"/>
      <c r="C915" s="7"/>
      <c r="D915" s="7"/>
      <c r="E915" s="7"/>
      <c r="F915" s="7"/>
      <c r="G915" s="7"/>
    </row>
    <row r="916" spans="2:7" ht="15" x14ac:dyDescent="0.25">
      <c r="B916" s="7"/>
      <c r="C916" s="7"/>
      <c r="D916" s="7"/>
      <c r="E916" s="7"/>
      <c r="F916" s="7"/>
      <c r="G916" s="7"/>
    </row>
    <row r="917" spans="2:7" ht="15" x14ac:dyDescent="0.25">
      <c r="B917" s="7"/>
      <c r="C917" s="7"/>
      <c r="D917" s="7"/>
      <c r="E917" s="7"/>
      <c r="F917" s="7"/>
      <c r="G917" s="7"/>
    </row>
    <row r="918" spans="2:7" ht="15" x14ac:dyDescent="0.25">
      <c r="B918" s="7"/>
      <c r="C918" s="7"/>
      <c r="D918" s="7"/>
      <c r="E918" s="7"/>
      <c r="F918" s="7"/>
      <c r="G918" s="7"/>
    </row>
    <row r="919" spans="2:7" ht="15" x14ac:dyDescent="0.25">
      <c r="B919" s="7"/>
      <c r="C919" s="7"/>
      <c r="D919" s="7"/>
      <c r="E919" s="7"/>
      <c r="F919" s="7"/>
      <c r="G919" s="7"/>
    </row>
    <row r="920" spans="2:7" ht="15" x14ac:dyDescent="0.25">
      <c r="B920" s="7"/>
      <c r="C920" s="7"/>
      <c r="D920" s="7"/>
      <c r="E920" s="7"/>
      <c r="F920" s="7"/>
      <c r="G920" s="7"/>
    </row>
    <row r="921" spans="2:7" ht="15" x14ac:dyDescent="0.25">
      <c r="B921" s="7"/>
      <c r="C921" s="7"/>
      <c r="D921" s="7"/>
      <c r="E921" s="7"/>
      <c r="F921" s="7"/>
      <c r="G921" s="7"/>
    </row>
    <row r="922" spans="2:7" ht="15" x14ac:dyDescent="0.25">
      <c r="B922" s="7"/>
      <c r="C922" s="7"/>
      <c r="D922" s="7"/>
      <c r="E922" s="7"/>
      <c r="F922" s="7"/>
      <c r="G922" s="7"/>
    </row>
    <row r="923" spans="2:7" ht="15" x14ac:dyDescent="0.25">
      <c r="B923" s="7"/>
      <c r="C923" s="7"/>
      <c r="D923" s="7"/>
      <c r="E923" s="7"/>
      <c r="F923" s="7"/>
      <c r="G923" s="7"/>
    </row>
    <row r="924" spans="2:7" ht="15" x14ac:dyDescent="0.25">
      <c r="B924" s="7"/>
      <c r="C924" s="7"/>
      <c r="D924" s="7"/>
      <c r="E924" s="7"/>
      <c r="F924" s="7"/>
      <c r="G924" s="7"/>
    </row>
    <row r="925" spans="2:7" ht="15" x14ac:dyDescent="0.25">
      <c r="B925" s="7"/>
      <c r="C925" s="7"/>
      <c r="D925" s="7"/>
      <c r="E925" s="7"/>
      <c r="F925" s="7"/>
      <c r="G925" s="7"/>
    </row>
    <row r="926" spans="2:7" ht="15" x14ac:dyDescent="0.25">
      <c r="B926" s="7"/>
      <c r="C926" s="7"/>
      <c r="D926" s="7"/>
      <c r="E926" s="7"/>
      <c r="F926" s="7"/>
      <c r="G926" s="7"/>
    </row>
    <row r="927" spans="2:7" ht="15" x14ac:dyDescent="0.25">
      <c r="B927" s="7"/>
      <c r="C927" s="7"/>
      <c r="D927" s="7"/>
      <c r="E927" s="7"/>
      <c r="F927" s="7"/>
      <c r="G927" s="7"/>
    </row>
    <row r="928" spans="2:7" ht="15" x14ac:dyDescent="0.25">
      <c r="B928" s="7"/>
      <c r="C928" s="7"/>
      <c r="D928" s="7"/>
      <c r="E928" s="7"/>
      <c r="F928" s="7"/>
      <c r="G928" s="7"/>
    </row>
    <row r="929" spans="2:7" ht="15" x14ac:dyDescent="0.25">
      <c r="B929" s="7"/>
      <c r="C929" s="7"/>
      <c r="D929" s="7"/>
      <c r="E929" s="7"/>
      <c r="F929" s="7"/>
      <c r="G929" s="7"/>
    </row>
    <row r="930" spans="2:7" ht="15" x14ac:dyDescent="0.25">
      <c r="B930" s="7"/>
      <c r="C930" s="7"/>
      <c r="D930" s="7"/>
      <c r="E930" s="7"/>
      <c r="F930" s="7"/>
      <c r="G930" s="7"/>
    </row>
    <row r="931" spans="2:7" ht="15" x14ac:dyDescent="0.25">
      <c r="B931" s="7"/>
      <c r="C931" s="7"/>
      <c r="D931" s="7"/>
      <c r="E931" s="7"/>
      <c r="F931" s="7"/>
      <c r="G931" s="7"/>
    </row>
    <row r="932" spans="2:7" ht="15" x14ac:dyDescent="0.25">
      <c r="B932" s="7"/>
      <c r="C932" s="7"/>
      <c r="D932" s="7"/>
      <c r="E932" s="7"/>
      <c r="F932" s="7"/>
      <c r="G932" s="7"/>
    </row>
    <row r="933" spans="2:7" ht="15" x14ac:dyDescent="0.25">
      <c r="B933" s="7"/>
      <c r="C933" s="7"/>
      <c r="D933" s="7"/>
      <c r="E933" s="7"/>
      <c r="F933" s="7"/>
      <c r="G933" s="7"/>
    </row>
    <row r="934" spans="2:7" ht="15" x14ac:dyDescent="0.25">
      <c r="B934" s="7"/>
      <c r="C934" s="7"/>
      <c r="D934" s="7"/>
      <c r="E934" s="7"/>
      <c r="F934" s="7"/>
      <c r="G934" s="7"/>
    </row>
    <row r="935" spans="2:7" ht="15" x14ac:dyDescent="0.25">
      <c r="B935" s="7"/>
      <c r="C935" s="7"/>
      <c r="D935" s="7"/>
      <c r="E935" s="7"/>
      <c r="F935" s="7"/>
      <c r="G935" s="7"/>
    </row>
    <row r="936" spans="2:7" ht="15" x14ac:dyDescent="0.25">
      <c r="B936" s="7"/>
      <c r="C936" s="7"/>
      <c r="D936" s="7"/>
      <c r="E936" s="7"/>
      <c r="F936" s="7"/>
      <c r="G936" s="7"/>
    </row>
    <row r="937" spans="2:7" ht="15" x14ac:dyDescent="0.25">
      <c r="B937" s="7"/>
      <c r="C937" s="7"/>
      <c r="D937" s="7"/>
      <c r="E937" s="7"/>
      <c r="F937" s="7"/>
      <c r="G937" s="7"/>
    </row>
    <row r="938" spans="2:7" ht="15" x14ac:dyDescent="0.25">
      <c r="B938" s="7"/>
      <c r="C938" s="7"/>
      <c r="D938" s="7"/>
      <c r="E938" s="7"/>
      <c r="F938" s="7"/>
      <c r="G938" s="7"/>
    </row>
    <row r="939" spans="2:7" ht="15" x14ac:dyDescent="0.25">
      <c r="B939" s="7"/>
      <c r="C939" s="7"/>
      <c r="D939" s="7"/>
      <c r="E939" s="7"/>
      <c r="F939" s="7"/>
      <c r="G939" s="7"/>
    </row>
    <row r="940" spans="2:7" ht="15" x14ac:dyDescent="0.25">
      <c r="B940" s="7"/>
      <c r="C940" s="7"/>
      <c r="D940" s="7"/>
      <c r="E940" s="7"/>
      <c r="F940" s="7"/>
      <c r="G940" s="7"/>
    </row>
    <row r="941" spans="2:7" ht="15" x14ac:dyDescent="0.25">
      <c r="B941" s="7"/>
      <c r="C941" s="7"/>
      <c r="D941" s="7"/>
      <c r="E941" s="7"/>
      <c r="F941" s="7"/>
      <c r="G941" s="7"/>
    </row>
    <row r="942" spans="2:7" ht="15" x14ac:dyDescent="0.25">
      <c r="B942" s="7"/>
      <c r="C942" s="7"/>
      <c r="D942" s="7"/>
      <c r="E942" s="7"/>
      <c r="F942" s="7"/>
      <c r="G942" s="7"/>
    </row>
    <row r="943" spans="2:7" ht="15" x14ac:dyDescent="0.25">
      <c r="B943" s="7"/>
      <c r="C943" s="7"/>
      <c r="D943" s="7"/>
      <c r="E943" s="7"/>
      <c r="F943" s="7"/>
      <c r="G943" s="7"/>
    </row>
    <row r="944" spans="2:7" ht="15" x14ac:dyDescent="0.25">
      <c r="B944" s="7"/>
      <c r="C944" s="7"/>
      <c r="D944" s="7"/>
      <c r="E944" s="7"/>
      <c r="F944" s="7"/>
      <c r="G944" s="7"/>
    </row>
    <row r="945" spans="2:7" ht="15" x14ac:dyDescent="0.25">
      <c r="B945" s="7"/>
      <c r="C945" s="7"/>
      <c r="D945" s="7"/>
      <c r="E945" s="7"/>
      <c r="F945" s="7"/>
      <c r="G945" s="7"/>
    </row>
    <row r="946" spans="2:7" ht="15" x14ac:dyDescent="0.25">
      <c r="B946" s="7"/>
      <c r="C946" s="7"/>
      <c r="D946" s="7"/>
      <c r="E946" s="7"/>
      <c r="F946" s="7"/>
      <c r="G946" s="7"/>
    </row>
    <row r="947" spans="2:7" ht="15" x14ac:dyDescent="0.25">
      <c r="B947" s="7"/>
      <c r="C947" s="7"/>
      <c r="D947" s="7"/>
      <c r="E947" s="7"/>
      <c r="F947" s="7"/>
      <c r="G947" s="7"/>
    </row>
    <row r="948" spans="2:7" ht="15" x14ac:dyDescent="0.25">
      <c r="B948" s="7"/>
      <c r="C948" s="7"/>
      <c r="D948" s="7"/>
      <c r="E948" s="7"/>
      <c r="F948" s="7"/>
      <c r="G948" s="7"/>
    </row>
    <row r="949" spans="2:7" ht="15" x14ac:dyDescent="0.25">
      <c r="B949" s="7"/>
      <c r="C949" s="7"/>
      <c r="D949" s="7"/>
      <c r="E949" s="7"/>
      <c r="F949" s="7"/>
      <c r="G949" s="7"/>
    </row>
    <row r="950" spans="2:7" ht="15" x14ac:dyDescent="0.25">
      <c r="B950" s="7"/>
      <c r="C950" s="7"/>
      <c r="D950" s="7"/>
      <c r="E950" s="7"/>
      <c r="F950" s="7"/>
      <c r="G950" s="7"/>
    </row>
    <row r="951" spans="2:7" ht="15" x14ac:dyDescent="0.25">
      <c r="B951" s="7"/>
      <c r="C951" s="7"/>
      <c r="D951" s="7"/>
      <c r="E951" s="7"/>
      <c r="F951" s="7"/>
      <c r="G951" s="7"/>
    </row>
    <row r="952" spans="2:7" ht="15" x14ac:dyDescent="0.25">
      <c r="B952" s="7"/>
      <c r="C952" s="7"/>
      <c r="D952" s="7"/>
      <c r="E952" s="7"/>
      <c r="F952" s="7"/>
      <c r="G952" s="7"/>
    </row>
    <row r="953" spans="2:7" ht="15" x14ac:dyDescent="0.25">
      <c r="B953" s="7"/>
      <c r="C953" s="7"/>
      <c r="D953" s="7"/>
      <c r="E953" s="7"/>
      <c r="F953" s="7"/>
      <c r="G953" s="7"/>
    </row>
    <row r="954" spans="2:7" ht="15" x14ac:dyDescent="0.25">
      <c r="B954" s="7"/>
      <c r="C954" s="7"/>
      <c r="D954" s="7"/>
      <c r="E954" s="7"/>
      <c r="F954" s="7"/>
      <c r="G954" s="7"/>
    </row>
    <row r="955" spans="2:7" ht="15" x14ac:dyDescent="0.25">
      <c r="B955" s="7"/>
      <c r="C955" s="7"/>
      <c r="D955" s="7"/>
      <c r="E955" s="7"/>
      <c r="F955" s="7"/>
      <c r="G955" s="7"/>
    </row>
    <row r="956" spans="2:7" ht="15" x14ac:dyDescent="0.25">
      <c r="B956" s="7"/>
      <c r="C956" s="7"/>
      <c r="D956" s="7"/>
      <c r="E956" s="7"/>
      <c r="F956" s="7"/>
      <c r="G956" s="7"/>
    </row>
    <row r="957" spans="2:7" ht="15" x14ac:dyDescent="0.25">
      <c r="B957" s="7"/>
      <c r="C957" s="7"/>
      <c r="D957" s="7"/>
      <c r="E957" s="7"/>
      <c r="F957" s="7"/>
      <c r="G957" s="7"/>
    </row>
    <row r="958" spans="2:7" ht="15" x14ac:dyDescent="0.25">
      <c r="B958" s="7"/>
      <c r="C958" s="7"/>
      <c r="D958" s="7"/>
      <c r="E958" s="7"/>
      <c r="F958" s="7"/>
      <c r="G958" s="7"/>
    </row>
    <row r="959" spans="2:7" ht="15" x14ac:dyDescent="0.25">
      <c r="B959" s="7"/>
      <c r="C959" s="7"/>
      <c r="D959" s="7"/>
      <c r="E959" s="7"/>
      <c r="F959" s="7"/>
      <c r="G959" s="7"/>
    </row>
    <row r="960" spans="2:7" ht="15" x14ac:dyDescent="0.25">
      <c r="B960" s="7"/>
      <c r="C960" s="7"/>
      <c r="D960" s="7"/>
      <c r="E960" s="7"/>
      <c r="F960" s="7"/>
      <c r="G960" s="7"/>
    </row>
    <row r="961" spans="2:7" ht="15" x14ac:dyDescent="0.25">
      <c r="B961" s="7"/>
      <c r="C961" s="7"/>
      <c r="D961" s="7"/>
      <c r="E961" s="7"/>
      <c r="F961" s="7"/>
      <c r="G961" s="7"/>
    </row>
    <row r="962" spans="2:7" ht="15" x14ac:dyDescent="0.25">
      <c r="B962" s="7"/>
      <c r="C962" s="7"/>
      <c r="D962" s="7"/>
      <c r="E962" s="7"/>
      <c r="F962" s="7"/>
      <c r="G962" s="7"/>
    </row>
    <row r="963" spans="2:7" ht="15" x14ac:dyDescent="0.25">
      <c r="B963" s="7"/>
      <c r="C963" s="7"/>
      <c r="D963" s="7"/>
      <c r="E963" s="7"/>
      <c r="F963" s="7"/>
      <c r="G963" s="7"/>
    </row>
    <row r="964" spans="2:7" ht="15" x14ac:dyDescent="0.25">
      <c r="B964" s="7"/>
      <c r="C964" s="7"/>
      <c r="D964" s="7"/>
      <c r="E964" s="7"/>
      <c r="F964" s="7"/>
      <c r="G964" s="7"/>
    </row>
    <row r="965" spans="2:7" ht="15" x14ac:dyDescent="0.25">
      <c r="B965" s="7"/>
      <c r="C965" s="7"/>
      <c r="D965" s="7"/>
      <c r="E965" s="7"/>
      <c r="F965" s="7"/>
      <c r="G965" s="7"/>
    </row>
    <row r="966" spans="2:7" ht="15" x14ac:dyDescent="0.25">
      <c r="B966" s="7"/>
      <c r="C966" s="7"/>
      <c r="D966" s="7"/>
      <c r="E966" s="7"/>
      <c r="F966" s="7"/>
      <c r="G966" s="7"/>
    </row>
    <row r="967" spans="2:7" ht="15" x14ac:dyDescent="0.25">
      <c r="B967" s="7"/>
      <c r="C967" s="7"/>
      <c r="D967" s="7"/>
      <c r="E967" s="7"/>
      <c r="F967" s="7"/>
      <c r="G967" s="7"/>
    </row>
    <row r="968" spans="2:7" ht="15" x14ac:dyDescent="0.25">
      <c r="B968" s="7"/>
      <c r="C968" s="7"/>
      <c r="D968" s="7"/>
      <c r="E968" s="7"/>
      <c r="F968" s="7"/>
      <c r="G968" s="7"/>
    </row>
    <row r="969" spans="2:7" ht="15" x14ac:dyDescent="0.25">
      <c r="B969" s="7"/>
      <c r="C969" s="7"/>
      <c r="D969" s="7"/>
      <c r="E969" s="7"/>
      <c r="F969" s="7"/>
      <c r="G969" s="7"/>
    </row>
    <row r="970" spans="2:7" ht="15" x14ac:dyDescent="0.25">
      <c r="B970" s="7"/>
      <c r="C970" s="7"/>
      <c r="D970" s="7"/>
      <c r="E970" s="7"/>
      <c r="F970" s="7"/>
      <c r="G970" s="7"/>
    </row>
    <row r="971" spans="2:7" ht="15" x14ac:dyDescent="0.25">
      <c r="B971" s="7"/>
      <c r="C971" s="7"/>
      <c r="D971" s="7"/>
      <c r="E971" s="7"/>
      <c r="F971" s="7"/>
      <c r="G971" s="7"/>
    </row>
    <row r="972" spans="2:7" ht="15" x14ac:dyDescent="0.25">
      <c r="B972" s="7"/>
      <c r="C972" s="7"/>
      <c r="D972" s="7"/>
      <c r="E972" s="7"/>
      <c r="F972" s="7"/>
      <c r="G972" s="7"/>
    </row>
    <row r="973" spans="2:7" ht="15" x14ac:dyDescent="0.25">
      <c r="B973" s="7"/>
      <c r="C973" s="7"/>
      <c r="D973" s="7"/>
      <c r="E973" s="7"/>
      <c r="F973" s="7"/>
      <c r="G973" s="7"/>
    </row>
    <row r="974" spans="2:7" ht="15" x14ac:dyDescent="0.25">
      <c r="B974" s="7"/>
      <c r="C974" s="7"/>
      <c r="D974" s="7"/>
      <c r="E974" s="7"/>
      <c r="F974" s="7"/>
      <c r="G974" s="7"/>
    </row>
    <row r="975" spans="2:7" ht="15" x14ac:dyDescent="0.25">
      <c r="B975" s="7"/>
      <c r="C975" s="7"/>
      <c r="D975" s="7"/>
      <c r="E975" s="7"/>
      <c r="F975" s="7"/>
      <c r="G975" s="7"/>
    </row>
    <row r="976" spans="2:7" ht="15" x14ac:dyDescent="0.25">
      <c r="B976" s="7"/>
      <c r="C976" s="7"/>
      <c r="D976" s="7"/>
      <c r="E976" s="7"/>
      <c r="F976" s="7"/>
      <c r="G976" s="7"/>
    </row>
    <row r="977" spans="2:7" ht="15" x14ac:dyDescent="0.25">
      <c r="B977" s="7"/>
      <c r="C977" s="7"/>
      <c r="D977" s="7"/>
      <c r="E977" s="7"/>
      <c r="F977" s="7"/>
      <c r="G977" s="7"/>
    </row>
    <row r="978" spans="2:7" ht="15" x14ac:dyDescent="0.25">
      <c r="B978" s="7"/>
      <c r="C978" s="7"/>
      <c r="D978" s="7"/>
      <c r="E978" s="7"/>
      <c r="F978" s="7"/>
      <c r="G978" s="7"/>
    </row>
    <row r="979" spans="2:7" ht="15" x14ac:dyDescent="0.25">
      <c r="B979" s="7"/>
      <c r="C979" s="7"/>
      <c r="D979" s="7"/>
      <c r="E979" s="7"/>
      <c r="F979" s="7"/>
      <c r="G979" s="7"/>
    </row>
    <row r="980" spans="2:7" ht="15" x14ac:dyDescent="0.25">
      <c r="B980" s="7"/>
      <c r="C980" s="7"/>
      <c r="D980" s="7"/>
      <c r="E980" s="7"/>
      <c r="F980" s="7"/>
      <c r="G980" s="7"/>
    </row>
    <row r="981" spans="2:7" ht="15" x14ac:dyDescent="0.25">
      <c r="B981" s="7"/>
      <c r="C981" s="7"/>
      <c r="D981" s="7"/>
      <c r="E981" s="7"/>
      <c r="F981" s="7"/>
      <c r="G981" s="7"/>
    </row>
    <row r="982" spans="2:7" ht="15" x14ac:dyDescent="0.25">
      <c r="B982" s="7"/>
      <c r="C982" s="7"/>
      <c r="D982" s="7"/>
      <c r="E982" s="7"/>
      <c r="F982" s="7"/>
      <c r="G982" s="7"/>
    </row>
    <row r="983" spans="2:7" ht="15" x14ac:dyDescent="0.25">
      <c r="B983" s="7"/>
      <c r="C983" s="7"/>
      <c r="D983" s="7"/>
      <c r="E983" s="7"/>
      <c r="F983" s="7"/>
      <c r="G983" s="7"/>
    </row>
    <row r="984" spans="2:7" ht="15" x14ac:dyDescent="0.25">
      <c r="B984" s="7"/>
      <c r="C984" s="7"/>
      <c r="D984" s="7"/>
      <c r="E984" s="7"/>
      <c r="F984" s="7"/>
      <c r="G984" s="7"/>
    </row>
    <row r="985" spans="2:7" ht="15" x14ac:dyDescent="0.25">
      <c r="B985" s="7"/>
      <c r="C985" s="7"/>
      <c r="D985" s="7"/>
      <c r="E985" s="7"/>
      <c r="F985" s="7"/>
      <c r="G985" s="7"/>
    </row>
    <row r="986" spans="2:7" ht="15" x14ac:dyDescent="0.25">
      <c r="B986" s="7"/>
      <c r="C986" s="7"/>
      <c r="D986" s="7"/>
      <c r="E986" s="7"/>
      <c r="F986" s="7"/>
      <c r="G986" s="7"/>
    </row>
    <row r="987" spans="2:7" ht="15" x14ac:dyDescent="0.25">
      <c r="B987" s="7"/>
      <c r="C987" s="7"/>
      <c r="D987" s="7"/>
      <c r="E987" s="7"/>
      <c r="F987" s="7"/>
      <c r="G987" s="7"/>
    </row>
    <row r="988" spans="2:7" ht="15" x14ac:dyDescent="0.25">
      <c r="B988" s="7"/>
      <c r="C988" s="7"/>
      <c r="D988" s="7"/>
      <c r="E988" s="7"/>
      <c r="F988" s="7"/>
      <c r="G988" s="7"/>
    </row>
    <row r="989" spans="2:7" ht="15" x14ac:dyDescent="0.25">
      <c r="B989" s="7"/>
      <c r="C989" s="7"/>
      <c r="D989" s="7"/>
      <c r="E989" s="7"/>
      <c r="F989" s="7"/>
      <c r="G989" s="7"/>
    </row>
    <row r="990" spans="2:7" ht="15" x14ac:dyDescent="0.25">
      <c r="B990" s="7"/>
      <c r="C990" s="7"/>
      <c r="D990" s="7"/>
      <c r="E990" s="7"/>
      <c r="F990" s="7"/>
      <c r="G990" s="7"/>
    </row>
    <row r="991" spans="2:7" ht="15" x14ac:dyDescent="0.25">
      <c r="B991" s="7"/>
      <c r="C991" s="7"/>
      <c r="D991" s="7"/>
      <c r="E991" s="7"/>
      <c r="F991" s="7"/>
      <c r="G991" s="7"/>
    </row>
    <row r="992" spans="2:7" ht="15" x14ac:dyDescent="0.25">
      <c r="B992" s="7"/>
      <c r="C992" s="7"/>
      <c r="D992" s="7"/>
      <c r="E992" s="7"/>
      <c r="F992" s="7"/>
      <c r="G992" s="7"/>
    </row>
    <row r="993" spans="2:7" ht="15" x14ac:dyDescent="0.25">
      <c r="B993" s="7"/>
      <c r="C993" s="7"/>
      <c r="D993" s="7"/>
      <c r="E993" s="7"/>
      <c r="F993" s="7"/>
      <c r="G993" s="7"/>
    </row>
    <row r="994" spans="2:7" ht="15" x14ac:dyDescent="0.25">
      <c r="B994" s="7"/>
      <c r="C994" s="7"/>
      <c r="D994" s="7"/>
      <c r="E994" s="7"/>
      <c r="F994" s="7"/>
      <c r="G994" s="7"/>
    </row>
    <row r="995" spans="2:7" ht="15" x14ac:dyDescent="0.25">
      <c r="B995" s="7"/>
      <c r="C995" s="7"/>
      <c r="D995" s="7"/>
      <c r="E995" s="7"/>
      <c r="F995" s="7"/>
      <c r="G995" s="7"/>
    </row>
    <row r="996" spans="2:7" ht="15" x14ac:dyDescent="0.25">
      <c r="B996" s="7"/>
      <c r="C996" s="7"/>
      <c r="D996" s="7"/>
      <c r="E996" s="7"/>
      <c r="F996" s="7"/>
      <c r="G996" s="7"/>
    </row>
    <row r="997" spans="2:7" ht="15" x14ac:dyDescent="0.25">
      <c r="B997" s="7"/>
      <c r="C997" s="7"/>
      <c r="D997" s="7"/>
      <c r="E997" s="7"/>
      <c r="F997" s="7"/>
      <c r="G997" s="7"/>
    </row>
    <row r="998" spans="2:7" ht="15" x14ac:dyDescent="0.25">
      <c r="B998" s="7"/>
      <c r="C998" s="7"/>
      <c r="D998" s="7"/>
      <c r="E998" s="7"/>
      <c r="F998" s="7"/>
      <c r="G998" s="7"/>
    </row>
    <row r="999" spans="2:7" ht="15" x14ac:dyDescent="0.25">
      <c r="B999" s="7"/>
      <c r="C999" s="7"/>
      <c r="D999" s="7"/>
      <c r="E999" s="7"/>
      <c r="F999" s="7"/>
      <c r="G999" s="7"/>
    </row>
    <row r="1000" spans="2:7" ht="15" x14ac:dyDescent="0.25">
      <c r="B1000" s="7"/>
      <c r="C1000" s="7"/>
      <c r="D1000" s="7"/>
      <c r="E1000" s="7"/>
      <c r="F1000" s="7"/>
      <c r="G1000" s="7"/>
    </row>
    <row r="1001" spans="2:7" ht="15" x14ac:dyDescent="0.25">
      <c r="B1001" s="7"/>
      <c r="C1001" s="7"/>
      <c r="D1001" s="7"/>
      <c r="E1001" s="7"/>
      <c r="F1001" s="7"/>
      <c r="G1001" s="7"/>
    </row>
    <row r="1002" spans="2:7" ht="15" x14ac:dyDescent="0.25">
      <c r="B1002" s="7"/>
      <c r="C1002" s="7"/>
      <c r="D1002" s="7"/>
      <c r="E1002" s="7"/>
      <c r="F1002" s="7"/>
      <c r="G1002" s="7"/>
    </row>
    <row r="1003" spans="2:7" ht="15" x14ac:dyDescent="0.25">
      <c r="B1003" s="7"/>
      <c r="C1003" s="7"/>
      <c r="D1003" s="7"/>
      <c r="E1003" s="7"/>
      <c r="F1003" s="7"/>
      <c r="G1003" s="7"/>
    </row>
    <row r="1004" spans="2:7" ht="15" x14ac:dyDescent="0.25">
      <c r="B1004" s="7"/>
      <c r="C1004" s="7"/>
      <c r="D1004" s="7"/>
      <c r="E1004" s="7"/>
      <c r="F1004" s="7"/>
      <c r="G1004" s="7"/>
    </row>
    <row r="1005" spans="2:7" ht="15" x14ac:dyDescent="0.25">
      <c r="B1005" s="7"/>
      <c r="C1005" s="7"/>
      <c r="D1005" s="7"/>
      <c r="E1005" s="7"/>
      <c r="F1005" s="7"/>
      <c r="G1005" s="7"/>
    </row>
    <row r="1006" spans="2:7" ht="15" x14ac:dyDescent="0.25">
      <c r="B1006" s="7"/>
      <c r="C1006" s="7"/>
      <c r="D1006" s="7"/>
      <c r="E1006" s="7"/>
      <c r="F1006" s="7"/>
      <c r="G1006" s="7"/>
    </row>
    <row r="1007" spans="2:7" ht="15" x14ac:dyDescent="0.25">
      <c r="B1007" s="7"/>
      <c r="C1007" s="7"/>
      <c r="D1007" s="7"/>
      <c r="E1007" s="7"/>
      <c r="F1007" s="7"/>
      <c r="G1007" s="7"/>
    </row>
    <row r="1008" spans="2:7" ht="15" x14ac:dyDescent="0.25">
      <c r="B1008" s="7"/>
      <c r="C1008" s="7"/>
      <c r="D1008" s="7"/>
      <c r="E1008" s="7"/>
      <c r="F1008" s="7"/>
      <c r="G1008" s="7"/>
    </row>
    <row r="1009" spans="2:7" ht="15" x14ac:dyDescent="0.25">
      <c r="B1009" s="7"/>
      <c r="C1009" s="7"/>
      <c r="D1009" s="7"/>
      <c r="E1009" s="7"/>
      <c r="F1009" s="7"/>
      <c r="G1009" s="7"/>
    </row>
    <row r="1010" spans="2:7" ht="15" x14ac:dyDescent="0.25">
      <c r="B1010" s="7"/>
      <c r="C1010" s="7"/>
      <c r="D1010" s="7"/>
      <c r="E1010" s="7"/>
      <c r="F1010" s="7"/>
      <c r="G1010" s="7"/>
    </row>
    <row r="1011" spans="2:7" ht="15" x14ac:dyDescent="0.25">
      <c r="B1011" s="7"/>
      <c r="C1011" s="7"/>
      <c r="D1011" s="7"/>
      <c r="E1011" s="7"/>
      <c r="F1011" s="7"/>
      <c r="G1011" s="7"/>
    </row>
    <row r="1012" spans="2:7" ht="15" x14ac:dyDescent="0.25">
      <c r="B1012" s="7"/>
      <c r="C1012" s="7"/>
      <c r="D1012" s="7"/>
      <c r="E1012" s="7"/>
      <c r="F1012" s="7"/>
      <c r="G1012" s="7"/>
    </row>
    <row r="1013" spans="2:7" ht="15" x14ac:dyDescent="0.25">
      <c r="B1013" s="7"/>
      <c r="C1013" s="7"/>
      <c r="D1013" s="7"/>
      <c r="E1013" s="7"/>
      <c r="F1013" s="7"/>
      <c r="G1013" s="7"/>
    </row>
    <row r="1014" spans="2:7" ht="15" x14ac:dyDescent="0.25">
      <c r="B1014" s="7"/>
      <c r="C1014" s="7"/>
      <c r="D1014" s="7"/>
      <c r="E1014" s="7"/>
      <c r="F1014" s="7"/>
      <c r="G1014" s="7"/>
    </row>
    <row r="1015" spans="2:7" ht="15" x14ac:dyDescent="0.25">
      <c r="B1015" s="7"/>
      <c r="C1015" s="7"/>
      <c r="D1015" s="7"/>
      <c r="E1015" s="7"/>
      <c r="F1015" s="7"/>
      <c r="G1015" s="7"/>
    </row>
    <row r="1016" spans="2:7" ht="15" x14ac:dyDescent="0.25">
      <c r="B1016" s="7"/>
      <c r="C1016" s="7"/>
      <c r="D1016" s="7"/>
      <c r="E1016" s="7"/>
      <c r="F1016" s="7"/>
      <c r="G1016" s="7"/>
    </row>
    <row r="1017" spans="2:7" ht="15" x14ac:dyDescent="0.25">
      <c r="B1017" s="7"/>
      <c r="C1017" s="7"/>
      <c r="D1017" s="7"/>
      <c r="E1017" s="7"/>
      <c r="F1017" s="7"/>
      <c r="G1017" s="7"/>
    </row>
    <row r="1018" spans="2:7" ht="15" x14ac:dyDescent="0.25">
      <c r="B1018" s="7"/>
      <c r="C1018" s="7"/>
      <c r="D1018" s="7"/>
      <c r="E1018" s="7"/>
      <c r="F1018" s="7"/>
      <c r="G1018" s="7"/>
    </row>
    <row r="1019" spans="2:7" ht="15" x14ac:dyDescent="0.25">
      <c r="B1019" s="7"/>
      <c r="C1019" s="7"/>
      <c r="D1019" s="7"/>
      <c r="E1019" s="7"/>
      <c r="F1019" s="7"/>
      <c r="G1019" s="7"/>
    </row>
    <row r="1020" spans="2:7" ht="15" x14ac:dyDescent="0.25">
      <c r="B1020" s="7"/>
      <c r="C1020" s="7"/>
      <c r="D1020" s="7"/>
      <c r="E1020" s="7"/>
      <c r="F1020" s="7"/>
      <c r="G1020" s="7"/>
    </row>
    <row r="1021" spans="2:7" ht="15" x14ac:dyDescent="0.25">
      <c r="B1021" s="7"/>
      <c r="C1021" s="7"/>
      <c r="D1021" s="7"/>
      <c r="E1021" s="7"/>
      <c r="F1021" s="7"/>
      <c r="G1021" s="7"/>
    </row>
    <row r="1022" spans="2:7" ht="15" x14ac:dyDescent="0.25">
      <c r="B1022" s="7"/>
      <c r="C1022" s="7"/>
      <c r="D1022" s="7"/>
      <c r="E1022" s="7"/>
      <c r="F1022" s="7"/>
      <c r="G1022" s="7"/>
    </row>
    <row r="1023" spans="2:7" ht="15" x14ac:dyDescent="0.25">
      <c r="B1023" s="7"/>
      <c r="C1023" s="7"/>
      <c r="D1023" s="7"/>
      <c r="E1023" s="7"/>
      <c r="F1023" s="7"/>
      <c r="G1023" s="7"/>
    </row>
    <row r="1024" spans="2:7" ht="15" x14ac:dyDescent="0.25">
      <c r="B1024" s="7"/>
      <c r="C1024" s="7"/>
      <c r="D1024" s="7"/>
      <c r="E1024" s="7"/>
      <c r="F1024" s="7"/>
      <c r="G1024" s="7"/>
    </row>
    <row r="1025" spans="2:7" ht="15" x14ac:dyDescent="0.25">
      <c r="B1025" s="7"/>
      <c r="C1025" s="7"/>
      <c r="D1025" s="7"/>
      <c r="E1025" s="7"/>
      <c r="F1025" s="7"/>
      <c r="G1025" s="7"/>
    </row>
    <row r="1026" spans="2:7" ht="15" x14ac:dyDescent="0.25">
      <c r="B1026" s="7"/>
      <c r="C1026" s="7"/>
      <c r="D1026" s="7"/>
      <c r="E1026" s="7"/>
      <c r="F1026" s="7"/>
      <c r="G1026" s="7"/>
    </row>
    <row r="1027" spans="2:7" ht="15" x14ac:dyDescent="0.25">
      <c r="B1027" s="7"/>
      <c r="C1027" s="7"/>
      <c r="D1027" s="7"/>
      <c r="E1027" s="7"/>
      <c r="F1027" s="7"/>
      <c r="G1027" s="7"/>
    </row>
    <row r="1028" spans="2:7" ht="15" x14ac:dyDescent="0.25">
      <c r="B1028" s="7"/>
      <c r="C1028" s="7"/>
      <c r="D1028" s="7"/>
      <c r="E1028" s="7"/>
      <c r="F1028" s="7"/>
      <c r="G1028" s="7"/>
    </row>
    <row r="1029" spans="2:7" ht="15" x14ac:dyDescent="0.25">
      <c r="B1029" s="7"/>
      <c r="C1029" s="7"/>
      <c r="D1029" s="7"/>
      <c r="E1029" s="7"/>
      <c r="F1029" s="7"/>
      <c r="G1029" s="7"/>
    </row>
    <row r="1030" spans="2:7" ht="15" x14ac:dyDescent="0.25">
      <c r="B1030" s="7"/>
      <c r="C1030" s="7"/>
      <c r="D1030" s="7"/>
      <c r="E1030" s="7"/>
      <c r="F1030" s="7"/>
      <c r="G1030" s="7"/>
    </row>
    <row r="1031" spans="2:7" ht="15" x14ac:dyDescent="0.25">
      <c r="B1031" s="7"/>
      <c r="C1031" s="7"/>
      <c r="D1031" s="7"/>
      <c r="E1031" s="7"/>
      <c r="F1031" s="7"/>
      <c r="G1031" s="7"/>
    </row>
    <row r="1032" spans="2:7" ht="15" x14ac:dyDescent="0.25">
      <c r="B1032" s="7"/>
      <c r="C1032" s="7"/>
      <c r="D1032" s="7"/>
      <c r="E1032" s="7"/>
      <c r="F1032" s="7"/>
      <c r="G1032" s="7"/>
    </row>
    <row r="1033" spans="2:7" ht="15" x14ac:dyDescent="0.25">
      <c r="B1033" s="7"/>
      <c r="C1033" s="7"/>
      <c r="D1033" s="7"/>
      <c r="E1033" s="7"/>
      <c r="F1033" s="7"/>
      <c r="G1033" s="7"/>
    </row>
    <row r="1034" spans="2:7" ht="15" x14ac:dyDescent="0.25">
      <c r="B1034" s="7"/>
      <c r="C1034" s="7"/>
      <c r="D1034" s="7"/>
      <c r="E1034" s="7"/>
      <c r="F1034" s="7"/>
      <c r="G1034" s="7"/>
    </row>
    <row r="1035" spans="2:7" ht="15" x14ac:dyDescent="0.25">
      <c r="B1035" s="7"/>
      <c r="C1035" s="7"/>
      <c r="D1035" s="7"/>
      <c r="E1035" s="7"/>
      <c r="F1035" s="7"/>
      <c r="G1035" s="7"/>
    </row>
    <row r="1036" spans="2:7" ht="15" x14ac:dyDescent="0.25">
      <c r="B1036" s="7"/>
      <c r="C1036" s="7"/>
      <c r="D1036" s="7"/>
      <c r="E1036" s="7"/>
      <c r="F1036" s="7"/>
      <c r="G1036" s="7"/>
    </row>
    <row r="1037" spans="2:7" ht="15" x14ac:dyDescent="0.25">
      <c r="B1037" s="7"/>
      <c r="C1037" s="7"/>
      <c r="D1037" s="7"/>
      <c r="E1037" s="7"/>
      <c r="F1037" s="7"/>
      <c r="G1037" s="7"/>
    </row>
    <row r="1038" spans="2:7" ht="15" x14ac:dyDescent="0.25">
      <c r="B1038" s="7"/>
      <c r="C1038" s="7"/>
      <c r="D1038" s="7"/>
      <c r="E1038" s="7"/>
      <c r="F1038" s="7"/>
      <c r="G1038" s="7"/>
    </row>
    <row r="1039" spans="2:7" ht="15" x14ac:dyDescent="0.25">
      <c r="B1039" s="7"/>
      <c r="C1039" s="7"/>
      <c r="D1039" s="7"/>
      <c r="E1039" s="7"/>
      <c r="F1039" s="7"/>
      <c r="G1039" s="7"/>
    </row>
    <row r="1040" spans="2:7" ht="15" x14ac:dyDescent="0.25">
      <c r="B1040" s="7"/>
      <c r="C1040" s="7"/>
      <c r="D1040" s="7"/>
      <c r="E1040" s="7"/>
      <c r="F1040" s="7"/>
      <c r="G1040" s="7"/>
    </row>
    <row r="1041" spans="2:7" ht="15" x14ac:dyDescent="0.25">
      <c r="B1041" s="7"/>
      <c r="C1041" s="7"/>
      <c r="D1041" s="7"/>
      <c r="E1041" s="7"/>
      <c r="F1041" s="7"/>
      <c r="G1041" s="7"/>
    </row>
    <row r="1042" spans="2:7" ht="15" x14ac:dyDescent="0.25">
      <c r="B1042" s="7"/>
      <c r="C1042" s="7"/>
      <c r="D1042" s="7"/>
      <c r="E1042" s="7"/>
      <c r="F1042" s="7"/>
      <c r="G1042" s="7"/>
    </row>
    <row r="1043" spans="2:7" ht="15" x14ac:dyDescent="0.25">
      <c r="B1043" s="7"/>
      <c r="C1043" s="7"/>
      <c r="D1043" s="7"/>
      <c r="E1043" s="7"/>
      <c r="F1043" s="7"/>
      <c r="G1043" s="7"/>
    </row>
    <row r="1044" spans="2:7" ht="15" x14ac:dyDescent="0.25">
      <c r="B1044" s="7"/>
      <c r="C1044" s="7"/>
      <c r="D1044" s="7"/>
      <c r="E1044" s="7"/>
      <c r="F1044" s="7"/>
      <c r="G1044" s="7"/>
    </row>
    <row r="1045" spans="2:7" ht="15" x14ac:dyDescent="0.25">
      <c r="B1045" s="7"/>
      <c r="C1045" s="7"/>
      <c r="D1045" s="7"/>
      <c r="E1045" s="7"/>
      <c r="F1045" s="7"/>
      <c r="G1045" s="7"/>
    </row>
    <row r="1046" spans="2:7" ht="15" x14ac:dyDescent="0.25">
      <c r="B1046" s="7"/>
      <c r="C1046" s="7"/>
      <c r="D1046" s="7"/>
      <c r="E1046" s="7"/>
      <c r="F1046" s="7"/>
      <c r="G1046" s="7"/>
    </row>
    <row r="1047" spans="2:7" ht="15" x14ac:dyDescent="0.25">
      <c r="B1047" s="7"/>
      <c r="C1047" s="7"/>
      <c r="D1047" s="7"/>
      <c r="E1047" s="7"/>
      <c r="F1047" s="7"/>
      <c r="G1047" s="7"/>
    </row>
    <row r="1048" spans="2:7" ht="15" x14ac:dyDescent="0.25">
      <c r="B1048" s="7"/>
      <c r="C1048" s="7"/>
      <c r="D1048" s="7"/>
      <c r="E1048" s="7"/>
      <c r="F1048" s="7"/>
      <c r="G1048" s="7"/>
    </row>
    <row r="1049" spans="2:7" ht="15" x14ac:dyDescent="0.25">
      <c r="B1049" s="7"/>
      <c r="C1049" s="7"/>
      <c r="D1049" s="7"/>
      <c r="E1049" s="7"/>
      <c r="F1049" s="7"/>
      <c r="G1049" s="7"/>
    </row>
    <row r="1050" spans="2:7" ht="15" x14ac:dyDescent="0.25">
      <c r="B1050" s="7"/>
      <c r="C1050" s="7"/>
      <c r="D1050" s="7"/>
      <c r="E1050" s="7"/>
      <c r="F1050" s="7"/>
      <c r="G1050" s="7"/>
    </row>
    <row r="1051" spans="2:7" ht="15" x14ac:dyDescent="0.25">
      <c r="B1051" s="7"/>
      <c r="C1051" s="7"/>
      <c r="D1051" s="7"/>
      <c r="E1051" s="7"/>
      <c r="F1051" s="7"/>
      <c r="G1051" s="7"/>
    </row>
    <row r="1052" spans="2:7" ht="15" x14ac:dyDescent="0.25">
      <c r="B1052" s="7"/>
      <c r="C1052" s="7"/>
      <c r="D1052" s="7"/>
      <c r="E1052" s="7"/>
      <c r="F1052" s="7"/>
      <c r="G1052" s="7"/>
    </row>
    <row r="1053" spans="2:7" ht="15" x14ac:dyDescent="0.25">
      <c r="B1053" s="7"/>
      <c r="C1053" s="7"/>
      <c r="D1053" s="7"/>
      <c r="E1053" s="7"/>
      <c r="F1053" s="7"/>
      <c r="G1053" s="7"/>
    </row>
    <row r="1054" spans="2:7" ht="15" x14ac:dyDescent="0.25">
      <c r="B1054" s="7"/>
      <c r="C1054" s="7"/>
      <c r="D1054" s="7"/>
      <c r="E1054" s="7"/>
      <c r="F1054" s="7"/>
      <c r="G1054" s="7"/>
    </row>
    <row r="1055" spans="2:7" ht="15" x14ac:dyDescent="0.25">
      <c r="B1055" s="7"/>
      <c r="C1055" s="7"/>
      <c r="D1055" s="7"/>
      <c r="E1055" s="7"/>
      <c r="F1055" s="7"/>
      <c r="G1055" s="7"/>
    </row>
    <row r="1056" spans="2:7" ht="15" x14ac:dyDescent="0.25">
      <c r="B1056" s="7"/>
      <c r="C1056" s="7"/>
      <c r="D1056" s="7"/>
      <c r="E1056" s="7"/>
      <c r="F1056" s="7"/>
      <c r="G1056" s="7"/>
    </row>
    <row r="1057" spans="2:7" ht="15" x14ac:dyDescent="0.25">
      <c r="B1057" s="7"/>
      <c r="C1057" s="7"/>
      <c r="D1057" s="7"/>
      <c r="E1057" s="7"/>
      <c r="F1057" s="7"/>
      <c r="G1057" s="7"/>
    </row>
    <row r="1058" spans="2:7" ht="15" x14ac:dyDescent="0.25">
      <c r="B1058" s="7"/>
      <c r="C1058" s="7"/>
      <c r="D1058" s="7"/>
      <c r="E1058" s="7"/>
      <c r="F1058" s="7"/>
      <c r="G1058" s="7"/>
    </row>
    <row r="1059" spans="2:7" ht="15" x14ac:dyDescent="0.25">
      <c r="B1059" s="7"/>
      <c r="C1059" s="7"/>
      <c r="D1059" s="7"/>
      <c r="E1059" s="7"/>
      <c r="F1059" s="7"/>
      <c r="G1059" s="7"/>
    </row>
    <row r="1060" spans="2:7" ht="15" x14ac:dyDescent="0.25">
      <c r="B1060" s="7"/>
      <c r="C1060" s="7"/>
      <c r="D1060" s="7"/>
      <c r="E1060" s="7"/>
      <c r="F1060" s="7"/>
      <c r="G1060" s="7"/>
    </row>
    <row r="1061" spans="2:7" ht="15" x14ac:dyDescent="0.25">
      <c r="B1061" s="7"/>
      <c r="C1061" s="7"/>
      <c r="D1061" s="7"/>
      <c r="E1061" s="7"/>
      <c r="F1061" s="7"/>
      <c r="G1061" s="7"/>
    </row>
    <row r="1062" spans="2:7" ht="15" x14ac:dyDescent="0.25">
      <c r="B1062" s="7"/>
      <c r="C1062" s="7"/>
      <c r="D1062" s="7"/>
      <c r="E1062" s="7"/>
      <c r="F1062" s="7"/>
      <c r="G1062" s="7"/>
    </row>
    <row r="1063" spans="2:7" ht="15" x14ac:dyDescent="0.25">
      <c r="B1063" s="7"/>
      <c r="C1063" s="7"/>
      <c r="D1063" s="7"/>
      <c r="E1063" s="7"/>
      <c r="F1063" s="7"/>
      <c r="G1063" s="7"/>
    </row>
    <row r="1064" spans="2:7" ht="15" x14ac:dyDescent="0.25">
      <c r="B1064" s="7"/>
      <c r="C1064" s="7"/>
      <c r="D1064" s="7"/>
      <c r="E1064" s="7"/>
      <c r="F1064" s="7"/>
      <c r="G1064" s="7"/>
    </row>
    <row r="1065" spans="2:7" ht="15" x14ac:dyDescent="0.25">
      <c r="B1065" s="7"/>
      <c r="C1065" s="7"/>
      <c r="D1065" s="7"/>
      <c r="E1065" s="7"/>
      <c r="F1065" s="7"/>
      <c r="G1065" s="7"/>
    </row>
    <row r="1066" spans="2:7" ht="15" x14ac:dyDescent="0.25">
      <c r="B1066" s="7"/>
      <c r="C1066" s="7"/>
      <c r="D1066" s="7"/>
      <c r="E1066" s="7"/>
      <c r="F1066" s="7"/>
      <c r="G1066" s="7"/>
    </row>
    <row r="1067" spans="2:7" ht="15" x14ac:dyDescent="0.25">
      <c r="B1067" s="7"/>
      <c r="C1067" s="7"/>
      <c r="D1067" s="7"/>
      <c r="E1067" s="7"/>
      <c r="F1067" s="7"/>
      <c r="G1067" s="7"/>
    </row>
    <row r="1068" spans="2:7" ht="15" x14ac:dyDescent="0.25">
      <c r="B1068" s="7"/>
      <c r="C1068" s="7"/>
      <c r="D1068" s="7"/>
      <c r="E1068" s="7"/>
      <c r="F1068" s="7"/>
      <c r="G1068" s="7"/>
    </row>
    <row r="1069" spans="2:7" ht="15" x14ac:dyDescent="0.25">
      <c r="B1069" s="7"/>
      <c r="C1069" s="7"/>
      <c r="D1069" s="7"/>
      <c r="E1069" s="7"/>
      <c r="F1069" s="7"/>
      <c r="G1069" s="7"/>
    </row>
    <row r="1070" spans="2:7" ht="15" x14ac:dyDescent="0.25">
      <c r="B1070" s="7"/>
      <c r="C1070" s="7"/>
      <c r="D1070" s="7"/>
      <c r="E1070" s="7"/>
      <c r="F1070" s="7"/>
      <c r="G1070" s="7"/>
    </row>
    <row r="1071" spans="2:7" ht="15" x14ac:dyDescent="0.25">
      <c r="B1071" s="7"/>
      <c r="C1071" s="7"/>
      <c r="D1071" s="7"/>
      <c r="E1071" s="7"/>
      <c r="F1071" s="7"/>
      <c r="G1071" s="7"/>
    </row>
    <row r="1072" spans="2:7" ht="15" x14ac:dyDescent="0.25">
      <c r="B1072" s="7"/>
      <c r="C1072" s="7"/>
      <c r="D1072" s="7"/>
      <c r="E1072" s="7"/>
      <c r="F1072" s="7"/>
      <c r="G1072" s="7"/>
    </row>
    <row r="1073" spans="2:7" ht="15" x14ac:dyDescent="0.25">
      <c r="B1073" s="7"/>
      <c r="C1073" s="7"/>
      <c r="D1073" s="7"/>
      <c r="E1073" s="7"/>
      <c r="F1073" s="7"/>
      <c r="G1073" s="7"/>
    </row>
    <row r="1074" spans="2:7" ht="15" x14ac:dyDescent="0.25">
      <c r="B1074" s="7"/>
      <c r="C1074" s="7"/>
      <c r="D1074" s="7"/>
      <c r="E1074" s="7"/>
      <c r="F1074" s="7"/>
      <c r="G1074" s="7"/>
    </row>
    <row r="1075" spans="2:7" ht="15" x14ac:dyDescent="0.25">
      <c r="B1075" s="7"/>
      <c r="C1075" s="7"/>
      <c r="D1075" s="7"/>
      <c r="E1075" s="7"/>
      <c r="F1075" s="7"/>
      <c r="G1075" s="7"/>
    </row>
    <row r="1076" spans="2:7" ht="15" x14ac:dyDescent="0.25">
      <c r="B1076" s="7"/>
      <c r="C1076" s="7"/>
      <c r="D1076" s="7"/>
      <c r="E1076" s="7"/>
      <c r="F1076" s="7"/>
      <c r="G1076" s="7"/>
    </row>
    <row r="1077" spans="2:7" ht="15" x14ac:dyDescent="0.25">
      <c r="B1077" s="7"/>
      <c r="C1077" s="7"/>
      <c r="D1077" s="7"/>
      <c r="E1077" s="7"/>
      <c r="F1077" s="7"/>
      <c r="G1077" s="7"/>
    </row>
    <row r="1078" spans="2:7" ht="15" x14ac:dyDescent="0.25">
      <c r="B1078" s="7"/>
      <c r="C1078" s="7"/>
      <c r="D1078" s="7"/>
      <c r="E1078" s="7"/>
      <c r="F1078" s="7"/>
      <c r="G1078" s="7"/>
    </row>
    <row r="1079" spans="2:7" ht="15" x14ac:dyDescent="0.25">
      <c r="B1079" s="7"/>
      <c r="C1079" s="7"/>
      <c r="D1079" s="7"/>
      <c r="E1079" s="7"/>
      <c r="F1079" s="7"/>
      <c r="G1079" s="7"/>
    </row>
    <row r="1080" spans="2:7" ht="15" x14ac:dyDescent="0.25">
      <c r="B1080" s="7"/>
      <c r="C1080" s="7"/>
      <c r="D1080" s="7"/>
      <c r="E1080" s="7"/>
      <c r="F1080" s="7"/>
      <c r="G1080" s="7"/>
    </row>
    <row r="1081" spans="2:7" ht="15" x14ac:dyDescent="0.25">
      <c r="B1081" s="7"/>
      <c r="C1081" s="7"/>
      <c r="D1081" s="7"/>
      <c r="E1081" s="7"/>
      <c r="F1081" s="7"/>
      <c r="G1081" s="7"/>
    </row>
    <row r="1082" spans="2:7" ht="15" x14ac:dyDescent="0.25">
      <c r="B1082" s="7"/>
      <c r="C1082" s="7"/>
      <c r="D1082" s="7"/>
      <c r="E1082" s="7"/>
      <c r="F1082" s="7"/>
      <c r="G1082" s="7"/>
    </row>
    <row r="1083" spans="2:7" ht="15" x14ac:dyDescent="0.25">
      <c r="B1083" s="7"/>
      <c r="C1083" s="7"/>
      <c r="D1083" s="7"/>
      <c r="E1083" s="7"/>
      <c r="F1083" s="7"/>
      <c r="G1083" s="7"/>
    </row>
    <row r="1084" spans="2:7" ht="15" x14ac:dyDescent="0.25">
      <c r="B1084" s="7"/>
      <c r="C1084" s="7"/>
      <c r="D1084" s="7"/>
      <c r="E1084" s="7"/>
      <c r="F1084" s="7"/>
      <c r="G1084" s="7"/>
    </row>
    <row r="1085" spans="2:7" ht="15" x14ac:dyDescent="0.25">
      <c r="B1085" s="7"/>
      <c r="C1085" s="7"/>
      <c r="D1085" s="7"/>
      <c r="E1085" s="7"/>
      <c r="F1085" s="7"/>
      <c r="G1085" s="7"/>
    </row>
    <row r="1086" spans="2:7" ht="15" x14ac:dyDescent="0.25">
      <c r="B1086" s="7"/>
      <c r="C1086" s="7"/>
      <c r="D1086" s="7"/>
      <c r="E1086" s="7"/>
      <c r="F1086" s="7"/>
      <c r="G1086" s="7"/>
    </row>
    <row r="1087" spans="2:7" ht="15" x14ac:dyDescent="0.25">
      <c r="B1087" s="7"/>
      <c r="C1087" s="7"/>
      <c r="D1087" s="7"/>
      <c r="E1087" s="7"/>
      <c r="F1087" s="7"/>
      <c r="G1087" s="7"/>
    </row>
    <row r="1088" spans="2:7" ht="15" x14ac:dyDescent="0.25">
      <c r="B1088" s="7"/>
      <c r="C1088" s="7"/>
      <c r="D1088" s="7"/>
      <c r="E1088" s="7"/>
      <c r="F1088" s="7"/>
      <c r="G1088" s="7"/>
    </row>
    <row r="1089" spans="2:7" ht="15" x14ac:dyDescent="0.25">
      <c r="B1089" s="7"/>
      <c r="C1089" s="7"/>
      <c r="D1089" s="7"/>
      <c r="E1089" s="7"/>
      <c r="F1089" s="7"/>
      <c r="G1089" s="7"/>
    </row>
    <row r="1090" spans="2:7" ht="15" x14ac:dyDescent="0.25">
      <c r="B1090" s="7"/>
      <c r="C1090" s="7"/>
      <c r="D1090" s="7"/>
      <c r="E1090" s="7"/>
      <c r="F1090" s="7"/>
      <c r="G1090" s="7"/>
    </row>
    <row r="1091" spans="2:7" ht="15" x14ac:dyDescent="0.25">
      <c r="B1091" s="7"/>
      <c r="C1091" s="7"/>
      <c r="D1091" s="7"/>
      <c r="E1091" s="7"/>
      <c r="F1091" s="7"/>
      <c r="G1091" s="7"/>
    </row>
    <row r="1092" spans="2:7" ht="15" x14ac:dyDescent="0.25">
      <c r="B1092" s="7"/>
      <c r="C1092" s="7"/>
      <c r="D1092" s="7"/>
      <c r="E1092" s="7"/>
      <c r="F1092" s="7"/>
      <c r="G1092" s="7"/>
    </row>
    <row r="1093" spans="2:7" ht="15" x14ac:dyDescent="0.25">
      <c r="B1093" s="7"/>
      <c r="C1093" s="7"/>
      <c r="D1093" s="7"/>
      <c r="E1093" s="7"/>
      <c r="F1093" s="7"/>
      <c r="G1093" s="7"/>
    </row>
    <row r="1094" spans="2:7" ht="15" x14ac:dyDescent="0.25">
      <c r="B1094" s="7"/>
      <c r="C1094" s="7"/>
      <c r="D1094" s="7"/>
      <c r="E1094" s="7"/>
      <c r="F1094" s="7"/>
      <c r="G1094" s="7"/>
    </row>
    <row r="1095" spans="2:7" ht="15" x14ac:dyDescent="0.25">
      <c r="B1095" s="7"/>
      <c r="C1095" s="7"/>
      <c r="D1095" s="7"/>
      <c r="E1095" s="7"/>
      <c r="F1095" s="7"/>
      <c r="G1095" s="7"/>
    </row>
    <row r="1096" spans="2:7" ht="15" x14ac:dyDescent="0.25">
      <c r="B1096" s="7"/>
      <c r="C1096" s="7"/>
      <c r="D1096" s="7"/>
      <c r="E1096" s="7"/>
      <c r="F1096" s="7"/>
      <c r="G1096" s="7"/>
    </row>
    <row r="1097" spans="2:7" ht="15" x14ac:dyDescent="0.25">
      <c r="B1097" s="7"/>
      <c r="C1097" s="7"/>
      <c r="D1097" s="7"/>
      <c r="E1097" s="7"/>
      <c r="F1097" s="7"/>
      <c r="G1097" s="7"/>
    </row>
    <row r="1098" spans="2:7" ht="15" x14ac:dyDescent="0.25">
      <c r="B1098" s="7"/>
      <c r="C1098" s="7"/>
      <c r="D1098" s="7"/>
      <c r="E1098" s="7"/>
      <c r="F1098" s="7"/>
      <c r="G1098" s="7"/>
    </row>
    <row r="1099" spans="2:7" ht="15" x14ac:dyDescent="0.25">
      <c r="B1099" s="7"/>
      <c r="C1099" s="7"/>
      <c r="D1099" s="7"/>
      <c r="E1099" s="7"/>
      <c r="F1099" s="7"/>
      <c r="G1099" s="7"/>
    </row>
    <row r="1100" spans="2:7" ht="15" x14ac:dyDescent="0.25">
      <c r="B1100" s="7"/>
      <c r="C1100" s="7"/>
      <c r="D1100" s="7"/>
      <c r="E1100" s="7"/>
      <c r="F1100" s="7"/>
      <c r="G1100" s="7"/>
    </row>
    <row r="1101" spans="2:7" ht="15" x14ac:dyDescent="0.25">
      <c r="B1101" s="7"/>
      <c r="C1101" s="7"/>
      <c r="D1101" s="7"/>
      <c r="E1101" s="7"/>
      <c r="F1101" s="7"/>
      <c r="G1101" s="7"/>
    </row>
    <row r="1102" spans="2:7" ht="15" x14ac:dyDescent="0.25">
      <c r="B1102" s="7"/>
      <c r="C1102" s="7"/>
      <c r="D1102" s="7"/>
      <c r="E1102" s="7"/>
      <c r="F1102" s="7"/>
      <c r="G1102" s="7"/>
    </row>
    <row r="1103" spans="2:7" ht="15" x14ac:dyDescent="0.25">
      <c r="B1103" s="7"/>
      <c r="C1103" s="7"/>
      <c r="D1103" s="7"/>
      <c r="E1103" s="7"/>
      <c r="F1103" s="7"/>
      <c r="G1103" s="7"/>
    </row>
    <row r="1104" spans="2:7" ht="15" x14ac:dyDescent="0.25">
      <c r="B1104" s="7"/>
      <c r="C1104" s="7"/>
      <c r="D1104" s="7"/>
      <c r="E1104" s="7"/>
      <c r="F1104" s="7"/>
      <c r="G1104" s="7"/>
    </row>
    <row r="1105" spans="2:7" ht="15" x14ac:dyDescent="0.25">
      <c r="B1105" s="7"/>
      <c r="C1105" s="7"/>
      <c r="D1105" s="7"/>
      <c r="E1105" s="7"/>
      <c r="F1105" s="7"/>
      <c r="G1105" s="7"/>
    </row>
    <row r="1106" spans="2:7" ht="15" x14ac:dyDescent="0.25">
      <c r="B1106" s="7"/>
      <c r="C1106" s="7"/>
      <c r="D1106" s="7"/>
      <c r="E1106" s="7"/>
      <c r="F1106" s="7"/>
      <c r="G1106" s="7"/>
    </row>
    <row r="1107" spans="2:7" ht="15" x14ac:dyDescent="0.25">
      <c r="B1107" s="7"/>
      <c r="C1107" s="7"/>
      <c r="D1107" s="7"/>
      <c r="E1107" s="7"/>
      <c r="F1107" s="7"/>
      <c r="G1107" s="7"/>
    </row>
    <row r="1108" spans="2:7" ht="15" x14ac:dyDescent="0.25">
      <c r="B1108" s="7"/>
      <c r="C1108" s="7"/>
      <c r="D1108" s="7"/>
      <c r="E1108" s="7"/>
      <c r="F1108" s="7"/>
      <c r="G1108" s="7"/>
    </row>
    <row r="1109" spans="2:7" ht="15" x14ac:dyDescent="0.25">
      <c r="B1109" s="7"/>
      <c r="C1109" s="7"/>
      <c r="D1109" s="7"/>
      <c r="E1109" s="7"/>
      <c r="F1109" s="7"/>
      <c r="G1109" s="7"/>
    </row>
    <row r="1110" spans="2:7" ht="15" x14ac:dyDescent="0.25">
      <c r="B1110" s="7"/>
      <c r="C1110" s="7"/>
      <c r="D1110" s="7"/>
      <c r="E1110" s="7"/>
      <c r="F1110" s="7"/>
      <c r="G1110" s="7"/>
    </row>
    <row r="1111" spans="2:7" ht="15" x14ac:dyDescent="0.25">
      <c r="B1111" s="7"/>
      <c r="C1111" s="7"/>
      <c r="D1111" s="7"/>
      <c r="E1111" s="7"/>
      <c r="F1111" s="7"/>
      <c r="G1111" s="7"/>
    </row>
    <row r="1112" spans="2:7" ht="15" x14ac:dyDescent="0.25">
      <c r="B1112" s="7"/>
      <c r="C1112" s="7"/>
      <c r="D1112" s="7"/>
      <c r="E1112" s="7"/>
      <c r="F1112" s="7"/>
      <c r="G1112" s="7"/>
    </row>
    <row r="1113" spans="2:7" ht="15" x14ac:dyDescent="0.25">
      <c r="B1113" s="7"/>
      <c r="C1113" s="7"/>
      <c r="D1113" s="7"/>
      <c r="E1113" s="7"/>
      <c r="F1113" s="7"/>
      <c r="G1113" s="7"/>
    </row>
    <row r="1114" spans="2:7" ht="15" x14ac:dyDescent="0.25">
      <c r="B1114" s="7"/>
      <c r="C1114" s="7"/>
      <c r="D1114" s="7"/>
      <c r="E1114" s="7"/>
      <c r="F1114" s="7"/>
      <c r="G1114" s="7"/>
    </row>
    <row r="1115" spans="2:7" ht="15" x14ac:dyDescent="0.25">
      <c r="B1115" s="7"/>
      <c r="C1115" s="7"/>
      <c r="D1115" s="7"/>
      <c r="E1115" s="7"/>
      <c r="F1115" s="7"/>
      <c r="G1115" s="7"/>
    </row>
    <row r="1116" spans="2:7" ht="15" x14ac:dyDescent="0.25">
      <c r="B1116" s="7"/>
      <c r="C1116" s="7"/>
      <c r="D1116" s="7"/>
      <c r="E1116" s="7"/>
      <c r="F1116" s="7"/>
      <c r="G1116" s="7"/>
    </row>
    <row r="1117" spans="2:7" ht="15" x14ac:dyDescent="0.25">
      <c r="B1117" s="7"/>
      <c r="C1117" s="7"/>
      <c r="D1117" s="7"/>
      <c r="E1117" s="7"/>
      <c r="F1117" s="7"/>
      <c r="G1117" s="7"/>
    </row>
    <row r="1118" spans="2:7" ht="15" x14ac:dyDescent="0.25">
      <c r="B1118" s="7"/>
      <c r="C1118" s="7"/>
      <c r="D1118" s="7"/>
      <c r="E1118" s="7"/>
      <c r="F1118" s="7"/>
      <c r="G1118" s="7"/>
    </row>
    <row r="1119" spans="2:7" ht="15" x14ac:dyDescent="0.25">
      <c r="B1119" s="7"/>
      <c r="C1119" s="7"/>
      <c r="D1119" s="7"/>
      <c r="E1119" s="7"/>
      <c r="F1119" s="7"/>
      <c r="G1119" s="7"/>
    </row>
    <row r="1120" spans="2:7" ht="15" x14ac:dyDescent="0.25">
      <c r="B1120" s="7"/>
      <c r="C1120" s="7"/>
      <c r="D1120" s="7"/>
      <c r="E1120" s="7"/>
      <c r="F1120" s="7"/>
      <c r="G1120" s="7"/>
    </row>
    <row r="1121" spans="2:7" ht="15" x14ac:dyDescent="0.25">
      <c r="B1121" s="7"/>
      <c r="C1121" s="7"/>
      <c r="D1121" s="7"/>
      <c r="E1121" s="7"/>
      <c r="F1121" s="7"/>
      <c r="G1121" s="7"/>
    </row>
    <row r="1122" spans="2:7" ht="15" x14ac:dyDescent="0.25">
      <c r="B1122" s="7"/>
      <c r="C1122" s="7"/>
      <c r="D1122" s="7"/>
      <c r="E1122" s="7"/>
      <c r="F1122" s="7"/>
      <c r="G1122" s="7"/>
    </row>
    <row r="1123" spans="2:7" ht="15" x14ac:dyDescent="0.25">
      <c r="B1123" s="7"/>
      <c r="C1123" s="7"/>
      <c r="D1123" s="7"/>
      <c r="E1123" s="7"/>
      <c r="F1123" s="7"/>
      <c r="G1123" s="7"/>
    </row>
    <row r="1124" spans="2:7" ht="15" x14ac:dyDescent="0.25">
      <c r="B1124" s="7"/>
      <c r="C1124" s="7"/>
      <c r="D1124" s="7"/>
      <c r="E1124" s="7"/>
      <c r="F1124" s="7"/>
      <c r="G1124" s="7"/>
    </row>
    <row r="1125" spans="2:7" ht="15" x14ac:dyDescent="0.25">
      <c r="B1125" s="7"/>
      <c r="C1125" s="7"/>
      <c r="D1125" s="7"/>
      <c r="E1125" s="7"/>
      <c r="F1125" s="7"/>
      <c r="G1125" s="7"/>
    </row>
    <row r="1126" spans="2:7" ht="15" x14ac:dyDescent="0.25">
      <c r="B1126" s="7"/>
      <c r="C1126" s="7"/>
      <c r="D1126" s="7"/>
      <c r="E1126" s="7"/>
      <c r="F1126" s="7"/>
      <c r="G1126" s="7"/>
    </row>
    <row r="1127" spans="2:7" ht="15" x14ac:dyDescent="0.25">
      <c r="B1127" s="7"/>
      <c r="C1127" s="7"/>
      <c r="D1127" s="7"/>
      <c r="E1127" s="7"/>
      <c r="F1127" s="7"/>
      <c r="G1127" s="7"/>
    </row>
    <row r="1128" spans="2:7" ht="15" x14ac:dyDescent="0.25">
      <c r="B1128" s="7"/>
      <c r="C1128" s="7"/>
      <c r="D1128" s="7"/>
      <c r="E1128" s="7"/>
      <c r="F1128" s="7"/>
      <c r="G1128" s="7"/>
    </row>
    <row r="1129" spans="2:7" ht="15" x14ac:dyDescent="0.25">
      <c r="B1129" s="7"/>
      <c r="C1129" s="7"/>
      <c r="D1129" s="7"/>
      <c r="E1129" s="7"/>
      <c r="F1129" s="7"/>
      <c r="G1129" s="7"/>
    </row>
    <row r="1130" spans="2:7" ht="15" x14ac:dyDescent="0.25">
      <c r="B1130" s="7"/>
      <c r="C1130" s="7"/>
      <c r="D1130" s="7"/>
      <c r="E1130" s="7"/>
      <c r="F1130" s="7"/>
      <c r="G1130" s="7"/>
    </row>
    <row r="1131" spans="2:7" ht="15" x14ac:dyDescent="0.25">
      <c r="B1131" s="7"/>
      <c r="C1131" s="7"/>
      <c r="D1131" s="7"/>
      <c r="E1131" s="7"/>
      <c r="F1131" s="7"/>
      <c r="G1131" s="7"/>
    </row>
    <row r="1132" spans="2:7" ht="15" x14ac:dyDescent="0.25">
      <c r="B1132" s="7"/>
      <c r="C1132" s="7"/>
      <c r="D1132" s="7"/>
      <c r="E1132" s="7"/>
      <c r="F1132" s="7"/>
      <c r="G1132" s="7"/>
    </row>
    <row r="1133" spans="2:7" ht="15" x14ac:dyDescent="0.25">
      <c r="B1133" s="7"/>
      <c r="C1133" s="7"/>
      <c r="D1133" s="7"/>
      <c r="E1133" s="7"/>
      <c r="F1133" s="7"/>
      <c r="G1133" s="7"/>
    </row>
    <row r="1134" spans="2:7" ht="15" x14ac:dyDescent="0.25">
      <c r="B1134" s="7"/>
      <c r="C1134" s="7"/>
      <c r="D1134" s="7"/>
      <c r="E1134" s="7"/>
      <c r="F1134" s="7"/>
      <c r="G1134" s="7"/>
    </row>
    <row r="1135" spans="2:7" ht="15" x14ac:dyDescent="0.25">
      <c r="B1135" s="7"/>
      <c r="C1135" s="7"/>
      <c r="D1135" s="7"/>
      <c r="E1135" s="7"/>
      <c r="F1135" s="7"/>
      <c r="G1135" s="7"/>
    </row>
    <row r="1136" spans="2:7" ht="15" x14ac:dyDescent="0.25">
      <c r="B1136" s="7"/>
      <c r="C1136" s="7"/>
      <c r="D1136" s="7"/>
      <c r="E1136" s="7"/>
      <c r="F1136" s="7"/>
      <c r="G1136" s="7"/>
    </row>
    <row r="1137" spans="2:7" ht="15" x14ac:dyDescent="0.25">
      <c r="B1137" s="7"/>
      <c r="C1137" s="7"/>
      <c r="D1137" s="7"/>
      <c r="E1137" s="7"/>
      <c r="F1137" s="7"/>
      <c r="G1137" s="7"/>
    </row>
    <row r="1138" spans="2:7" ht="15" x14ac:dyDescent="0.25">
      <c r="B1138" s="7"/>
      <c r="C1138" s="7"/>
      <c r="D1138" s="7"/>
      <c r="E1138" s="7"/>
      <c r="F1138" s="7"/>
      <c r="G1138" s="7"/>
    </row>
    <row r="1139" spans="2:7" ht="15" x14ac:dyDescent="0.25">
      <c r="B1139" s="7"/>
      <c r="C1139" s="7"/>
      <c r="D1139" s="7"/>
      <c r="E1139" s="7"/>
      <c r="F1139" s="7"/>
      <c r="G1139" s="7"/>
    </row>
    <row r="1140" spans="2:7" ht="15" x14ac:dyDescent="0.25">
      <c r="B1140" s="7"/>
      <c r="C1140" s="7"/>
      <c r="D1140" s="7"/>
      <c r="E1140" s="7"/>
      <c r="F1140" s="7"/>
      <c r="G1140" s="7"/>
    </row>
    <row r="1141" spans="2:7" ht="15" x14ac:dyDescent="0.25">
      <c r="B1141" s="7"/>
      <c r="C1141" s="7"/>
      <c r="D1141" s="7"/>
      <c r="E1141" s="7"/>
      <c r="F1141" s="7"/>
      <c r="G1141" s="7"/>
    </row>
    <row r="1142" spans="2:7" ht="15" x14ac:dyDescent="0.25">
      <c r="B1142" s="7"/>
      <c r="C1142" s="7"/>
      <c r="D1142" s="7"/>
      <c r="E1142" s="7"/>
      <c r="F1142" s="7"/>
      <c r="G1142" s="7"/>
    </row>
    <row r="1143" spans="2:7" ht="15" x14ac:dyDescent="0.25">
      <c r="B1143" s="7"/>
      <c r="C1143" s="7"/>
      <c r="D1143" s="7"/>
      <c r="E1143" s="7"/>
      <c r="F1143" s="7"/>
      <c r="G1143" s="7"/>
    </row>
    <row r="1144" spans="2:7" ht="15" x14ac:dyDescent="0.25">
      <c r="B1144" s="7"/>
      <c r="C1144" s="7"/>
      <c r="D1144" s="7"/>
      <c r="E1144" s="7"/>
      <c r="F1144" s="7"/>
      <c r="G1144" s="7"/>
    </row>
    <row r="1145" spans="2:7" ht="15" x14ac:dyDescent="0.25">
      <c r="B1145" s="7"/>
      <c r="C1145" s="7"/>
      <c r="D1145" s="7"/>
      <c r="E1145" s="7"/>
      <c r="F1145" s="7"/>
      <c r="G1145" s="7"/>
    </row>
    <row r="1146" spans="2:7" ht="15" x14ac:dyDescent="0.25">
      <c r="B1146" s="7"/>
      <c r="C1146" s="7"/>
      <c r="D1146" s="7"/>
      <c r="E1146" s="7"/>
      <c r="F1146" s="7"/>
      <c r="G1146" s="7"/>
    </row>
    <row r="1147" spans="2:7" ht="15" x14ac:dyDescent="0.25">
      <c r="B1147" s="7"/>
      <c r="C1147" s="7"/>
      <c r="D1147" s="7"/>
      <c r="E1147" s="7"/>
      <c r="F1147" s="7"/>
      <c r="G1147" s="7"/>
    </row>
    <row r="1148" spans="2:7" ht="15" x14ac:dyDescent="0.25">
      <c r="B1148" s="7"/>
      <c r="C1148" s="7"/>
      <c r="D1148" s="7"/>
      <c r="E1148" s="7"/>
      <c r="F1148" s="7"/>
      <c r="G1148" s="7"/>
    </row>
    <row r="1149" spans="2:7" ht="15" x14ac:dyDescent="0.25">
      <c r="B1149" s="7"/>
      <c r="C1149" s="7"/>
      <c r="D1149" s="7"/>
      <c r="E1149" s="7"/>
      <c r="F1149" s="7"/>
      <c r="G1149" s="7"/>
    </row>
    <row r="1150" spans="2:7" ht="15" x14ac:dyDescent="0.25">
      <c r="B1150" s="7"/>
      <c r="C1150" s="7"/>
      <c r="D1150" s="7"/>
      <c r="E1150" s="7"/>
      <c r="F1150" s="7"/>
      <c r="G1150" s="7"/>
    </row>
    <row r="1151" spans="2:7" ht="15" x14ac:dyDescent="0.25">
      <c r="B1151" s="7"/>
      <c r="C1151" s="7"/>
      <c r="D1151" s="7"/>
      <c r="E1151" s="7"/>
      <c r="F1151" s="7"/>
      <c r="G1151" s="7"/>
    </row>
    <row r="1152" spans="2:7" ht="15" x14ac:dyDescent="0.25">
      <c r="B1152" s="7"/>
      <c r="C1152" s="7"/>
      <c r="D1152" s="7"/>
      <c r="E1152" s="7"/>
      <c r="F1152" s="7"/>
      <c r="G1152" s="7"/>
    </row>
    <row r="1153" spans="2:7" ht="15" x14ac:dyDescent="0.25">
      <c r="B1153" s="7"/>
      <c r="C1153" s="7"/>
      <c r="D1153" s="7"/>
      <c r="E1153" s="7"/>
      <c r="F1153" s="7"/>
      <c r="G1153" s="7"/>
    </row>
    <row r="1154" spans="2:7" ht="15" x14ac:dyDescent="0.25">
      <c r="B1154" s="7"/>
      <c r="C1154" s="7"/>
      <c r="D1154" s="7"/>
      <c r="E1154" s="7"/>
      <c r="F1154" s="7"/>
      <c r="G1154" s="7"/>
    </row>
    <row r="1155" spans="2:7" ht="15" x14ac:dyDescent="0.25">
      <c r="B1155" s="7"/>
      <c r="C1155" s="7"/>
      <c r="D1155" s="7"/>
      <c r="E1155" s="7"/>
      <c r="F1155" s="7"/>
      <c r="G1155" s="7"/>
    </row>
    <row r="1156" spans="2:7" ht="15" x14ac:dyDescent="0.25">
      <c r="B1156" s="7"/>
      <c r="C1156" s="7"/>
      <c r="D1156" s="7"/>
      <c r="E1156" s="7"/>
      <c r="F1156" s="7"/>
      <c r="G1156" s="7"/>
    </row>
    <row r="1157" spans="2:7" ht="15" x14ac:dyDescent="0.25">
      <c r="B1157" s="7"/>
      <c r="C1157" s="7"/>
      <c r="D1157" s="7"/>
      <c r="E1157" s="7"/>
      <c r="F1157" s="7"/>
      <c r="G1157" s="7"/>
    </row>
    <row r="1158" spans="2:7" ht="15" x14ac:dyDescent="0.25">
      <c r="B1158" s="7"/>
      <c r="C1158" s="7"/>
      <c r="D1158" s="7"/>
      <c r="E1158" s="7"/>
      <c r="F1158" s="7"/>
      <c r="G1158" s="7"/>
    </row>
    <row r="1159" spans="2:7" ht="15" x14ac:dyDescent="0.25">
      <c r="B1159" s="7"/>
      <c r="C1159" s="7"/>
      <c r="D1159" s="7"/>
      <c r="E1159" s="7"/>
      <c r="F1159" s="7"/>
      <c r="G1159" s="7"/>
    </row>
    <row r="1160" spans="2:7" ht="15" x14ac:dyDescent="0.25">
      <c r="B1160" s="7"/>
      <c r="C1160" s="7"/>
      <c r="D1160" s="7"/>
      <c r="E1160" s="7"/>
      <c r="F1160" s="7"/>
      <c r="G1160" s="7"/>
    </row>
    <row r="1161" spans="2:7" ht="15" x14ac:dyDescent="0.25">
      <c r="B1161" s="7"/>
      <c r="C1161" s="7"/>
      <c r="D1161" s="7"/>
      <c r="E1161" s="7"/>
      <c r="F1161" s="7"/>
      <c r="G1161" s="7"/>
    </row>
    <row r="1162" spans="2:7" ht="15" x14ac:dyDescent="0.25">
      <c r="B1162" s="7"/>
      <c r="C1162" s="7"/>
      <c r="D1162" s="7"/>
      <c r="E1162" s="7"/>
      <c r="F1162" s="7"/>
      <c r="G1162" s="7"/>
    </row>
    <row r="1163" spans="2:7" ht="15" x14ac:dyDescent="0.25">
      <c r="B1163" s="7"/>
      <c r="C1163" s="7"/>
      <c r="D1163" s="7"/>
      <c r="E1163" s="7"/>
      <c r="F1163" s="7"/>
      <c r="G1163" s="7"/>
    </row>
    <row r="1164" spans="2:7" ht="15" x14ac:dyDescent="0.25">
      <c r="B1164" s="7"/>
      <c r="C1164" s="7"/>
      <c r="D1164" s="7"/>
      <c r="E1164" s="7"/>
      <c r="F1164" s="7"/>
      <c r="G1164" s="7"/>
    </row>
    <row r="1165" spans="2:7" ht="15" x14ac:dyDescent="0.25">
      <c r="B1165" s="7"/>
      <c r="C1165" s="7"/>
      <c r="D1165" s="7"/>
      <c r="E1165" s="7"/>
      <c r="F1165" s="7"/>
      <c r="G1165" s="7"/>
    </row>
    <row r="1166" spans="2:7" ht="15" x14ac:dyDescent="0.25">
      <c r="B1166" s="7"/>
      <c r="C1166" s="7"/>
      <c r="D1166" s="7"/>
      <c r="E1166" s="7"/>
      <c r="F1166" s="7"/>
      <c r="G1166" s="7"/>
    </row>
    <row r="1167" spans="2:7" ht="15" x14ac:dyDescent="0.25">
      <c r="B1167" s="7"/>
      <c r="C1167" s="7"/>
      <c r="D1167" s="7"/>
      <c r="E1167" s="7"/>
      <c r="F1167" s="7"/>
      <c r="G1167" s="7"/>
    </row>
    <row r="1168" spans="2:7" ht="15" x14ac:dyDescent="0.25">
      <c r="B1168" s="7"/>
      <c r="C1168" s="7"/>
      <c r="D1168" s="7"/>
      <c r="E1168" s="7"/>
      <c r="F1168" s="7"/>
      <c r="G1168" s="7"/>
    </row>
    <row r="1169" spans="2:7" ht="15" x14ac:dyDescent="0.25">
      <c r="B1169" s="7"/>
      <c r="C1169" s="7"/>
      <c r="D1169" s="7"/>
      <c r="E1169" s="7"/>
      <c r="F1169" s="7"/>
      <c r="G1169" s="7"/>
    </row>
    <row r="1170" spans="2:7" ht="15" x14ac:dyDescent="0.25">
      <c r="B1170" s="7"/>
      <c r="C1170" s="7"/>
      <c r="D1170" s="7"/>
      <c r="E1170" s="7"/>
      <c r="F1170" s="7"/>
      <c r="G1170" s="7"/>
    </row>
    <row r="1171" spans="2:7" ht="15" x14ac:dyDescent="0.25">
      <c r="B1171" s="7"/>
      <c r="C1171" s="7"/>
      <c r="D1171" s="7"/>
      <c r="E1171" s="7"/>
      <c r="F1171" s="7"/>
      <c r="G1171" s="7"/>
    </row>
    <row r="1172" spans="2:7" ht="15" x14ac:dyDescent="0.25">
      <c r="B1172" s="7"/>
      <c r="C1172" s="7"/>
      <c r="D1172" s="7"/>
      <c r="E1172" s="7"/>
      <c r="F1172" s="7"/>
      <c r="G1172" s="7"/>
    </row>
    <row r="1173" spans="2:7" ht="15" x14ac:dyDescent="0.25">
      <c r="B1173" s="7"/>
      <c r="C1173" s="7"/>
      <c r="D1173" s="7"/>
      <c r="E1173" s="7"/>
      <c r="F1173" s="7"/>
      <c r="G1173" s="7"/>
    </row>
    <row r="1174" spans="2:7" ht="15" x14ac:dyDescent="0.25">
      <c r="B1174" s="7"/>
      <c r="C1174" s="7"/>
      <c r="D1174" s="7"/>
      <c r="E1174" s="7"/>
      <c r="F1174" s="7"/>
      <c r="G1174" s="7"/>
    </row>
    <row r="1175" spans="2:7" ht="15" x14ac:dyDescent="0.25">
      <c r="B1175" s="7"/>
      <c r="C1175" s="7"/>
      <c r="D1175" s="7"/>
      <c r="E1175" s="7"/>
      <c r="F1175" s="7"/>
      <c r="G1175" s="7"/>
    </row>
    <row r="1176" spans="2:7" ht="15" x14ac:dyDescent="0.25">
      <c r="B1176" s="7"/>
      <c r="C1176" s="7"/>
      <c r="D1176" s="7"/>
      <c r="E1176" s="7"/>
      <c r="F1176" s="7"/>
      <c r="G1176" s="7"/>
    </row>
    <row r="1177" spans="2:7" ht="15" x14ac:dyDescent="0.25">
      <c r="B1177" s="7"/>
      <c r="C1177" s="7"/>
      <c r="D1177" s="7"/>
      <c r="E1177" s="7"/>
      <c r="F1177" s="7"/>
      <c r="G1177" s="7"/>
    </row>
    <row r="1178" spans="2:7" ht="15" x14ac:dyDescent="0.25">
      <c r="B1178" s="7"/>
      <c r="C1178" s="7"/>
      <c r="D1178" s="7"/>
      <c r="E1178" s="7"/>
      <c r="F1178" s="7"/>
      <c r="G1178" s="7"/>
    </row>
    <row r="1179" spans="2:7" ht="15" x14ac:dyDescent="0.25">
      <c r="B1179" s="7"/>
      <c r="C1179" s="7"/>
      <c r="D1179" s="7"/>
      <c r="E1179" s="7"/>
      <c r="F1179" s="7"/>
      <c r="G1179" s="7"/>
    </row>
    <row r="1180" spans="2:7" ht="15" x14ac:dyDescent="0.25">
      <c r="B1180" s="7"/>
      <c r="C1180" s="7"/>
      <c r="D1180" s="7"/>
      <c r="E1180" s="7"/>
      <c r="F1180" s="7"/>
      <c r="G1180" s="7"/>
    </row>
    <row r="1181" spans="2:7" ht="15" x14ac:dyDescent="0.25">
      <c r="B1181" s="7"/>
      <c r="C1181" s="7"/>
      <c r="D1181" s="7"/>
      <c r="E1181" s="7"/>
      <c r="F1181" s="7"/>
      <c r="G1181" s="7"/>
    </row>
    <row r="1182" spans="2:7" ht="15" x14ac:dyDescent="0.25">
      <c r="B1182" s="7"/>
      <c r="C1182" s="7"/>
      <c r="D1182" s="7"/>
      <c r="E1182" s="7"/>
      <c r="F1182" s="7"/>
      <c r="G1182" s="7"/>
    </row>
    <row r="1183" spans="2:7" ht="15" x14ac:dyDescent="0.25">
      <c r="B1183" s="7"/>
      <c r="C1183" s="7"/>
      <c r="D1183" s="7"/>
      <c r="E1183" s="7"/>
      <c r="F1183" s="7"/>
      <c r="G1183" s="7"/>
    </row>
    <row r="1184" spans="2:7" ht="15" x14ac:dyDescent="0.25">
      <c r="B1184" s="7"/>
      <c r="C1184" s="7"/>
      <c r="D1184" s="7"/>
      <c r="E1184" s="7"/>
      <c r="F1184" s="7"/>
      <c r="G1184" s="7"/>
    </row>
    <row r="1185" spans="2:7" ht="15" x14ac:dyDescent="0.25">
      <c r="B1185" s="7"/>
      <c r="C1185" s="7"/>
      <c r="D1185" s="7"/>
      <c r="E1185" s="7"/>
      <c r="F1185" s="7"/>
      <c r="G1185" s="7"/>
    </row>
    <row r="1186" spans="2:7" ht="15" x14ac:dyDescent="0.25">
      <c r="B1186" s="7"/>
      <c r="C1186" s="7"/>
      <c r="D1186" s="7"/>
      <c r="E1186" s="7"/>
      <c r="F1186" s="7"/>
      <c r="G1186" s="7"/>
    </row>
    <row r="1187" spans="2:7" ht="15" x14ac:dyDescent="0.25">
      <c r="B1187" s="7"/>
      <c r="C1187" s="7"/>
      <c r="D1187" s="7"/>
      <c r="E1187" s="7"/>
      <c r="F1187" s="7"/>
      <c r="G1187" s="7"/>
    </row>
    <row r="1188" spans="2:7" ht="15" x14ac:dyDescent="0.25">
      <c r="B1188" s="7"/>
      <c r="C1188" s="7"/>
      <c r="D1188" s="7"/>
      <c r="E1188" s="7"/>
      <c r="F1188" s="7"/>
      <c r="G1188" s="7"/>
    </row>
    <row r="1189" spans="2:7" ht="15" x14ac:dyDescent="0.25">
      <c r="B1189" s="7"/>
      <c r="C1189" s="7"/>
      <c r="D1189" s="7"/>
      <c r="E1189" s="7"/>
      <c r="F1189" s="7"/>
      <c r="G1189" s="7"/>
    </row>
    <row r="1190" spans="2:7" ht="15" x14ac:dyDescent="0.25">
      <c r="B1190" s="7"/>
      <c r="C1190" s="7"/>
      <c r="D1190" s="7"/>
      <c r="E1190" s="7"/>
      <c r="F1190" s="7"/>
      <c r="G1190" s="7"/>
    </row>
    <row r="1191" spans="2:7" ht="15" x14ac:dyDescent="0.25">
      <c r="B1191" s="7"/>
      <c r="C1191" s="7"/>
      <c r="D1191" s="7"/>
      <c r="E1191" s="7"/>
      <c r="F1191" s="7"/>
      <c r="G1191" s="7"/>
    </row>
    <row r="1192" spans="2:7" ht="15" x14ac:dyDescent="0.25">
      <c r="B1192" s="7"/>
      <c r="C1192" s="7"/>
      <c r="D1192" s="7"/>
      <c r="E1192" s="7"/>
      <c r="F1192" s="7"/>
      <c r="G1192" s="7"/>
    </row>
    <row r="1193" spans="2:7" ht="15" x14ac:dyDescent="0.25">
      <c r="B1193" s="7"/>
      <c r="C1193" s="7"/>
      <c r="D1193" s="7"/>
      <c r="E1193" s="7"/>
      <c r="F1193" s="7"/>
      <c r="G1193" s="7"/>
    </row>
    <row r="1194" spans="2:7" ht="15" x14ac:dyDescent="0.25">
      <c r="B1194" s="7"/>
      <c r="C1194" s="7"/>
      <c r="D1194" s="7"/>
      <c r="E1194" s="7"/>
      <c r="F1194" s="7"/>
      <c r="G1194" s="7"/>
    </row>
    <row r="1195" spans="2:7" ht="15" x14ac:dyDescent="0.25">
      <c r="B1195" s="7"/>
      <c r="C1195" s="7"/>
      <c r="D1195" s="7"/>
      <c r="E1195" s="7"/>
      <c r="F1195" s="7"/>
      <c r="G1195" s="7"/>
    </row>
    <row r="1196" spans="2:7" ht="15" x14ac:dyDescent="0.25">
      <c r="B1196" s="7"/>
      <c r="C1196" s="7"/>
      <c r="D1196" s="7"/>
      <c r="E1196" s="7"/>
      <c r="F1196" s="7"/>
      <c r="G1196" s="7"/>
    </row>
    <row r="1197" spans="2:7" ht="15" x14ac:dyDescent="0.25">
      <c r="B1197" s="7"/>
      <c r="C1197" s="7"/>
      <c r="D1197" s="7"/>
      <c r="E1197" s="7"/>
      <c r="F1197" s="7"/>
      <c r="G1197" s="7"/>
    </row>
    <row r="1198" spans="2:7" ht="15" x14ac:dyDescent="0.25">
      <c r="B1198" s="7"/>
      <c r="C1198" s="7"/>
      <c r="D1198" s="7"/>
      <c r="E1198" s="7"/>
      <c r="F1198" s="7"/>
      <c r="G1198" s="7"/>
    </row>
    <row r="1199" spans="2:7" ht="15" x14ac:dyDescent="0.25">
      <c r="B1199" s="7"/>
      <c r="C1199" s="7"/>
      <c r="D1199" s="7"/>
      <c r="E1199" s="7"/>
      <c r="F1199" s="7"/>
      <c r="G1199" s="7"/>
    </row>
    <row r="1200" spans="2:7" ht="15" x14ac:dyDescent="0.25">
      <c r="B1200" s="7"/>
      <c r="C1200" s="7"/>
      <c r="D1200" s="7"/>
      <c r="E1200" s="7"/>
      <c r="F1200" s="7"/>
      <c r="G1200" s="7"/>
    </row>
    <row r="1201" spans="2:7" ht="15" x14ac:dyDescent="0.25">
      <c r="B1201" s="7"/>
      <c r="C1201" s="7"/>
      <c r="D1201" s="7"/>
      <c r="E1201" s="7"/>
      <c r="F1201" s="7"/>
      <c r="G1201" s="7"/>
    </row>
    <row r="1202" spans="2:7" ht="15" x14ac:dyDescent="0.25">
      <c r="B1202" s="7"/>
      <c r="C1202" s="7"/>
      <c r="D1202" s="7"/>
      <c r="E1202" s="7"/>
      <c r="F1202" s="7"/>
      <c r="G1202" s="7"/>
    </row>
    <row r="1203" spans="2:7" ht="15" x14ac:dyDescent="0.25">
      <c r="B1203" s="7"/>
      <c r="C1203" s="7"/>
      <c r="D1203" s="7"/>
      <c r="E1203" s="7"/>
      <c r="F1203" s="7"/>
      <c r="G1203" s="7"/>
    </row>
    <row r="1204" spans="2:7" ht="15" x14ac:dyDescent="0.25">
      <c r="B1204" s="7"/>
      <c r="C1204" s="7"/>
      <c r="D1204" s="7"/>
      <c r="E1204" s="7"/>
      <c r="F1204" s="7"/>
      <c r="G1204" s="7"/>
    </row>
    <row r="1205" spans="2:7" ht="15" x14ac:dyDescent="0.25">
      <c r="B1205" s="7"/>
      <c r="C1205" s="7"/>
      <c r="D1205" s="7"/>
      <c r="E1205" s="7"/>
      <c r="F1205" s="7"/>
      <c r="G1205" s="7"/>
    </row>
    <row r="1206" spans="2:7" ht="15" x14ac:dyDescent="0.25">
      <c r="B1206" s="7"/>
      <c r="C1206" s="7"/>
      <c r="D1206" s="7"/>
      <c r="E1206" s="7"/>
      <c r="F1206" s="7"/>
      <c r="G1206" s="7"/>
    </row>
    <row r="1207" spans="2:7" ht="15" x14ac:dyDescent="0.25">
      <c r="B1207" s="7"/>
      <c r="C1207" s="7"/>
      <c r="D1207" s="7"/>
      <c r="E1207" s="7"/>
      <c r="F1207" s="7"/>
      <c r="G1207" s="7"/>
    </row>
    <row r="1208" spans="2:7" ht="15" x14ac:dyDescent="0.25">
      <c r="B1208" s="7"/>
      <c r="C1208" s="7"/>
      <c r="D1208" s="7"/>
      <c r="E1208" s="7"/>
      <c r="F1208" s="7"/>
      <c r="G1208" s="7"/>
    </row>
    <row r="1209" spans="2:7" ht="15" x14ac:dyDescent="0.25">
      <c r="B1209" s="7"/>
      <c r="C1209" s="7"/>
      <c r="D1209" s="7"/>
      <c r="E1209" s="7"/>
      <c r="F1209" s="7"/>
      <c r="G1209" s="7"/>
    </row>
    <row r="1210" spans="2:7" ht="15" x14ac:dyDescent="0.25">
      <c r="B1210" s="7"/>
      <c r="C1210" s="7"/>
      <c r="D1210" s="7"/>
      <c r="E1210" s="7"/>
      <c r="F1210" s="7"/>
      <c r="G1210" s="7"/>
    </row>
    <row r="1211" spans="2:7" ht="15" x14ac:dyDescent="0.25">
      <c r="B1211" s="7"/>
      <c r="C1211" s="7"/>
      <c r="D1211" s="7"/>
      <c r="E1211" s="7"/>
      <c r="F1211" s="7"/>
      <c r="G1211" s="7"/>
    </row>
    <row r="1212" spans="2:7" ht="15" x14ac:dyDescent="0.25">
      <c r="B1212" s="7"/>
      <c r="C1212" s="7"/>
      <c r="D1212" s="7"/>
      <c r="E1212" s="7"/>
      <c r="F1212" s="7"/>
      <c r="G1212" s="7"/>
    </row>
    <row r="1213" spans="2:7" ht="15" x14ac:dyDescent="0.25">
      <c r="B1213" s="7"/>
      <c r="C1213" s="7"/>
      <c r="D1213" s="7"/>
      <c r="E1213" s="7"/>
      <c r="F1213" s="7"/>
      <c r="G1213" s="7"/>
    </row>
    <row r="1214" spans="2:7" ht="15" x14ac:dyDescent="0.25">
      <c r="B1214" s="7"/>
      <c r="C1214" s="7"/>
      <c r="D1214" s="7"/>
      <c r="E1214" s="7"/>
      <c r="F1214" s="7"/>
      <c r="G1214" s="7"/>
    </row>
    <row r="1215" spans="2:7" ht="15" x14ac:dyDescent="0.25">
      <c r="B1215" s="7"/>
      <c r="C1215" s="7"/>
      <c r="D1215" s="7"/>
      <c r="E1215" s="7"/>
      <c r="F1215" s="7"/>
      <c r="G1215" s="7"/>
    </row>
    <row r="1216" spans="2:7" ht="15" x14ac:dyDescent="0.25">
      <c r="B1216" s="7"/>
      <c r="C1216" s="7"/>
      <c r="D1216" s="7"/>
      <c r="E1216" s="7"/>
      <c r="F1216" s="7"/>
      <c r="G1216" s="7"/>
    </row>
    <row r="1217" spans="2:7" ht="15" x14ac:dyDescent="0.25">
      <c r="B1217" s="7"/>
      <c r="C1217" s="7"/>
      <c r="D1217" s="7"/>
      <c r="E1217" s="7"/>
      <c r="F1217" s="7"/>
      <c r="G1217" s="7"/>
    </row>
    <row r="1218" spans="2:7" ht="15" x14ac:dyDescent="0.25">
      <c r="B1218" s="7"/>
      <c r="C1218" s="7"/>
      <c r="D1218" s="7"/>
      <c r="E1218" s="7"/>
      <c r="F1218" s="7"/>
      <c r="G1218" s="7"/>
    </row>
    <row r="1219" spans="2:7" ht="15" x14ac:dyDescent="0.25">
      <c r="B1219" s="7"/>
      <c r="C1219" s="7"/>
      <c r="D1219" s="7"/>
      <c r="E1219" s="7"/>
      <c r="F1219" s="7"/>
      <c r="G1219" s="7"/>
    </row>
    <row r="1220" spans="2:7" ht="15" x14ac:dyDescent="0.25">
      <c r="B1220" s="7"/>
      <c r="C1220" s="7"/>
      <c r="D1220" s="7"/>
      <c r="E1220" s="7"/>
      <c r="F1220" s="7"/>
      <c r="G1220" s="7"/>
    </row>
    <row r="1221" spans="2:7" ht="15" x14ac:dyDescent="0.25">
      <c r="B1221" s="7"/>
      <c r="C1221" s="7"/>
      <c r="D1221" s="7"/>
      <c r="E1221" s="7"/>
      <c r="F1221" s="7"/>
      <c r="G1221" s="7"/>
    </row>
    <row r="1222" spans="2:7" ht="15" x14ac:dyDescent="0.25">
      <c r="B1222" s="7"/>
      <c r="C1222" s="7"/>
      <c r="D1222" s="7"/>
      <c r="E1222" s="7"/>
      <c r="F1222" s="7"/>
      <c r="G1222" s="7"/>
    </row>
    <row r="1223" spans="2:7" ht="15" x14ac:dyDescent="0.25">
      <c r="B1223" s="7"/>
      <c r="C1223" s="7"/>
      <c r="D1223" s="7"/>
      <c r="E1223" s="7"/>
      <c r="F1223" s="7"/>
      <c r="G1223" s="7"/>
    </row>
    <row r="1224" spans="2:7" ht="15" x14ac:dyDescent="0.25">
      <c r="B1224" s="7"/>
      <c r="C1224" s="7"/>
      <c r="D1224" s="7"/>
      <c r="E1224" s="7"/>
      <c r="F1224" s="7"/>
      <c r="G1224" s="7"/>
    </row>
    <row r="1225" spans="2:7" ht="15" x14ac:dyDescent="0.25">
      <c r="B1225" s="7"/>
      <c r="C1225" s="7"/>
      <c r="D1225" s="7"/>
      <c r="E1225" s="7"/>
      <c r="F1225" s="7"/>
      <c r="G1225" s="7"/>
    </row>
    <row r="1226" spans="2:7" ht="15" x14ac:dyDescent="0.25">
      <c r="B1226" s="7"/>
      <c r="C1226" s="7"/>
      <c r="D1226" s="7"/>
      <c r="E1226" s="7"/>
      <c r="F1226" s="7"/>
      <c r="G1226" s="7"/>
    </row>
    <row r="1227" spans="2:7" ht="15" x14ac:dyDescent="0.25">
      <c r="B1227" s="7"/>
      <c r="C1227" s="7"/>
      <c r="D1227" s="7"/>
      <c r="E1227" s="7"/>
      <c r="F1227" s="7"/>
      <c r="G1227" s="7"/>
    </row>
    <row r="1228" spans="2:7" ht="15" x14ac:dyDescent="0.25">
      <c r="B1228" s="7"/>
      <c r="C1228" s="7"/>
      <c r="D1228" s="7"/>
      <c r="E1228" s="7"/>
      <c r="F1228" s="7"/>
      <c r="G1228" s="7"/>
    </row>
    <row r="1229" spans="2:7" ht="15" x14ac:dyDescent="0.25">
      <c r="B1229" s="7"/>
      <c r="C1229" s="7"/>
      <c r="D1229" s="7"/>
      <c r="E1229" s="7"/>
      <c r="F1229" s="7"/>
      <c r="G1229" s="7"/>
    </row>
    <row r="1230" spans="2:7" ht="15" x14ac:dyDescent="0.25">
      <c r="B1230" s="7"/>
      <c r="C1230" s="7"/>
      <c r="D1230" s="7"/>
      <c r="E1230" s="7"/>
      <c r="F1230" s="7"/>
      <c r="G1230" s="7"/>
    </row>
    <row r="1231" spans="2:7" ht="15" x14ac:dyDescent="0.25">
      <c r="B1231" s="7"/>
      <c r="C1231" s="7"/>
      <c r="D1231" s="7"/>
      <c r="E1231" s="7"/>
      <c r="F1231" s="7"/>
      <c r="G1231" s="7"/>
    </row>
    <row r="1232" spans="2:7" ht="15" x14ac:dyDescent="0.25">
      <c r="B1232" s="7"/>
      <c r="C1232" s="7"/>
      <c r="D1232" s="7"/>
      <c r="E1232" s="7"/>
      <c r="F1232" s="7"/>
      <c r="G1232" s="7"/>
    </row>
    <row r="1233" spans="2:7" ht="15" x14ac:dyDescent="0.25">
      <c r="B1233" s="7"/>
      <c r="C1233" s="7"/>
      <c r="D1233" s="7"/>
      <c r="E1233" s="7"/>
      <c r="F1233" s="7"/>
      <c r="G1233" s="7"/>
    </row>
    <row r="1234" spans="2:7" ht="15" x14ac:dyDescent="0.25">
      <c r="B1234" s="7"/>
      <c r="C1234" s="7"/>
      <c r="D1234" s="7"/>
      <c r="E1234" s="7"/>
      <c r="F1234" s="7"/>
      <c r="G1234" s="7"/>
    </row>
    <row r="1235" spans="2:7" ht="15" x14ac:dyDescent="0.25">
      <c r="B1235" s="7"/>
      <c r="C1235" s="7"/>
      <c r="D1235" s="7"/>
      <c r="E1235" s="7"/>
      <c r="F1235" s="7"/>
      <c r="G1235" s="7"/>
    </row>
    <row r="1236" spans="2:7" ht="15" x14ac:dyDescent="0.25">
      <c r="B1236" s="7"/>
      <c r="C1236" s="7"/>
      <c r="D1236" s="7"/>
      <c r="E1236" s="7"/>
      <c r="F1236" s="7"/>
      <c r="G1236" s="7"/>
    </row>
    <row r="1237" spans="2:7" ht="15" x14ac:dyDescent="0.25">
      <c r="B1237" s="7"/>
      <c r="C1237" s="7"/>
      <c r="D1237" s="7"/>
      <c r="E1237" s="7"/>
      <c r="F1237" s="7"/>
      <c r="G1237" s="7"/>
    </row>
    <row r="1238" spans="2:7" ht="15" x14ac:dyDescent="0.25">
      <c r="B1238" s="7"/>
      <c r="C1238" s="7"/>
      <c r="D1238" s="7"/>
      <c r="E1238" s="7"/>
      <c r="F1238" s="7"/>
      <c r="G1238" s="7"/>
    </row>
    <row r="1239" spans="2:7" ht="15" x14ac:dyDescent="0.25">
      <c r="B1239" s="7"/>
      <c r="C1239" s="7"/>
      <c r="D1239" s="7"/>
      <c r="E1239" s="7"/>
      <c r="F1239" s="7"/>
      <c r="G1239" s="7"/>
    </row>
    <row r="1240" spans="2:7" ht="15" x14ac:dyDescent="0.25">
      <c r="B1240" s="7"/>
      <c r="C1240" s="7"/>
      <c r="D1240" s="7"/>
      <c r="E1240" s="7"/>
      <c r="F1240" s="7"/>
      <c r="G1240" s="7"/>
    </row>
    <row r="1241" spans="2:7" ht="15" x14ac:dyDescent="0.25">
      <c r="B1241" s="7"/>
      <c r="C1241" s="7"/>
      <c r="D1241" s="7"/>
      <c r="E1241" s="7"/>
      <c r="F1241" s="7"/>
      <c r="G1241" s="7"/>
    </row>
    <row r="1242" spans="2:7" ht="15" x14ac:dyDescent="0.25">
      <c r="B1242" s="7"/>
      <c r="C1242" s="7"/>
      <c r="D1242" s="7"/>
      <c r="E1242" s="7"/>
      <c r="F1242" s="7"/>
      <c r="G1242" s="7"/>
    </row>
    <row r="1243" spans="2:7" ht="15" x14ac:dyDescent="0.25">
      <c r="B1243" s="7"/>
      <c r="C1243" s="7"/>
      <c r="D1243" s="7"/>
      <c r="E1243" s="7"/>
      <c r="F1243" s="7"/>
      <c r="G1243" s="7"/>
    </row>
    <row r="1244" spans="2:7" ht="15" x14ac:dyDescent="0.25">
      <c r="B1244" s="7"/>
      <c r="C1244" s="7"/>
      <c r="D1244" s="7"/>
      <c r="E1244" s="7"/>
      <c r="F1244" s="7"/>
      <c r="G1244" s="7"/>
    </row>
    <row r="1245" spans="2:7" ht="15" x14ac:dyDescent="0.25">
      <c r="B1245" s="7"/>
      <c r="C1245" s="7"/>
      <c r="D1245" s="7"/>
      <c r="E1245" s="7"/>
      <c r="F1245" s="7"/>
      <c r="G1245" s="7"/>
    </row>
    <row r="1246" spans="2:7" ht="15" x14ac:dyDescent="0.25">
      <c r="B1246" s="7"/>
      <c r="C1246" s="7"/>
      <c r="D1246" s="7"/>
      <c r="E1246" s="7"/>
      <c r="F1246" s="7"/>
      <c r="G1246" s="7"/>
    </row>
    <row r="1247" spans="2:7" ht="15" x14ac:dyDescent="0.25">
      <c r="B1247" s="7"/>
      <c r="C1247" s="7"/>
      <c r="D1247" s="7"/>
      <c r="E1247" s="7"/>
      <c r="F1247" s="7"/>
      <c r="G1247" s="7"/>
    </row>
    <row r="1248" spans="2:7" ht="15" x14ac:dyDescent="0.25">
      <c r="B1248" s="7"/>
      <c r="C1248" s="7"/>
      <c r="D1248" s="7"/>
      <c r="E1248" s="7"/>
      <c r="F1248" s="7"/>
      <c r="G1248" s="7"/>
    </row>
    <row r="1249" spans="2:7" ht="15" x14ac:dyDescent="0.25">
      <c r="B1249" s="7"/>
      <c r="C1249" s="7"/>
      <c r="D1249" s="7"/>
      <c r="E1249" s="7"/>
      <c r="F1249" s="7"/>
      <c r="G1249" s="7"/>
    </row>
    <row r="1250" spans="2:7" ht="15" x14ac:dyDescent="0.25">
      <c r="B1250" s="7"/>
      <c r="C1250" s="7"/>
      <c r="D1250" s="7"/>
      <c r="E1250" s="7"/>
      <c r="F1250" s="7"/>
      <c r="G1250" s="7"/>
    </row>
    <row r="1251" spans="2:7" ht="15" x14ac:dyDescent="0.25">
      <c r="B1251" s="7"/>
      <c r="C1251" s="7"/>
      <c r="D1251" s="7"/>
      <c r="E1251" s="7"/>
      <c r="F1251" s="7"/>
      <c r="G1251" s="7"/>
    </row>
    <row r="1252" spans="2:7" ht="15" x14ac:dyDescent="0.25">
      <c r="B1252" s="7"/>
      <c r="C1252" s="7"/>
      <c r="D1252" s="7"/>
      <c r="E1252" s="7"/>
      <c r="F1252" s="7"/>
      <c r="G1252" s="7"/>
    </row>
    <row r="1253" spans="2:7" ht="15" x14ac:dyDescent="0.25">
      <c r="B1253" s="7"/>
      <c r="C1253" s="7"/>
      <c r="D1253" s="7"/>
      <c r="E1253" s="7"/>
      <c r="F1253" s="7"/>
      <c r="G1253" s="7"/>
    </row>
    <row r="1254" spans="2:7" ht="15" x14ac:dyDescent="0.25">
      <c r="B1254" s="7"/>
      <c r="C1254" s="7"/>
      <c r="D1254" s="7"/>
      <c r="E1254" s="7"/>
      <c r="F1254" s="7"/>
      <c r="G1254" s="7"/>
    </row>
    <row r="1255" spans="2:7" ht="15" x14ac:dyDescent="0.25">
      <c r="B1255" s="7"/>
      <c r="C1255" s="7"/>
      <c r="D1255" s="7"/>
      <c r="E1255" s="7"/>
      <c r="F1255" s="7"/>
      <c r="G1255" s="7"/>
    </row>
    <row r="1256" spans="2:7" ht="15" x14ac:dyDescent="0.25">
      <c r="B1256" s="7"/>
      <c r="C1256" s="7"/>
      <c r="D1256" s="7"/>
      <c r="E1256" s="7"/>
      <c r="F1256" s="7"/>
      <c r="G1256" s="7"/>
    </row>
    <row r="1257" spans="2:7" ht="15" x14ac:dyDescent="0.25">
      <c r="B1257" s="7"/>
      <c r="C1257" s="7"/>
      <c r="D1257" s="7"/>
      <c r="E1257" s="7"/>
      <c r="F1257" s="7"/>
      <c r="G1257" s="7"/>
    </row>
    <row r="1258" spans="2:7" ht="15" x14ac:dyDescent="0.25">
      <c r="B1258" s="7"/>
      <c r="C1258" s="7"/>
      <c r="D1258" s="7"/>
      <c r="E1258" s="7"/>
      <c r="F1258" s="7"/>
      <c r="G1258" s="7"/>
    </row>
    <row r="1259" spans="2:7" ht="15" x14ac:dyDescent="0.25">
      <c r="B1259" s="7"/>
      <c r="C1259" s="7"/>
      <c r="D1259" s="7"/>
      <c r="E1259" s="7"/>
      <c r="F1259" s="7"/>
      <c r="G1259" s="7"/>
    </row>
    <row r="1260" spans="2:7" ht="15" x14ac:dyDescent="0.25">
      <c r="B1260" s="7"/>
      <c r="C1260" s="7"/>
      <c r="D1260" s="7"/>
      <c r="E1260" s="7"/>
      <c r="F1260" s="7"/>
      <c r="G1260" s="7"/>
    </row>
    <row r="1261" spans="2:7" ht="15" x14ac:dyDescent="0.25">
      <c r="B1261" s="7"/>
      <c r="C1261" s="7"/>
      <c r="D1261" s="7"/>
      <c r="E1261" s="7"/>
      <c r="F1261" s="7"/>
      <c r="G1261" s="7"/>
    </row>
    <row r="1262" spans="2:7" ht="15" x14ac:dyDescent="0.25">
      <c r="B1262" s="7"/>
      <c r="C1262" s="7"/>
      <c r="D1262" s="7"/>
      <c r="E1262" s="7"/>
      <c r="F1262" s="7"/>
      <c r="G1262" s="7"/>
    </row>
    <row r="1263" spans="2:7" ht="15" x14ac:dyDescent="0.25">
      <c r="B1263" s="7"/>
      <c r="C1263" s="7"/>
      <c r="D1263" s="7"/>
      <c r="E1263" s="7"/>
      <c r="F1263" s="7"/>
      <c r="G1263" s="7"/>
    </row>
    <row r="1264" spans="2:7" ht="15" x14ac:dyDescent="0.25">
      <c r="B1264" s="7"/>
      <c r="C1264" s="7"/>
      <c r="D1264" s="7"/>
      <c r="E1264" s="7"/>
      <c r="F1264" s="7"/>
      <c r="G1264" s="7"/>
    </row>
    <row r="1265" spans="2:7" ht="15" x14ac:dyDescent="0.25">
      <c r="B1265" s="7"/>
      <c r="C1265" s="7"/>
      <c r="D1265" s="7"/>
      <c r="E1265" s="7"/>
      <c r="F1265" s="7"/>
      <c r="G1265" s="7"/>
    </row>
    <row r="1266" spans="2:7" ht="15" x14ac:dyDescent="0.25">
      <c r="B1266" s="7"/>
      <c r="C1266" s="7"/>
      <c r="D1266" s="7"/>
      <c r="E1266" s="7"/>
      <c r="F1266" s="7"/>
      <c r="G1266" s="7"/>
    </row>
    <row r="1267" spans="2:7" ht="15" x14ac:dyDescent="0.25">
      <c r="B1267" s="7"/>
      <c r="C1267" s="7"/>
      <c r="D1267" s="7"/>
      <c r="E1267" s="7"/>
      <c r="F1267" s="7"/>
      <c r="G1267" s="7"/>
    </row>
    <row r="1268" spans="2:7" ht="15" x14ac:dyDescent="0.25">
      <c r="B1268" s="7"/>
      <c r="C1268" s="7"/>
      <c r="D1268" s="7"/>
      <c r="E1268" s="7"/>
      <c r="F1268" s="7"/>
      <c r="G1268" s="7"/>
    </row>
    <row r="1269" spans="2:7" ht="15" x14ac:dyDescent="0.25">
      <c r="B1269" s="7"/>
      <c r="C1269" s="7"/>
      <c r="D1269" s="7"/>
      <c r="E1269" s="7"/>
      <c r="F1269" s="7"/>
      <c r="G1269" s="7"/>
    </row>
    <row r="1270" spans="2:7" ht="15" x14ac:dyDescent="0.25">
      <c r="B1270" s="7"/>
      <c r="C1270" s="7"/>
      <c r="D1270" s="7"/>
      <c r="E1270" s="7"/>
      <c r="F1270" s="7"/>
      <c r="G1270" s="7"/>
    </row>
    <row r="1271" spans="2:7" ht="15" x14ac:dyDescent="0.25">
      <c r="B1271" s="7"/>
      <c r="C1271" s="7"/>
      <c r="D1271" s="7"/>
      <c r="E1271" s="7"/>
      <c r="F1271" s="7"/>
      <c r="G1271" s="7"/>
    </row>
    <row r="1272" spans="2:7" ht="15" x14ac:dyDescent="0.25">
      <c r="B1272" s="7"/>
      <c r="C1272" s="7"/>
      <c r="D1272" s="7"/>
      <c r="E1272" s="7"/>
      <c r="F1272" s="7"/>
      <c r="G1272" s="7"/>
    </row>
    <row r="1273" spans="2:7" ht="15" x14ac:dyDescent="0.25">
      <c r="B1273" s="7"/>
      <c r="C1273" s="7"/>
      <c r="D1273" s="7"/>
      <c r="E1273" s="7"/>
      <c r="F1273" s="7"/>
      <c r="G1273" s="7"/>
    </row>
    <row r="1274" spans="2:7" ht="15" x14ac:dyDescent="0.25">
      <c r="B1274" s="7"/>
      <c r="C1274" s="7"/>
      <c r="D1274" s="7"/>
      <c r="E1274" s="7"/>
      <c r="F1274" s="7"/>
      <c r="G1274" s="7"/>
    </row>
    <row r="1275" spans="2:7" ht="15" x14ac:dyDescent="0.25">
      <c r="B1275" s="7"/>
      <c r="C1275" s="7"/>
      <c r="D1275" s="7"/>
      <c r="E1275" s="7"/>
      <c r="F1275" s="7"/>
      <c r="G1275" s="7"/>
    </row>
    <row r="1276" spans="2:7" ht="15" x14ac:dyDescent="0.25">
      <c r="B1276" s="7"/>
      <c r="C1276" s="7"/>
      <c r="D1276" s="7"/>
      <c r="E1276" s="7"/>
      <c r="F1276" s="7"/>
      <c r="G1276" s="7"/>
    </row>
    <row r="1277" spans="2:7" ht="15" x14ac:dyDescent="0.25">
      <c r="B1277" s="7"/>
      <c r="C1277" s="7"/>
      <c r="D1277" s="7"/>
      <c r="E1277" s="7"/>
      <c r="F1277" s="7"/>
      <c r="G1277" s="7"/>
    </row>
    <row r="1278" spans="2:7" ht="15" x14ac:dyDescent="0.25">
      <c r="B1278" s="7"/>
      <c r="C1278" s="7"/>
      <c r="D1278" s="7"/>
      <c r="E1278" s="7"/>
      <c r="F1278" s="7"/>
      <c r="G1278" s="7"/>
    </row>
    <row r="1279" spans="2:7" ht="15" x14ac:dyDescent="0.25">
      <c r="B1279" s="7"/>
      <c r="C1279" s="7"/>
      <c r="D1279" s="7"/>
      <c r="E1279" s="7"/>
      <c r="F1279" s="7"/>
      <c r="G1279" s="7"/>
    </row>
    <row r="1280" spans="2:7" ht="15" x14ac:dyDescent="0.25">
      <c r="B1280" s="7"/>
      <c r="C1280" s="7"/>
      <c r="D1280" s="7"/>
      <c r="E1280" s="7"/>
      <c r="F1280" s="7"/>
      <c r="G1280" s="7"/>
    </row>
    <row r="1281" spans="2:7" ht="15" x14ac:dyDescent="0.25">
      <c r="B1281" s="7"/>
      <c r="C1281" s="7"/>
      <c r="D1281" s="7"/>
      <c r="E1281" s="7"/>
      <c r="F1281" s="7"/>
      <c r="G1281" s="7"/>
    </row>
    <row r="1282" spans="2:7" ht="15" x14ac:dyDescent="0.25">
      <c r="B1282" s="7"/>
      <c r="C1282" s="7"/>
      <c r="D1282" s="7"/>
      <c r="E1282" s="7"/>
      <c r="F1282" s="7"/>
      <c r="G1282" s="7"/>
    </row>
    <row r="1283" spans="2:7" ht="15" x14ac:dyDescent="0.25">
      <c r="B1283" s="7"/>
      <c r="C1283" s="7"/>
      <c r="D1283" s="7"/>
      <c r="E1283" s="7"/>
      <c r="F1283" s="7"/>
      <c r="G1283" s="7"/>
    </row>
    <row r="1284" spans="2:7" ht="15" x14ac:dyDescent="0.25">
      <c r="B1284" s="7"/>
      <c r="C1284" s="7"/>
      <c r="D1284" s="7"/>
      <c r="E1284" s="7"/>
      <c r="F1284" s="7"/>
      <c r="G1284" s="7"/>
    </row>
    <row r="1285" spans="2:7" ht="15" x14ac:dyDescent="0.25">
      <c r="B1285" s="7"/>
      <c r="C1285" s="7"/>
      <c r="D1285" s="7"/>
      <c r="E1285" s="7"/>
      <c r="F1285" s="7"/>
      <c r="G1285" s="7"/>
    </row>
    <row r="1286" spans="2:7" ht="15" x14ac:dyDescent="0.25">
      <c r="B1286" s="7"/>
      <c r="C1286" s="7"/>
      <c r="D1286" s="7"/>
      <c r="E1286" s="7"/>
      <c r="F1286" s="7"/>
      <c r="G1286" s="7"/>
    </row>
    <row r="1287" spans="2:7" ht="15" x14ac:dyDescent="0.25">
      <c r="B1287" s="7"/>
      <c r="C1287" s="7"/>
      <c r="D1287" s="7"/>
      <c r="E1287" s="7"/>
      <c r="F1287" s="7"/>
      <c r="G1287" s="7"/>
    </row>
    <row r="1288" spans="2:7" ht="15" x14ac:dyDescent="0.25">
      <c r="B1288" s="7"/>
      <c r="C1288" s="7"/>
      <c r="D1288" s="7"/>
      <c r="E1288" s="7"/>
      <c r="F1288" s="7"/>
      <c r="G1288" s="7"/>
    </row>
    <row r="1289" spans="2:7" ht="15" x14ac:dyDescent="0.25">
      <c r="B1289" s="7"/>
      <c r="C1289" s="7"/>
      <c r="D1289" s="7"/>
      <c r="E1289" s="7"/>
      <c r="F1289" s="7"/>
      <c r="G1289" s="7"/>
    </row>
    <row r="1290" spans="2:7" ht="15" x14ac:dyDescent="0.25">
      <c r="B1290" s="7"/>
      <c r="C1290" s="7"/>
      <c r="D1290" s="7"/>
      <c r="E1290" s="7"/>
      <c r="F1290" s="7"/>
      <c r="G1290" s="7"/>
    </row>
    <row r="1291" spans="2:7" ht="15" x14ac:dyDescent="0.25">
      <c r="B1291" s="7"/>
      <c r="C1291" s="7"/>
      <c r="D1291" s="7"/>
      <c r="E1291" s="7"/>
      <c r="F1291" s="7"/>
      <c r="G1291" s="7"/>
    </row>
    <row r="1292" spans="2:7" ht="15" x14ac:dyDescent="0.25">
      <c r="B1292" s="7"/>
      <c r="C1292" s="7"/>
      <c r="D1292" s="7"/>
      <c r="E1292" s="7"/>
      <c r="F1292" s="7"/>
      <c r="G1292" s="7"/>
    </row>
    <row r="1293" spans="2:7" ht="15" x14ac:dyDescent="0.25">
      <c r="B1293" s="7"/>
      <c r="C1293" s="7"/>
      <c r="D1293" s="7"/>
      <c r="E1293" s="7"/>
      <c r="F1293" s="7"/>
      <c r="G1293" s="7"/>
    </row>
    <row r="1294" spans="2:7" ht="15" x14ac:dyDescent="0.25">
      <c r="B1294" s="7"/>
      <c r="C1294" s="7"/>
      <c r="D1294" s="7"/>
      <c r="E1294" s="7"/>
      <c r="F1294" s="7"/>
      <c r="G1294" s="7"/>
    </row>
    <row r="1295" spans="2:7" ht="15" x14ac:dyDescent="0.25">
      <c r="B1295" s="7"/>
      <c r="C1295" s="7"/>
      <c r="D1295" s="7"/>
      <c r="E1295" s="7"/>
      <c r="F1295" s="7"/>
      <c r="G1295" s="7"/>
    </row>
    <row r="1296" spans="2:7" ht="15" x14ac:dyDescent="0.25">
      <c r="B1296" s="7"/>
      <c r="C1296" s="7"/>
      <c r="D1296" s="7"/>
      <c r="E1296" s="7"/>
      <c r="F1296" s="7"/>
      <c r="G1296" s="7"/>
    </row>
    <row r="1297" spans="2:7" ht="15" x14ac:dyDescent="0.25">
      <c r="B1297" s="7"/>
      <c r="C1297" s="7"/>
      <c r="D1297" s="7"/>
      <c r="E1297" s="7"/>
      <c r="F1297" s="7"/>
      <c r="G1297" s="7"/>
    </row>
    <row r="1298" spans="2:7" ht="15" x14ac:dyDescent="0.25">
      <c r="B1298" s="7"/>
      <c r="C1298" s="7"/>
      <c r="D1298" s="7"/>
      <c r="E1298" s="7"/>
      <c r="F1298" s="7"/>
      <c r="G1298" s="7"/>
    </row>
    <row r="1299" spans="2:7" ht="15" x14ac:dyDescent="0.25">
      <c r="B1299" s="7"/>
      <c r="C1299" s="7"/>
      <c r="D1299" s="7"/>
      <c r="E1299" s="7"/>
      <c r="F1299" s="7"/>
      <c r="G1299" s="7"/>
    </row>
    <row r="1300" spans="2:7" ht="15" x14ac:dyDescent="0.25">
      <c r="B1300" s="7"/>
      <c r="C1300" s="7"/>
      <c r="D1300" s="7"/>
      <c r="E1300" s="7"/>
      <c r="F1300" s="7"/>
      <c r="G1300" s="7"/>
    </row>
    <row r="1301" spans="2:7" ht="15" x14ac:dyDescent="0.25">
      <c r="B1301" s="7"/>
      <c r="C1301" s="7"/>
      <c r="D1301" s="7"/>
      <c r="E1301" s="7"/>
      <c r="F1301" s="7"/>
      <c r="G1301" s="7"/>
    </row>
    <row r="1302" spans="2:7" ht="15" x14ac:dyDescent="0.25">
      <c r="B1302" s="7"/>
      <c r="C1302" s="7"/>
      <c r="D1302" s="7"/>
      <c r="E1302" s="7"/>
      <c r="F1302" s="7"/>
      <c r="G1302" s="7"/>
    </row>
    <row r="1303" spans="2:7" ht="15" x14ac:dyDescent="0.25">
      <c r="B1303" s="7"/>
      <c r="C1303" s="7"/>
      <c r="D1303" s="7"/>
      <c r="E1303" s="7"/>
      <c r="F1303" s="7"/>
      <c r="G1303" s="7"/>
    </row>
    <row r="1304" spans="2:7" ht="15" x14ac:dyDescent="0.25">
      <c r="B1304" s="7"/>
      <c r="C1304" s="7"/>
      <c r="D1304" s="7"/>
      <c r="E1304" s="7"/>
      <c r="F1304" s="7"/>
      <c r="G1304" s="7"/>
    </row>
    <row r="1305" spans="2:7" ht="15" x14ac:dyDescent="0.25">
      <c r="B1305" s="7"/>
      <c r="C1305" s="7"/>
      <c r="D1305" s="7"/>
      <c r="E1305" s="7"/>
      <c r="F1305" s="7"/>
      <c r="G1305" s="7"/>
    </row>
    <row r="1306" spans="2:7" ht="15" x14ac:dyDescent="0.25">
      <c r="B1306" s="7"/>
      <c r="C1306" s="7"/>
      <c r="D1306" s="7"/>
      <c r="E1306" s="7"/>
      <c r="F1306" s="7"/>
      <c r="G1306" s="7"/>
    </row>
    <row r="1307" spans="2:7" ht="15" x14ac:dyDescent="0.25">
      <c r="B1307" s="7"/>
      <c r="C1307" s="7"/>
      <c r="D1307" s="7"/>
      <c r="E1307" s="7"/>
      <c r="F1307" s="7"/>
      <c r="G1307" s="7"/>
    </row>
    <row r="1308" spans="2:7" ht="15" x14ac:dyDescent="0.25">
      <c r="B1308" s="7"/>
      <c r="C1308" s="7"/>
      <c r="D1308" s="7"/>
      <c r="E1308" s="7"/>
      <c r="F1308" s="7"/>
      <c r="G1308" s="7"/>
    </row>
    <row r="1309" spans="2:7" ht="15" x14ac:dyDescent="0.25">
      <c r="B1309" s="7"/>
      <c r="C1309" s="7"/>
      <c r="D1309" s="7"/>
      <c r="E1309" s="7"/>
      <c r="F1309" s="7"/>
      <c r="G1309" s="7"/>
    </row>
    <row r="1310" spans="2:7" ht="15" x14ac:dyDescent="0.25">
      <c r="B1310" s="7"/>
      <c r="C1310" s="7"/>
      <c r="D1310" s="7"/>
      <c r="E1310" s="7"/>
      <c r="F1310" s="7"/>
      <c r="G1310" s="7"/>
    </row>
    <row r="1311" spans="2:7" ht="15" x14ac:dyDescent="0.25">
      <c r="B1311" s="7"/>
      <c r="C1311" s="7"/>
      <c r="D1311" s="7"/>
      <c r="E1311" s="7"/>
      <c r="F1311" s="7"/>
      <c r="G1311" s="7"/>
    </row>
    <row r="1312" spans="2:7" ht="15" x14ac:dyDescent="0.25">
      <c r="B1312" s="7"/>
      <c r="C1312" s="7"/>
      <c r="D1312" s="7"/>
      <c r="E1312" s="7"/>
      <c r="F1312" s="7"/>
      <c r="G1312" s="7"/>
    </row>
    <row r="1313" spans="2:7" ht="15" x14ac:dyDescent="0.25">
      <c r="B1313" s="7"/>
      <c r="C1313" s="7"/>
      <c r="D1313" s="7"/>
      <c r="E1313" s="7"/>
      <c r="F1313" s="7"/>
      <c r="G1313" s="7"/>
    </row>
    <row r="1314" spans="2:7" ht="15" x14ac:dyDescent="0.25">
      <c r="B1314" s="7"/>
      <c r="C1314" s="7"/>
      <c r="D1314" s="7"/>
      <c r="E1314" s="7"/>
      <c r="F1314" s="7"/>
      <c r="G1314" s="7"/>
    </row>
    <row r="1315" spans="2:7" ht="15" x14ac:dyDescent="0.25">
      <c r="B1315" s="7"/>
      <c r="C1315" s="7"/>
      <c r="D1315" s="7"/>
      <c r="E1315" s="7"/>
      <c r="F1315" s="7"/>
      <c r="G1315" s="7"/>
    </row>
    <row r="1316" spans="2:7" ht="15" x14ac:dyDescent="0.25">
      <c r="B1316" s="7"/>
      <c r="C1316" s="7"/>
      <c r="D1316" s="7"/>
      <c r="E1316" s="7"/>
      <c r="F1316" s="7"/>
      <c r="G1316" s="7"/>
    </row>
    <row r="1317" spans="2:7" ht="15" x14ac:dyDescent="0.25">
      <c r="B1317" s="7"/>
      <c r="C1317" s="7"/>
      <c r="D1317" s="7"/>
      <c r="E1317" s="7"/>
      <c r="F1317" s="7"/>
      <c r="G1317" s="7"/>
    </row>
    <row r="1318" spans="2:7" ht="15" x14ac:dyDescent="0.25">
      <c r="B1318" s="7"/>
      <c r="C1318" s="7"/>
      <c r="D1318" s="7"/>
      <c r="E1318" s="7"/>
      <c r="F1318" s="7"/>
      <c r="G1318" s="7"/>
    </row>
    <row r="1319" spans="2:7" ht="15" x14ac:dyDescent="0.25">
      <c r="B1319" s="7"/>
      <c r="C1319" s="7"/>
      <c r="D1319" s="7"/>
      <c r="E1319" s="7"/>
      <c r="F1319" s="7"/>
      <c r="G1319" s="7"/>
    </row>
    <row r="1320" spans="2:7" ht="15" x14ac:dyDescent="0.25">
      <c r="B1320" s="7"/>
      <c r="C1320" s="7"/>
      <c r="D1320" s="7"/>
      <c r="E1320" s="7"/>
      <c r="F1320" s="7"/>
      <c r="G1320" s="7"/>
    </row>
    <row r="1321" spans="2:7" ht="15" x14ac:dyDescent="0.25">
      <c r="B1321" s="7"/>
      <c r="C1321" s="7"/>
      <c r="D1321" s="7"/>
      <c r="E1321" s="7"/>
      <c r="F1321" s="7"/>
      <c r="G1321" s="7"/>
    </row>
    <row r="1322" spans="2:7" ht="15" x14ac:dyDescent="0.25">
      <c r="B1322" s="7"/>
      <c r="C1322" s="7"/>
      <c r="D1322" s="7"/>
      <c r="E1322" s="7"/>
      <c r="F1322" s="7"/>
      <c r="G1322" s="7"/>
    </row>
    <row r="1323" spans="2:7" ht="15" x14ac:dyDescent="0.25">
      <c r="B1323" s="7"/>
      <c r="C1323" s="7"/>
      <c r="D1323" s="7"/>
      <c r="E1323" s="7"/>
      <c r="F1323" s="7"/>
      <c r="G1323" s="7"/>
    </row>
    <row r="1324" spans="2:7" ht="15" x14ac:dyDescent="0.25">
      <c r="B1324" s="7"/>
      <c r="C1324" s="7"/>
      <c r="D1324" s="7"/>
      <c r="E1324" s="7"/>
      <c r="F1324" s="7"/>
      <c r="G1324" s="7"/>
    </row>
    <row r="1325" spans="2:7" ht="15" x14ac:dyDescent="0.25">
      <c r="B1325" s="7"/>
      <c r="C1325" s="7"/>
      <c r="D1325" s="7"/>
      <c r="E1325" s="7"/>
      <c r="F1325" s="7"/>
      <c r="G1325" s="7"/>
    </row>
    <row r="1326" spans="2:7" ht="15" x14ac:dyDescent="0.25">
      <c r="B1326" s="7"/>
      <c r="C1326" s="7"/>
      <c r="D1326" s="7"/>
      <c r="E1326" s="7"/>
      <c r="F1326" s="7"/>
      <c r="G1326" s="7"/>
    </row>
    <row r="1327" spans="2:7" ht="15" x14ac:dyDescent="0.25">
      <c r="B1327" s="7"/>
      <c r="C1327" s="7"/>
      <c r="D1327" s="7"/>
      <c r="E1327" s="7"/>
      <c r="F1327" s="7"/>
      <c r="G1327" s="7"/>
    </row>
    <row r="1328" spans="2:7" ht="15" x14ac:dyDescent="0.25">
      <c r="B1328" s="7"/>
      <c r="C1328" s="7"/>
      <c r="D1328" s="7"/>
      <c r="E1328" s="7"/>
      <c r="F1328" s="7"/>
      <c r="G1328" s="7"/>
    </row>
    <row r="1329" spans="2:7" ht="15" x14ac:dyDescent="0.25">
      <c r="B1329" s="7"/>
      <c r="C1329" s="7"/>
      <c r="D1329" s="7"/>
      <c r="E1329" s="7"/>
      <c r="F1329" s="7"/>
      <c r="G1329" s="7"/>
    </row>
    <row r="1330" spans="2:7" ht="15" x14ac:dyDescent="0.25">
      <c r="B1330" s="7"/>
      <c r="C1330" s="7"/>
      <c r="D1330" s="7"/>
      <c r="E1330" s="7"/>
      <c r="F1330" s="7"/>
      <c r="G1330" s="7"/>
    </row>
    <row r="1331" spans="2:7" ht="15" x14ac:dyDescent="0.25">
      <c r="B1331" s="7"/>
      <c r="C1331" s="7"/>
      <c r="D1331" s="7"/>
      <c r="E1331" s="7"/>
      <c r="F1331" s="7"/>
      <c r="G1331" s="7"/>
    </row>
    <row r="1332" spans="2:7" ht="15" x14ac:dyDescent="0.25">
      <c r="B1332" s="7"/>
      <c r="C1332" s="7"/>
      <c r="D1332" s="7"/>
      <c r="E1332" s="7"/>
      <c r="F1332" s="7"/>
      <c r="G1332" s="7"/>
    </row>
    <row r="1333" spans="2:7" ht="15" x14ac:dyDescent="0.25">
      <c r="B1333" s="7"/>
      <c r="C1333" s="7"/>
      <c r="D1333" s="7"/>
      <c r="E1333" s="7"/>
      <c r="F1333" s="7"/>
      <c r="G1333" s="7"/>
    </row>
    <row r="1334" spans="2:7" ht="15" x14ac:dyDescent="0.25">
      <c r="B1334" s="7"/>
      <c r="C1334" s="7"/>
      <c r="D1334" s="7"/>
      <c r="E1334" s="7"/>
      <c r="F1334" s="7"/>
      <c r="G1334" s="7"/>
    </row>
    <row r="1335" spans="2:7" ht="15" x14ac:dyDescent="0.25">
      <c r="B1335" s="7"/>
      <c r="C1335" s="7"/>
      <c r="D1335" s="7"/>
      <c r="E1335" s="7"/>
      <c r="F1335" s="7"/>
      <c r="G1335" s="7"/>
    </row>
    <row r="1336" spans="2:7" ht="15" x14ac:dyDescent="0.25">
      <c r="B1336" s="7"/>
      <c r="C1336" s="7"/>
      <c r="D1336" s="7"/>
      <c r="E1336" s="7"/>
      <c r="F1336" s="7"/>
      <c r="G1336" s="7"/>
    </row>
    <row r="1337" spans="2:7" ht="15" x14ac:dyDescent="0.25">
      <c r="B1337" s="7"/>
      <c r="C1337" s="7"/>
      <c r="D1337" s="7"/>
      <c r="E1337" s="7"/>
      <c r="F1337" s="7"/>
      <c r="G1337" s="7"/>
    </row>
    <row r="1338" spans="2:7" ht="15" x14ac:dyDescent="0.25">
      <c r="B1338" s="7"/>
      <c r="C1338" s="7"/>
      <c r="D1338" s="7"/>
      <c r="E1338" s="7"/>
      <c r="F1338" s="7"/>
      <c r="G1338" s="7"/>
    </row>
    <row r="1339" spans="2:7" ht="15" x14ac:dyDescent="0.25">
      <c r="B1339" s="7"/>
      <c r="C1339" s="7"/>
      <c r="D1339" s="7"/>
      <c r="E1339" s="7"/>
      <c r="F1339" s="7"/>
      <c r="G1339" s="7"/>
    </row>
    <row r="1340" spans="2:7" ht="15" x14ac:dyDescent="0.25">
      <c r="B1340" s="7"/>
      <c r="C1340" s="7"/>
      <c r="D1340" s="7"/>
      <c r="E1340" s="7"/>
      <c r="F1340" s="7"/>
      <c r="G1340" s="7"/>
    </row>
    <row r="1341" spans="2:7" ht="15" x14ac:dyDescent="0.25">
      <c r="B1341" s="7"/>
      <c r="C1341" s="7"/>
      <c r="D1341" s="7"/>
      <c r="E1341" s="7"/>
      <c r="F1341" s="7"/>
      <c r="G1341" s="7"/>
    </row>
    <row r="1342" spans="2:7" ht="15" x14ac:dyDescent="0.25">
      <c r="B1342" s="7"/>
      <c r="C1342" s="7"/>
      <c r="D1342" s="7"/>
      <c r="E1342" s="7"/>
      <c r="F1342" s="7"/>
      <c r="G1342" s="7"/>
    </row>
    <row r="1343" spans="2:7" ht="15" x14ac:dyDescent="0.25">
      <c r="B1343" s="7"/>
      <c r="C1343" s="7"/>
      <c r="D1343" s="7"/>
      <c r="E1343" s="7"/>
      <c r="F1343" s="7"/>
      <c r="G1343" s="7"/>
    </row>
    <row r="1344" spans="2:7" ht="15" x14ac:dyDescent="0.25">
      <c r="B1344" s="7"/>
      <c r="C1344" s="7"/>
      <c r="D1344" s="7"/>
      <c r="E1344" s="7"/>
      <c r="F1344" s="7"/>
      <c r="G1344" s="7"/>
    </row>
    <row r="1345" spans="2:7" ht="15" x14ac:dyDescent="0.25">
      <c r="B1345" s="7"/>
      <c r="C1345" s="7"/>
      <c r="D1345" s="7"/>
      <c r="E1345" s="7"/>
      <c r="F1345" s="7"/>
      <c r="G1345" s="7"/>
    </row>
    <row r="1346" spans="2:7" ht="15" x14ac:dyDescent="0.25">
      <c r="B1346" s="7"/>
      <c r="C1346" s="7"/>
      <c r="D1346" s="7"/>
      <c r="E1346" s="7"/>
      <c r="F1346" s="7"/>
      <c r="G1346" s="7"/>
    </row>
    <row r="1347" spans="2:7" ht="15" x14ac:dyDescent="0.25">
      <c r="B1347" s="7"/>
      <c r="C1347" s="7"/>
      <c r="D1347" s="7"/>
      <c r="E1347" s="7"/>
      <c r="F1347" s="7"/>
      <c r="G1347" s="7"/>
    </row>
    <row r="1348" spans="2:7" ht="15" x14ac:dyDescent="0.25">
      <c r="B1348" s="7"/>
      <c r="C1348" s="7"/>
      <c r="D1348" s="7"/>
      <c r="E1348" s="7"/>
      <c r="F1348" s="7"/>
      <c r="G1348" s="7"/>
    </row>
    <row r="1349" spans="2:7" ht="15" x14ac:dyDescent="0.25">
      <c r="B1349" s="7"/>
      <c r="C1349" s="7"/>
      <c r="D1349" s="7"/>
      <c r="E1349" s="7"/>
      <c r="F1349" s="7"/>
      <c r="G1349" s="7"/>
    </row>
    <row r="1350" spans="2:7" ht="15" x14ac:dyDescent="0.25">
      <c r="B1350" s="7"/>
      <c r="C1350" s="7"/>
      <c r="D1350" s="7"/>
      <c r="E1350" s="7"/>
      <c r="F1350" s="7"/>
      <c r="G1350" s="7"/>
    </row>
    <row r="1351" spans="2:7" ht="15" x14ac:dyDescent="0.25">
      <c r="B1351" s="7"/>
      <c r="C1351" s="7"/>
      <c r="D1351" s="7"/>
      <c r="E1351" s="7"/>
      <c r="F1351" s="7"/>
      <c r="G1351" s="7"/>
    </row>
    <row r="1352" spans="2:7" ht="15" x14ac:dyDescent="0.25">
      <c r="B1352" s="7"/>
      <c r="C1352" s="7"/>
      <c r="D1352" s="7"/>
      <c r="E1352" s="7"/>
      <c r="F1352" s="7"/>
      <c r="G1352" s="7"/>
    </row>
    <row r="1353" spans="2:7" ht="15" x14ac:dyDescent="0.25">
      <c r="B1353" s="7"/>
      <c r="C1353" s="7"/>
      <c r="D1353" s="7"/>
      <c r="E1353" s="7"/>
      <c r="F1353" s="7"/>
      <c r="G1353" s="7"/>
    </row>
    <row r="1354" spans="2:7" ht="15" x14ac:dyDescent="0.25">
      <c r="B1354" s="7"/>
      <c r="C1354" s="7"/>
      <c r="D1354" s="7"/>
      <c r="E1354" s="7"/>
      <c r="F1354" s="7"/>
      <c r="G1354" s="7"/>
    </row>
    <row r="1355" spans="2:7" ht="15" x14ac:dyDescent="0.25">
      <c r="B1355" s="7"/>
      <c r="C1355" s="7"/>
      <c r="D1355" s="7"/>
      <c r="E1355" s="7"/>
      <c r="F1355" s="7"/>
      <c r="G1355" s="7"/>
    </row>
    <row r="1356" spans="2:7" ht="15" x14ac:dyDescent="0.25">
      <c r="B1356" s="7"/>
      <c r="C1356" s="7"/>
      <c r="D1356" s="7"/>
      <c r="E1356" s="7"/>
      <c r="F1356" s="7"/>
      <c r="G1356" s="7"/>
    </row>
    <row r="1357" spans="2:7" ht="15" x14ac:dyDescent="0.25">
      <c r="B1357" s="7"/>
      <c r="C1357" s="7"/>
      <c r="D1357" s="7"/>
      <c r="E1357" s="7"/>
      <c r="F1357" s="7"/>
      <c r="G1357" s="7"/>
    </row>
    <row r="1358" spans="2:7" ht="15" x14ac:dyDescent="0.25">
      <c r="B1358" s="7"/>
      <c r="C1358" s="7"/>
      <c r="D1358" s="7"/>
      <c r="E1358" s="7"/>
      <c r="F1358" s="7"/>
      <c r="G1358" s="7"/>
    </row>
    <row r="1359" spans="2:7" ht="15" x14ac:dyDescent="0.25">
      <c r="B1359" s="7"/>
      <c r="C1359" s="7"/>
      <c r="D1359" s="7"/>
      <c r="E1359" s="7"/>
      <c r="F1359" s="7"/>
      <c r="G1359" s="7"/>
    </row>
    <row r="1360" spans="2:7" ht="15" x14ac:dyDescent="0.25">
      <c r="B1360" s="7"/>
      <c r="C1360" s="7"/>
      <c r="D1360" s="7"/>
      <c r="E1360" s="7"/>
      <c r="F1360" s="7"/>
      <c r="G1360" s="7"/>
    </row>
    <row r="1361" spans="2:7" ht="15" x14ac:dyDescent="0.25">
      <c r="B1361" s="7"/>
      <c r="C1361" s="7"/>
      <c r="D1361" s="7"/>
      <c r="E1361" s="7"/>
      <c r="F1361" s="7"/>
      <c r="G1361" s="7"/>
    </row>
    <row r="1362" spans="2:7" ht="15" x14ac:dyDescent="0.25">
      <c r="B1362" s="7"/>
      <c r="C1362" s="7"/>
      <c r="D1362" s="7"/>
      <c r="E1362" s="7"/>
      <c r="F1362" s="7"/>
      <c r="G1362" s="7"/>
    </row>
    <row r="1363" spans="2:7" ht="15" x14ac:dyDescent="0.25">
      <c r="B1363" s="7"/>
      <c r="C1363" s="7"/>
      <c r="D1363" s="7"/>
      <c r="E1363" s="7"/>
      <c r="F1363" s="7"/>
      <c r="G1363" s="7"/>
    </row>
    <row r="1364" spans="2:7" ht="15" x14ac:dyDescent="0.25">
      <c r="B1364" s="7"/>
      <c r="C1364" s="7"/>
      <c r="D1364" s="7"/>
      <c r="E1364" s="7"/>
      <c r="F1364" s="7"/>
      <c r="G1364" s="7"/>
    </row>
    <row r="1365" spans="2:7" ht="15" x14ac:dyDescent="0.25">
      <c r="B1365" s="7"/>
      <c r="C1365" s="7"/>
      <c r="D1365" s="7"/>
      <c r="E1365" s="7"/>
      <c r="F1365" s="7"/>
      <c r="G1365" s="7"/>
    </row>
    <row r="1366" spans="2:7" ht="15" x14ac:dyDescent="0.25">
      <c r="B1366" s="7"/>
      <c r="C1366" s="7"/>
      <c r="D1366" s="7"/>
      <c r="E1366" s="7"/>
      <c r="F1366" s="7"/>
      <c r="G1366" s="7"/>
    </row>
    <row r="1367" spans="2:7" ht="15" x14ac:dyDescent="0.25">
      <c r="B1367" s="7"/>
      <c r="C1367" s="7"/>
      <c r="D1367" s="7"/>
      <c r="E1367" s="7"/>
      <c r="F1367" s="7"/>
      <c r="G1367" s="7"/>
    </row>
    <row r="1368" spans="2:7" ht="15" x14ac:dyDescent="0.25">
      <c r="B1368" s="7"/>
      <c r="C1368" s="7"/>
      <c r="D1368" s="7"/>
      <c r="E1368" s="7"/>
      <c r="F1368" s="7"/>
      <c r="G1368" s="7"/>
    </row>
    <row r="1369" spans="2:7" ht="15" x14ac:dyDescent="0.25">
      <c r="B1369" s="7"/>
      <c r="C1369" s="7"/>
      <c r="D1369" s="7"/>
      <c r="E1369" s="7"/>
      <c r="F1369" s="7"/>
      <c r="G1369" s="7"/>
    </row>
    <row r="1370" spans="2:7" ht="15" x14ac:dyDescent="0.25">
      <c r="B1370" s="7"/>
      <c r="C1370" s="7"/>
      <c r="D1370" s="7"/>
      <c r="E1370" s="7"/>
      <c r="F1370" s="7"/>
      <c r="G1370" s="7"/>
    </row>
    <row r="1371" spans="2:7" ht="15" x14ac:dyDescent="0.25">
      <c r="B1371" s="7"/>
      <c r="C1371" s="7"/>
      <c r="D1371" s="7"/>
      <c r="E1371" s="7"/>
      <c r="F1371" s="7"/>
      <c r="G1371" s="7"/>
    </row>
    <row r="1372" spans="2:7" ht="15" x14ac:dyDescent="0.25">
      <c r="B1372" s="7"/>
      <c r="C1372" s="7"/>
      <c r="D1372" s="7"/>
      <c r="E1372" s="7"/>
      <c r="F1372" s="7"/>
      <c r="G1372" s="7"/>
    </row>
    <row r="1373" spans="2:7" ht="15" x14ac:dyDescent="0.25">
      <c r="B1373" s="7"/>
      <c r="C1373" s="7"/>
      <c r="D1373" s="7"/>
      <c r="E1373" s="7"/>
      <c r="F1373" s="7"/>
      <c r="G1373" s="7"/>
    </row>
    <row r="1374" spans="2:7" ht="15" x14ac:dyDescent="0.25">
      <c r="B1374" s="7"/>
      <c r="C1374" s="7"/>
      <c r="D1374" s="7"/>
      <c r="E1374" s="7"/>
      <c r="F1374" s="7"/>
      <c r="G1374" s="7"/>
    </row>
    <row r="1375" spans="2:7" ht="15" x14ac:dyDescent="0.25">
      <c r="B1375" s="7"/>
      <c r="C1375" s="7"/>
      <c r="D1375" s="7"/>
      <c r="E1375" s="7"/>
      <c r="F1375" s="7"/>
      <c r="G1375" s="7"/>
    </row>
    <row r="1376" spans="2:7" ht="15" x14ac:dyDescent="0.25">
      <c r="B1376" s="7"/>
      <c r="C1376" s="7"/>
      <c r="D1376" s="7"/>
      <c r="E1376" s="7"/>
      <c r="F1376" s="7"/>
      <c r="G1376" s="7"/>
    </row>
    <row r="1377" spans="2:7" ht="15" x14ac:dyDescent="0.25">
      <c r="B1377" s="7"/>
      <c r="C1377" s="7"/>
      <c r="D1377" s="7"/>
      <c r="E1377" s="7"/>
      <c r="F1377" s="7"/>
      <c r="G1377" s="7"/>
    </row>
    <row r="1378" spans="2:7" ht="15" x14ac:dyDescent="0.25">
      <c r="B1378" s="7"/>
      <c r="C1378" s="7"/>
      <c r="D1378" s="7"/>
      <c r="E1378" s="7"/>
      <c r="F1378" s="7"/>
      <c r="G1378" s="7"/>
    </row>
    <row r="1379" spans="2:7" ht="15" x14ac:dyDescent="0.25">
      <c r="B1379" s="7"/>
      <c r="C1379" s="7"/>
      <c r="D1379" s="7"/>
      <c r="E1379" s="7"/>
      <c r="F1379" s="7"/>
      <c r="G1379" s="7"/>
    </row>
    <row r="1380" spans="2:7" ht="15" x14ac:dyDescent="0.25">
      <c r="B1380" s="7"/>
      <c r="C1380" s="7"/>
      <c r="D1380" s="7"/>
      <c r="E1380" s="7"/>
      <c r="F1380" s="7"/>
      <c r="G1380" s="7"/>
    </row>
    <row r="1381" spans="2:7" ht="15" x14ac:dyDescent="0.25">
      <c r="B1381" s="7"/>
      <c r="C1381" s="7"/>
      <c r="D1381" s="7"/>
      <c r="E1381" s="7"/>
      <c r="F1381" s="7"/>
      <c r="G1381" s="7"/>
    </row>
    <row r="1382" spans="2:7" ht="15" x14ac:dyDescent="0.25">
      <c r="B1382" s="7"/>
      <c r="C1382" s="7"/>
      <c r="D1382" s="7"/>
      <c r="E1382" s="7"/>
      <c r="F1382" s="7"/>
      <c r="G1382" s="7"/>
    </row>
    <row r="1383" spans="2:7" ht="15" x14ac:dyDescent="0.25">
      <c r="B1383" s="7"/>
      <c r="C1383" s="7"/>
      <c r="D1383" s="7"/>
      <c r="E1383" s="7"/>
      <c r="F1383" s="7"/>
      <c r="G1383" s="7"/>
    </row>
    <row r="1384" spans="2:7" ht="15" x14ac:dyDescent="0.25">
      <c r="B1384" s="7"/>
      <c r="C1384" s="7"/>
      <c r="D1384" s="7"/>
      <c r="E1384" s="7"/>
      <c r="F1384" s="7"/>
      <c r="G1384" s="7"/>
    </row>
    <row r="1385" spans="2:7" ht="15" x14ac:dyDescent="0.25">
      <c r="B1385" s="7"/>
      <c r="C1385" s="7"/>
      <c r="D1385" s="7"/>
      <c r="E1385" s="7"/>
      <c r="F1385" s="7"/>
      <c r="G1385" s="7"/>
    </row>
    <row r="1386" spans="2:7" ht="15" x14ac:dyDescent="0.25">
      <c r="B1386" s="7"/>
      <c r="C1386" s="7"/>
      <c r="D1386" s="7"/>
      <c r="E1386" s="7"/>
      <c r="F1386" s="7"/>
      <c r="G1386" s="7"/>
    </row>
    <row r="1387" spans="2:7" ht="15" x14ac:dyDescent="0.25">
      <c r="B1387" s="7"/>
      <c r="C1387" s="7"/>
      <c r="D1387" s="7"/>
      <c r="E1387" s="7"/>
      <c r="F1387" s="7"/>
      <c r="G1387" s="7"/>
    </row>
    <row r="1388" spans="2:7" ht="15" x14ac:dyDescent="0.25">
      <c r="B1388" s="7"/>
      <c r="C1388" s="7"/>
      <c r="D1388" s="7"/>
      <c r="E1388" s="7"/>
      <c r="F1388" s="7"/>
      <c r="G1388" s="7"/>
    </row>
    <row r="1389" spans="2:7" ht="15" x14ac:dyDescent="0.25">
      <c r="B1389" s="7"/>
      <c r="C1389" s="7"/>
      <c r="D1389" s="7"/>
      <c r="E1389" s="7"/>
      <c r="F1389" s="7"/>
      <c r="G1389" s="7"/>
    </row>
    <row r="1390" spans="2:7" ht="15" x14ac:dyDescent="0.25">
      <c r="B1390" s="7"/>
      <c r="C1390" s="7"/>
      <c r="D1390" s="7"/>
      <c r="E1390" s="7"/>
      <c r="F1390" s="7"/>
      <c r="G1390" s="7"/>
    </row>
    <row r="1391" spans="2:7" ht="15" x14ac:dyDescent="0.25">
      <c r="B1391" s="7"/>
      <c r="C1391" s="7"/>
      <c r="D1391" s="7"/>
      <c r="E1391" s="7"/>
      <c r="F1391" s="7"/>
      <c r="G1391" s="7"/>
    </row>
    <row r="1392" spans="2:7" ht="15" x14ac:dyDescent="0.25">
      <c r="B1392" s="7"/>
      <c r="C1392" s="7"/>
      <c r="D1392" s="7"/>
      <c r="E1392" s="7"/>
      <c r="F1392" s="7"/>
      <c r="G1392" s="7"/>
    </row>
    <row r="1393" spans="2:7" ht="15" x14ac:dyDescent="0.25">
      <c r="B1393" s="7"/>
      <c r="C1393" s="7"/>
      <c r="D1393" s="7"/>
      <c r="E1393" s="7"/>
      <c r="F1393" s="7"/>
      <c r="G1393" s="7"/>
    </row>
    <row r="1394" spans="2:7" ht="15" x14ac:dyDescent="0.25">
      <c r="B1394" s="7"/>
      <c r="C1394" s="7"/>
      <c r="D1394" s="7"/>
      <c r="E1394" s="7"/>
      <c r="F1394" s="7"/>
      <c r="G1394" s="7"/>
    </row>
    <row r="1395" spans="2:7" ht="15" x14ac:dyDescent="0.25">
      <c r="B1395" s="7"/>
      <c r="C1395" s="7"/>
      <c r="D1395" s="7"/>
      <c r="E1395" s="7"/>
      <c r="F1395" s="7"/>
      <c r="G1395" s="7"/>
    </row>
    <row r="1396" spans="2:7" ht="15" x14ac:dyDescent="0.25">
      <c r="B1396" s="7"/>
      <c r="C1396" s="7"/>
      <c r="D1396" s="7"/>
      <c r="E1396" s="7"/>
      <c r="F1396" s="7"/>
      <c r="G1396" s="7"/>
    </row>
    <row r="1397" spans="2:7" ht="15" x14ac:dyDescent="0.25">
      <c r="B1397" s="7"/>
      <c r="C1397" s="7"/>
      <c r="D1397" s="7"/>
      <c r="E1397" s="7"/>
      <c r="F1397" s="7"/>
      <c r="G1397" s="7"/>
    </row>
    <row r="1398" spans="2:7" ht="15" x14ac:dyDescent="0.25">
      <c r="B1398" s="7"/>
      <c r="C1398" s="7"/>
      <c r="D1398" s="7"/>
      <c r="E1398" s="7"/>
      <c r="F1398" s="7"/>
      <c r="G1398" s="7"/>
    </row>
    <row r="1399" spans="2:7" ht="15" x14ac:dyDescent="0.25">
      <c r="B1399" s="7"/>
      <c r="C1399" s="7"/>
      <c r="D1399" s="7"/>
      <c r="E1399" s="7"/>
      <c r="F1399" s="7"/>
      <c r="G1399" s="7"/>
    </row>
    <row r="1400" spans="2:7" ht="15" x14ac:dyDescent="0.25">
      <c r="B1400" s="7"/>
      <c r="C1400" s="7"/>
      <c r="D1400" s="7"/>
      <c r="E1400" s="7"/>
      <c r="F1400" s="7"/>
      <c r="G1400" s="7"/>
    </row>
    <row r="1401" spans="2:7" ht="15" x14ac:dyDescent="0.25">
      <c r="B1401" s="7"/>
      <c r="C1401" s="7"/>
      <c r="D1401" s="7"/>
      <c r="E1401" s="7"/>
      <c r="F1401" s="7"/>
      <c r="G1401" s="7"/>
    </row>
    <row r="1402" spans="2:7" ht="15" x14ac:dyDescent="0.25">
      <c r="B1402" s="7"/>
      <c r="C1402" s="7"/>
      <c r="D1402" s="7"/>
      <c r="E1402" s="7"/>
      <c r="F1402" s="7"/>
      <c r="G1402" s="7"/>
    </row>
    <row r="1403" spans="2:7" ht="15" x14ac:dyDescent="0.25">
      <c r="B1403" s="7"/>
      <c r="C1403" s="7"/>
      <c r="D1403" s="7"/>
      <c r="E1403" s="7"/>
      <c r="F1403" s="7"/>
      <c r="G1403" s="7"/>
    </row>
    <row r="1404" spans="2:7" ht="15" x14ac:dyDescent="0.25">
      <c r="B1404" s="7"/>
      <c r="C1404" s="7"/>
      <c r="D1404" s="7"/>
      <c r="E1404" s="7"/>
      <c r="F1404" s="7"/>
      <c r="G1404" s="7"/>
    </row>
    <row r="1405" spans="2:7" ht="15" x14ac:dyDescent="0.25">
      <c r="B1405" s="7"/>
      <c r="C1405" s="7"/>
      <c r="D1405" s="7"/>
      <c r="E1405" s="7"/>
      <c r="F1405" s="7"/>
      <c r="G1405" s="7"/>
    </row>
    <row r="1406" spans="2:7" ht="15" x14ac:dyDescent="0.25">
      <c r="B1406" s="7"/>
      <c r="C1406" s="7"/>
      <c r="D1406" s="7"/>
      <c r="E1406" s="7"/>
      <c r="F1406" s="7"/>
      <c r="G1406" s="7"/>
    </row>
    <row r="1407" spans="2:7" ht="15" x14ac:dyDescent="0.25">
      <c r="B1407" s="7"/>
      <c r="C1407" s="7"/>
      <c r="D1407" s="7"/>
      <c r="E1407" s="7"/>
      <c r="F1407" s="7"/>
      <c r="G1407" s="7"/>
    </row>
    <row r="1408" spans="2:7" ht="15" x14ac:dyDescent="0.25">
      <c r="B1408" s="7"/>
      <c r="C1408" s="7"/>
      <c r="D1408" s="7"/>
      <c r="E1408" s="7"/>
      <c r="F1408" s="7"/>
      <c r="G1408" s="7"/>
    </row>
    <row r="1409" spans="2:7" ht="15" x14ac:dyDescent="0.25">
      <c r="B1409" s="7"/>
      <c r="C1409" s="7"/>
      <c r="D1409" s="7"/>
      <c r="E1409" s="7"/>
      <c r="F1409" s="7"/>
      <c r="G1409" s="7"/>
    </row>
    <row r="1410" spans="2:7" ht="15" x14ac:dyDescent="0.25">
      <c r="B1410" s="7"/>
      <c r="C1410" s="7"/>
      <c r="D1410" s="7"/>
      <c r="E1410" s="7"/>
      <c r="F1410" s="7"/>
      <c r="G1410" s="7"/>
    </row>
    <row r="1411" spans="2:7" ht="15" x14ac:dyDescent="0.25">
      <c r="B1411" s="7"/>
      <c r="C1411" s="7"/>
      <c r="D1411" s="7"/>
      <c r="E1411" s="7"/>
      <c r="F1411" s="7"/>
      <c r="G1411" s="7"/>
    </row>
    <row r="1412" spans="2:7" ht="15" x14ac:dyDescent="0.25">
      <c r="B1412" s="7"/>
      <c r="C1412" s="7"/>
      <c r="D1412" s="7"/>
      <c r="E1412" s="7"/>
      <c r="F1412" s="7"/>
      <c r="G1412" s="7"/>
    </row>
    <row r="1413" spans="2:7" ht="15" x14ac:dyDescent="0.25">
      <c r="B1413" s="7"/>
      <c r="C1413" s="7"/>
      <c r="D1413" s="7"/>
      <c r="E1413" s="7"/>
      <c r="F1413" s="7"/>
      <c r="G1413" s="7"/>
    </row>
    <row r="1414" spans="2:7" ht="15" x14ac:dyDescent="0.25">
      <c r="B1414" s="7"/>
      <c r="C1414" s="7"/>
      <c r="D1414" s="7"/>
      <c r="E1414" s="7"/>
      <c r="F1414" s="7"/>
      <c r="G1414" s="7"/>
    </row>
    <row r="1415" spans="2:7" ht="15" x14ac:dyDescent="0.25">
      <c r="B1415" s="7"/>
      <c r="C1415" s="7"/>
      <c r="D1415" s="7"/>
      <c r="E1415" s="7"/>
      <c r="F1415" s="7"/>
      <c r="G1415" s="7"/>
    </row>
    <row r="1416" spans="2:7" ht="15" x14ac:dyDescent="0.25">
      <c r="B1416" s="7"/>
      <c r="C1416" s="7"/>
      <c r="D1416" s="7"/>
      <c r="E1416" s="7"/>
      <c r="F1416" s="7"/>
      <c r="G1416" s="7"/>
    </row>
    <row r="1417" spans="2:7" ht="15" x14ac:dyDescent="0.25">
      <c r="B1417" s="7"/>
      <c r="C1417" s="7"/>
      <c r="D1417" s="7"/>
      <c r="E1417" s="7"/>
      <c r="F1417" s="7"/>
      <c r="G1417" s="7"/>
    </row>
    <row r="1418" spans="2:7" ht="15" x14ac:dyDescent="0.25">
      <c r="B1418" s="7"/>
      <c r="C1418" s="7"/>
      <c r="D1418" s="7"/>
      <c r="E1418" s="7"/>
      <c r="F1418" s="7"/>
      <c r="G1418" s="7"/>
    </row>
    <row r="1419" spans="2:7" ht="15" x14ac:dyDescent="0.25">
      <c r="B1419" s="7"/>
      <c r="C1419" s="7"/>
      <c r="D1419" s="7"/>
      <c r="E1419" s="7"/>
      <c r="F1419" s="7"/>
      <c r="G1419" s="7"/>
    </row>
    <row r="1420" spans="2:7" ht="15" x14ac:dyDescent="0.25">
      <c r="B1420" s="7"/>
      <c r="C1420" s="7"/>
      <c r="D1420" s="7"/>
      <c r="E1420" s="7"/>
      <c r="F1420" s="7"/>
      <c r="G1420" s="7"/>
    </row>
    <row r="1421" spans="2:7" ht="15" x14ac:dyDescent="0.25">
      <c r="B1421" s="7"/>
      <c r="C1421" s="7"/>
      <c r="D1421" s="7"/>
      <c r="E1421" s="7"/>
      <c r="F1421" s="7"/>
      <c r="G1421" s="7"/>
    </row>
    <row r="1422" spans="2:7" ht="15" x14ac:dyDescent="0.25">
      <c r="B1422" s="7"/>
      <c r="C1422" s="7"/>
      <c r="D1422" s="7"/>
      <c r="E1422" s="7"/>
      <c r="F1422" s="7"/>
      <c r="G1422" s="7"/>
    </row>
    <row r="1423" spans="2:7" ht="15" x14ac:dyDescent="0.25">
      <c r="B1423" s="7"/>
      <c r="C1423" s="7"/>
      <c r="D1423" s="7"/>
      <c r="E1423" s="7"/>
      <c r="F1423" s="7"/>
      <c r="G1423" s="7"/>
    </row>
    <row r="1424" spans="2:7" ht="15" x14ac:dyDescent="0.25">
      <c r="B1424" s="7"/>
      <c r="C1424" s="7"/>
      <c r="D1424" s="7"/>
      <c r="E1424" s="7"/>
      <c r="F1424" s="7"/>
      <c r="G1424" s="7"/>
    </row>
    <row r="1425" spans="2:7" ht="15" x14ac:dyDescent="0.25">
      <c r="B1425" s="7"/>
      <c r="C1425" s="7"/>
      <c r="D1425" s="7"/>
      <c r="E1425" s="7"/>
      <c r="F1425" s="7"/>
      <c r="G1425" s="7"/>
    </row>
    <row r="1426" spans="2:7" ht="15" x14ac:dyDescent="0.25">
      <c r="B1426" s="7"/>
      <c r="C1426" s="7"/>
      <c r="D1426" s="7"/>
      <c r="E1426" s="7"/>
      <c r="F1426" s="7"/>
      <c r="G1426" s="7"/>
    </row>
    <row r="1427" spans="2:7" ht="15" x14ac:dyDescent="0.25">
      <c r="B1427" s="7"/>
      <c r="C1427" s="7"/>
      <c r="D1427" s="7"/>
      <c r="E1427" s="7"/>
      <c r="F1427" s="7"/>
      <c r="G1427" s="7"/>
    </row>
    <row r="1428" spans="2:7" ht="15" x14ac:dyDescent="0.25">
      <c r="B1428" s="7"/>
      <c r="C1428" s="7"/>
      <c r="D1428" s="7"/>
      <c r="E1428" s="7"/>
      <c r="F1428" s="7"/>
      <c r="G1428" s="7"/>
    </row>
    <row r="1429" spans="2:7" ht="15" x14ac:dyDescent="0.25">
      <c r="B1429" s="7"/>
      <c r="C1429" s="7"/>
      <c r="D1429" s="7"/>
      <c r="E1429" s="7"/>
      <c r="F1429" s="7"/>
      <c r="G1429" s="7"/>
    </row>
    <row r="1430" spans="2:7" ht="15" x14ac:dyDescent="0.25">
      <c r="B1430" s="7"/>
      <c r="C1430" s="7"/>
      <c r="D1430" s="7"/>
      <c r="E1430" s="7"/>
      <c r="F1430" s="7"/>
      <c r="G1430" s="7"/>
    </row>
    <row r="1431" spans="2:7" ht="15" x14ac:dyDescent="0.25">
      <c r="B1431" s="7"/>
      <c r="C1431" s="7"/>
      <c r="D1431" s="7"/>
      <c r="E1431" s="7"/>
      <c r="F1431" s="7"/>
      <c r="G1431" s="7"/>
    </row>
    <row r="1432" spans="2:7" ht="15" x14ac:dyDescent="0.25">
      <c r="B1432" s="7"/>
      <c r="C1432" s="7"/>
      <c r="D1432" s="7"/>
      <c r="E1432" s="7"/>
      <c r="F1432" s="7"/>
      <c r="G1432" s="7"/>
    </row>
    <row r="1433" spans="2:7" ht="15" x14ac:dyDescent="0.25">
      <c r="B1433" s="7"/>
      <c r="C1433" s="7"/>
      <c r="D1433" s="7"/>
      <c r="E1433" s="7"/>
      <c r="F1433" s="7"/>
      <c r="G1433" s="7"/>
    </row>
    <row r="1434" spans="2:7" ht="15" x14ac:dyDescent="0.25">
      <c r="B1434" s="7"/>
      <c r="C1434" s="7"/>
      <c r="D1434" s="7"/>
      <c r="E1434" s="7"/>
      <c r="F1434" s="7"/>
      <c r="G1434" s="7"/>
    </row>
    <row r="1435" spans="2:7" ht="15" x14ac:dyDescent="0.25">
      <c r="B1435" s="7"/>
      <c r="C1435" s="7"/>
      <c r="D1435" s="7"/>
      <c r="E1435" s="7"/>
      <c r="F1435" s="7"/>
      <c r="G1435" s="7"/>
    </row>
    <row r="1436" spans="2:7" ht="15" x14ac:dyDescent="0.25">
      <c r="B1436" s="7"/>
      <c r="C1436" s="7"/>
      <c r="D1436" s="7"/>
      <c r="E1436" s="7"/>
      <c r="F1436" s="7"/>
      <c r="G1436" s="7"/>
    </row>
    <row r="1437" spans="2:7" ht="15" x14ac:dyDescent="0.25">
      <c r="B1437" s="7"/>
      <c r="C1437" s="7"/>
      <c r="D1437" s="7"/>
      <c r="E1437" s="7"/>
      <c r="F1437" s="7"/>
      <c r="G1437" s="7"/>
    </row>
    <row r="1438" spans="2:7" ht="15" x14ac:dyDescent="0.25">
      <c r="B1438" s="7"/>
      <c r="C1438" s="7"/>
      <c r="D1438" s="7"/>
      <c r="E1438" s="7"/>
      <c r="F1438" s="7"/>
      <c r="G1438" s="7"/>
    </row>
    <row r="1439" spans="2:7" ht="15" x14ac:dyDescent="0.25">
      <c r="B1439" s="7"/>
      <c r="C1439" s="7"/>
      <c r="D1439" s="7"/>
      <c r="E1439" s="7"/>
      <c r="F1439" s="7"/>
      <c r="G1439" s="7"/>
    </row>
    <row r="1440" spans="2:7" ht="15" x14ac:dyDescent="0.25">
      <c r="B1440" s="7"/>
      <c r="C1440" s="7"/>
      <c r="D1440" s="7"/>
      <c r="E1440" s="7"/>
      <c r="F1440" s="7"/>
      <c r="G1440" s="7"/>
    </row>
    <row r="1441" spans="2:7" ht="15" x14ac:dyDescent="0.25">
      <c r="B1441" s="7"/>
      <c r="C1441" s="7"/>
      <c r="D1441" s="7"/>
      <c r="E1441" s="7"/>
      <c r="F1441" s="7"/>
      <c r="G1441" s="7"/>
    </row>
    <row r="1442" spans="2:7" ht="15" x14ac:dyDescent="0.25">
      <c r="B1442" s="7"/>
      <c r="C1442" s="7"/>
      <c r="D1442" s="7"/>
      <c r="E1442" s="7"/>
      <c r="F1442" s="7"/>
      <c r="G1442" s="7"/>
    </row>
    <row r="1443" spans="2:7" ht="15" x14ac:dyDescent="0.25">
      <c r="B1443" s="7"/>
      <c r="C1443" s="7"/>
      <c r="D1443" s="7"/>
      <c r="E1443" s="7"/>
      <c r="F1443" s="7"/>
      <c r="G1443" s="7"/>
    </row>
    <row r="1444" spans="2:7" ht="15" x14ac:dyDescent="0.25">
      <c r="B1444" s="7"/>
      <c r="C1444" s="7"/>
      <c r="D1444" s="7"/>
      <c r="E1444" s="7"/>
      <c r="F1444" s="7"/>
      <c r="G1444" s="7"/>
    </row>
    <row r="1445" spans="2:7" ht="15" x14ac:dyDescent="0.25">
      <c r="B1445" s="7"/>
      <c r="C1445" s="7"/>
      <c r="D1445" s="7"/>
      <c r="E1445" s="7"/>
      <c r="F1445" s="7"/>
      <c r="G1445" s="7"/>
    </row>
    <row r="1446" spans="2:7" ht="15" x14ac:dyDescent="0.25">
      <c r="B1446" s="7"/>
      <c r="C1446" s="7"/>
      <c r="D1446" s="7"/>
      <c r="E1446" s="7"/>
      <c r="F1446" s="7"/>
      <c r="G1446" s="7"/>
    </row>
    <row r="1447" spans="2:7" ht="15" x14ac:dyDescent="0.25">
      <c r="B1447" s="7"/>
      <c r="C1447" s="7"/>
      <c r="D1447" s="7"/>
      <c r="E1447" s="7"/>
      <c r="F1447" s="7"/>
      <c r="G1447" s="7"/>
    </row>
    <row r="1448" spans="2:7" ht="15" x14ac:dyDescent="0.25">
      <c r="B1448" s="7"/>
      <c r="C1448" s="7"/>
      <c r="D1448" s="7"/>
      <c r="E1448" s="7"/>
      <c r="F1448" s="7"/>
      <c r="G1448" s="7"/>
    </row>
    <row r="1449" spans="2:7" ht="15" x14ac:dyDescent="0.25">
      <c r="B1449" s="7"/>
      <c r="C1449" s="7"/>
      <c r="D1449" s="7"/>
      <c r="E1449" s="7"/>
      <c r="F1449" s="7"/>
      <c r="G1449" s="7"/>
    </row>
    <row r="1450" spans="2:7" ht="15" x14ac:dyDescent="0.25">
      <c r="B1450" s="7"/>
      <c r="C1450" s="7"/>
      <c r="D1450" s="7"/>
      <c r="E1450" s="7"/>
      <c r="F1450" s="7"/>
      <c r="G1450" s="7"/>
    </row>
    <row r="1451" spans="2:7" ht="15" x14ac:dyDescent="0.25">
      <c r="B1451" s="7"/>
      <c r="C1451" s="7"/>
      <c r="D1451" s="7"/>
      <c r="E1451" s="7"/>
      <c r="F1451" s="7"/>
      <c r="G1451" s="7"/>
    </row>
    <row r="1452" spans="2:7" ht="15" x14ac:dyDescent="0.25">
      <c r="B1452" s="7"/>
      <c r="C1452" s="7"/>
      <c r="D1452" s="7"/>
      <c r="E1452" s="7"/>
      <c r="F1452" s="7"/>
      <c r="G1452" s="7"/>
    </row>
    <row r="1453" spans="2:7" ht="15" x14ac:dyDescent="0.25">
      <c r="B1453" s="7"/>
      <c r="C1453" s="7"/>
      <c r="D1453" s="7"/>
      <c r="E1453" s="7"/>
      <c r="F1453" s="7"/>
      <c r="G1453" s="7"/>
    </row>
    <row r="1454" spans="2:7" ht="15" x14ac:dyDescent="0.25">
      <c r="B1454" s="7"/>
      <c r="C1454" s="7"/>
      <c r="D1454" s="7"/>
      <c r="E1454" s="7"/>
      <c r="F1454" s="7"/>
      <c r="G1454" s="7"/>
    </row>
    <row r="1455" spans="2:7" ht="15" x14ac:dyDescent="0.25">
      <c r="B1455" s="7"/>
      <c r="C1455" s="7"/>
      <c r="D1455" s="7"/>
      <c r="E1455" s="7"/>
      <c r="F1455" s="7"/>
      <c r="G1455" s="7"/>
    </row>
    <row r="1456" spans="2:7" ht="15" x14ac:dyDescent="0.25">
      <c r="B1456" s="7"/>
      <c r="C1456" s="7"/>
      <c r="D1456" s="7"/>
      <c r="E1456" s="7"/>
      <c r="F1456" s="7"/>
      <c r="G1456" s="7"/>
    </row>
    <row r="1457" spans="2:7" ht="15" x14ac:dyDescent="0.25">
      <c r="B1457" s="7"/>
      <c r="C1457" s="7"/>
      <c r="D1457" s="7"/>
      <c r="E1457" s="7"/>
      <c r="F1457" s="7"/>
      <c r="G1457" s="7"/>
    </row>
    <row r="1458" spans="2:7" ht="15" x14ac:dyDescent="0.25">
      <c r="B1458" s="7"/>
      <c r="C1458" s="7"/>
      <c r="D1458" s="7"/>
      <c r="E1458" s="7"/>
      <c r="F1458" s="7"/>
      <c r="G1458" s="7"/>
    </row>
    <row r="1459" spans="2:7" ht="15" x14ac:dyDescent="0.25">
      <c r="B1459" s="7"/>
      <c r="C1459" s="7"/>
      <c r="D1459" s="7"/>
      <c r="E1459" s="7"/>
      <c r="F1459" s="7"/>
      <c r="G1459" s="7"/>
    </row>
    <row r="1460" spans="2:7" ht="15" x14ac:dyDescent="0.25">
      <c r="B1460" s="7"/>
      <c r="C1460" s="7"/>
      <c r="D1460" s="7"/>
      <c r="E1460" s="7"/>
      <c r="F1460" s="7"/>
      <c r="G1460" s="7"/>
    </row>
    <row r="1461" spans="2:7" ht="15" x14ac:dyDescent="0.25">
      <c r="B1461" s="7"/>
      <c r="C1461" s="7"/>
      <c r="D1461" s="7"/>
      <c r="E1461" s="7"/>
      <c r="F1461" s="7"/>
      <c r="G1461" s="7"/>
    </row>
    <row r="1462" spans="2:7" ht="15" x14ac:dyDescent="0.25">
      <c r="B1462" s="7"/>
      <c r="C1462" s="7"/>
      <c r="D1462" s="7"/>
      <c r="E1462" s="7"/>
      <c r="F1462" s="7"/>
      <c r="G1462" s="7"/>
    </row>
    <row r="1463" spans="2:7" ht="15" x14ac:dyDescent="0.25">
      <c r="B1463" s="7"/>
      <c r="C1463" s="7"/>
      <c r="D1463" s="7"/>
      <c r="E1463" s="7"/>
      <c r="F1463" s="7"/>
      <c r="G1463" s="7"/>
    </row>
    <row r="1464" spans="2:7" ht="15" x14ac:dyDescent="0.25">
      <c r="B1464" s="7"/>
      <c r="C1464" s="7"/>
      <c r="D1464" s="7"/>
      <c r="E1464" s="7"/>
      <c r="F1464" s="7"/>
      <c r="G1464" s="7"/>
    </row>
    <row r="1465" spans="2:7" ht="15" x14ac:dyDescent="0.25">
      <c r="B1465" s="7"/>
      <c r="C1465" s="7"/>
      <c r="D1465" s="7"/>
      <c r="E1465" s="7"/>
      <c r="F1465" s="7"/>
      <c r="G1465" s="7"/>
    </row>
    <row r="1466" spans="2:7" ht="15" x14ac:dyDescent="0.25">
      <c r="B1466" s="7"/>
      <c r="C1466" s="7"/>
      <c r="D1466" s="7"/>
      <c r="E1466" s="7"/>
      <c r="F1466" s="7"/>
      <c r="G1466" s="7"/>
    </row>
    <row r="1467" spans="2:7" ht="15" x14ac:dyDescent="0.25">
      <c r="B1467" s="7"/>
      <c r="C1467" s="7"/>
      <c r="D1467" s="7"/>
      <c r="E1467" s="7"/>
      <c r="F1467" s="7"/>
      <c r="G1467" s="7"/>
    </row>
    <row r="1468" spans="2:7" ht="15" x14ac:dyDescent="0.25">
      <c r="B1468" s="7"/>
      <c r="C1468" s="7"/>
      <c r="D1468" s="7"/>
      <c r="E1468" s="7"/>
      <c r="F1468" s="7"/>
      <c r="G1468" s="7"/>
    </row>
    <row r="1469" spans="2:7" ht="15" x14ac:dyDescent="0.25">
      <c r="B1469" s="7"/>
      <c r="C1469" s="7"/>
      <c r="D1469" s="7"/>
      <c r="E1469" s="7"/>
      <c r="F1469" s="7"/>
      <c r="G1469" s="7"/>
    </row>
    <row r="1470" spans="2:7" ht="15" x14ac:dyDescent="0.25">
      <c r="B1470" s="7"/>
      <c r="C1470" s="7"/>
      <c r="D1470" s="7"/>
      <c r="E1470" s="7"/>
      <c r="F1470" s="7"/>
      <c r="G1470" s="7"/>
    </row>
    <row r="1471" spans="2:7" ht="15" x14ac:dyDescent="0.25">
      <c r="B1471" s="7"/>
      <c r="C1471" s="7"/>
      <c r="D1471" s="7"/>
      <c r="E1471" s="7"/>
      <c r="F1471" s="7"/>
      <c r="G1471" s="7"/>
    </row>
    <row r="1472" spans="2:7" ht="15" x14ac:dyDescent="0.25">
      <c r="B1472" s="7"/>
      <c r="C1472" s="7"/>
      <c r="D1472" s="7"/>
      <c r="E1472" s="7"/>
      <c r="F1472" s="7"/>
      <c r="G1472" s="7"/>
    </row>
    <row r="1473" spans="2:7" ht="15" x14ac:dyDescent="0.25">
      <c r="B1473" s="7"/>
      <c r="C1473" s="7"/>
      <c r="D1473" s="7"/>
      <c r="E1473" s="7"/>
      <c r="F1473" s="7"/>
      <c r="G1473" s="7"/>
    </row>
    <row r="1474" spans="2:7" ht="15" x14ac:dyDescent="0.25">
      <c r="B1474" s="7"/>
      <c r="C1474" s="7"/>
      <c r="D1474" s="7"/>
      <c r="E1474" s="7"/>
      <c r="F1474" s="7"/>
      <c r="G1474" s="7"/>
    </row>
    <row r="1475" spans="2:7" ht="15" x14ac:dyDescent="0.25">
      <c r="B1475" s="7"/>
      <c r="C1475" s="7"/>
      <c r="D1475" s="7"/>
      <c r="E1475" s="7"/>
      <c r="F1475" s="7"/>
      <c r="G1475" s="7"/>
    </row>
    <row r="1476" spans="2:7" ht="15" x14ac:dyDescent="0.25">
      <c r="B1476" s="7"/>
      <c r="C1476" s="7"/>
      <c r="D1476" s="7"/>
      <c r="E1476" s="7"/>
      <c r="F1476" s="7"/>
      <c r="G1476" s="7"/>
    </row>
    <row r="1477" spans="2:7" ht="15" x14ac:dyDescent="0.25">
      <c r="B1477" s="7"/>
      <c r="C1477" s="7"/>
      <c r="D1477" s="7"/>
      <c r="E1477" s="7"/>
      <c r="F1477" s="7"/>
      <c r="G1477" s="7"/>
    </row>
    <row r="1478" spans="2:7" ht="15" x14ac:dyDescent="0.25">
      <c r="B1478" s="7"/>
      <c r="C1478" s="7"/>
      <c r="D1478" s="7"/>
      <c r="E1478" s="7"/>
      <c r="F1478" s="7"/>
      <c r="G1478" s="7"/>
    </row>
    <row r="1479" spans="2:7" ht="15" x14ac:dyDescent="0.25">
      <c r="B1479" s="7"/>
      <c r="C1479" s="7"/>
      <c r="D1479" s="7"/>
      <c r="E1479" s="7"/>
      <c r="F1479" s="7"/>
      <c r="G1479" s="7"/>
    </row>
    <row r="1480" spans="2:7" ht="15" x14ac:dyDescent="0.25">
      <c r="B1480" s="7"/>
      <c r="C1480" s="7"/>
      <c r="D1480" s="7"/>
      <c r="E1480" s="7"/>
      <c r="F1480" s="7"/>
      <c r="G1480" s="7"/>
    </row>
    <row r="1481" spans="2:7" ht="15" x14ac:dyDescent="0.25">
      <c r="B1481" s="7"/>
      <c r="C1481" s="7"/>
      <c r="D1481" s="7"/>
      <c r="E1481" s="7"/>
      <c r="F1481" s="7"/>
      <c r="G1481" s="7"/>
    </row>
    <row r="1482" spans="2:7" ht="15" x14ac:dyDescent="0.25">
      <c r="B1482" s="7"/>
      <c r="C1482" s="7"/>
      <c r="D1482" s="7"/>
      <c r="E1482" s="7"/>
      <c r="F1482" s="7"/>
      <c r="G1482" s="7"/>
    </row>
    <row r="1483" spans="2:7" ht="15" x14ac:dyDescent="0.25">
      <c r="B1483" s="7"/>
      <c r="C1483" s="7"/>
      <c r="D1483" s="7"/>
      <c r="E1483" s="7"/>
      <c r="F1483" s="7"/>
      <c r="G1483" s="7"/>
    </row>
    <row r="1484" spans="2:7" ht="15" x14ac:dyDescent="0.25">
      <c r="B1484" s="7"/>
      <c r="C1484" s="7"/>
      <c r="D1484" s="7"/>
      <c r="E1484" s="7"/>
      <c r="F1484" s="7"/>
      <c r="G1484" s="7"/>
    </row>
    <row r="1485" spans="2:7" ht="15" x14ac:dyDescent="0.25">
      <c r="B1485" s="7"/>
      <c r="C1485" s="7"/>
      <c r="D1485" s="7"/>
      <c r="E1485" s="7"/>
      <c r="F1485" s="7"/>
      <c r="G1485" s="7"/>
    </row>
    <row r="1486" spans="2:7" ht="15" x14ac:dyDescent="0.25">
      <c r="B1486" s="7"/>
      <c r="C1486" s="7"/>
      <c r="D1486" s="7"/>
      <c r="E1486" s="7"/>
      <c r="F1486" s="7"/>
      <c r="G1486" s="7"/>
    </row>
    <row r="1487" spans="2:7" ht="15" x14ac:dyDescent="0.25">
      <c r="B1487" s="7"/>
      <c r="C1487" s="7"/>
      <c r="D1487" s="7"/>
      <c r="E1487" s="7"/>
      <c r="F1487" s="7"/>
      <c r="G1487" s="7"/>
    </row>
    <row r="1488" spans="2:7" ht="15" x14ac:dyDescent="0.25">
      <c r="B1488" s="7"/>
      <c r="C1488" s="7"/>
      <c r="D1488" s="7"/>
      <c r="E1488" s="7"/>
      <c r="F1488" s="7"/>
      <c r="G1488" s="7"/>
    </row>
    <row r="1489" spans="2:7" ht="15" x14ac:dyDescent="0.25">
      <c r="B1489" s="7"/>
      <c r="C1489" s="7"/>
      <c r="D1489" s="7"/>
      <c r="E1489" s="7"/>
      <c r="F1489" s="7"/>
      <c r="G1489" s="7"/>
    </row>
    <row r="1490" spans="2:7" ht="15" x14ac:dyDescent="0.25">
      <c r="B1490" s="7"/>
      <c r="C1490" s="7"/>
      <c r="D1490" s="7"/>
      <c r="E1490" s="7"/>
      <c r="F1490" s="7"/>
      <c r="G1490" s="7"/>
    </row>
    <row r="1491" spans="2:7" ht="15" x14ac:dyDescent="0.25">
      <c r="B1491" s="7"/>
      <c r="C1491" s="7"/>
      <c r="D1491" s="7"/>
      <c r="E1491" s="7"/>
      <c r="F1491" s="7"/>
      <c r="G1491" s="7"/>
    </row>
    <row r="1492" spans="2:7" ht="15" x14ac:dyDescent="0.25">
      <c r="B1492" s="7"/>
      <c r="C1492" s="7"/>
      <c r="D1492" s="7"/>
      <c r="E1492" s="7"/>
      <c r="F1492" s="7"/>
      <c r="G1492" s="7"/>
    </row>
    <row r="1493" spans="2:7" ht="15" x14ac:dyDescent="0.25">
      <c r="B1493" s="7"/>
      <c r="C1493" s="7"/>
      <c r="D1493" s="7"/>
      <c r="E1493" s="7"/>
      <c r="F1493" s="7"/>
      <c r="G1493" s="7"/>
    </row>
    <row r="1494" spans="2:7" ht="15" x14ac:dyDescent="0.25">
      <c r="B1494" s="7"/>
      <c r="C1494" s="7"/>
      <c r="D1494" s="7"/>
      <c r="E1494" s="7"/>
      <c r="F1494" s="7"/>
      <c r="G1494" s="7"/>
    </row>
    <row r="1495" spans="2:7" ht="15" x14ac:dyDescent="0.25">
      <c r="B1495" s="7"/>
      <c r="C1495" s="7"/>
      <c r="D1495" s="7"/>
      <c r="E1495" s="7"/>
      <c r="F1495" s="7"/>
      <c r="G1495" s="7"/>
    </row>
    <row r="1496" spans="2:7" ht="15" x14ac:dyDescent="0.25">
      <c r="B1496" s="7"/>
      <c r="C1496" s="7"/>
      <c r="D1496" s="7"/>
      <c r="E1496" s="7"/>
      <c r="F1496" s="7"/>
      <c r="G1496" s="7"/>
    </row>
    <row r="1497" spans="2:7" ht="15" x14ac:dyDescent="0.25">
      <c r="B1497" s="7"/>
      <c r="C1497" s="7"/>
      <c r="D1497" s="7"/>
      <c r="E1497" s="7"/>
      <c r="F1497" s="7"/>
      <c r="G1497" s="7"/>
    </row>
    <row r="1498" spans="2:7" ht="15" x14ac:dyDescent="0.25">
      <c r="B1498" s="7"/>
      <c r="C1498" s="7"/>
      <c r="D1498" s="7"/>
      <c r="E1498" s="7"/>
      <c r="F1498" s="7"/>
      <c r="G1498" s="7"/>
    </row>
    <row r="1499" spans="2:7" ht="15" x14ac:dyDescent="0.25">
      <c r="B1499" s="7"/>
      <c r="C1499" s="7"/>
      <c r="D1499" s="7"/>
      <c r="E1499" s="7"/>
      <c r="F1499" s="7"/>
      <c r="G1499" s="7"/>
    </row>
    <row r="1500" spans="2:7" ht="15" x14ac:dyDescent="0.25">
      <c r="B1500" s="7"/>
      <c r="C1500" s="7"/>
      <c r="D1500" s="7"/>
      <c r="E1500" s="7"/>
      <c r="F1500" s="7"/>
      <c r="G1500" s="7"/>
    </row>
    <row r="1501" spans="2:7" ht="15" x14ac:dyDescent="0.25">
      <c r="B1501" s="7"/>
      <c r="C1501" s="7"/>
      <c r="D1501" s="7"/>
      <c r="E1501" s="7"/>
      <c r="F1501" s="7"/>
      <c r="G1501" s="7"/>
    </row>
    <row r="1502" spans="2:7" ht="15" x14ac:dyDescent="0.25">
      <c r="B1502" s="7"/>
      <c r="C1502" s="7"/>
      <c r="D1502" s="7"/>
      <c r="E1502" s="7"/>
      <c r="F1502" s="7"/>
      <c r="G1502" s="7"/>
    </row>
    <row r="1503" spans="2:7" ht="15" x14ac:dyDescent="0.25">
      <c r="B1503" s="7"/>
      <c r="C1503" s="7"/>
      <c r="D1503" s="7"/>
      <c r="E1503" s="7"/>
      <c r="F1503" s="7"/>
      <c r="G1503" s="7"/>
    </row>
    <row r="1504" spans="2:7" ht="15" x14ac:dyDescent="0.25">
      <c r="B1504" s="7"/>
      <c r="C1504" s="7"/>
      <c r="D1504" s="7"/>
      <c r="E1504" s="7"/>
      <c r="F1504" s="7"/>
      <c r="G1504" s="7"/>
    </row>
    <row r="1505" spans="2:7" ht="15" x14ac:dyDescent="0.25">
      <c r="B1505" s="7"/>
      <c r="C1505" s="7"/>
      <c r="D1505" s="7"/>
      <c r="E1505" s="7"/>
      <c r="F1505" s="7"/>
      <c r="G1505" s="7"/>
    </row>
    <row r="1506" spans="2:7" ht="15" x14ac:dyDescent="0.25">
      <c r="B1506" s="7"/>
      <c r="C1506" s="7"/>
      <c r="D1506" s="7"/>
      <c r="E1506" s="7"/>
      <c r="F1506" s="7"/>
      <c r="G1506" s="7"/>
    </row>
    <row r="1507" spans="2:7" ht="15" x14ac:dyDescent="0.25">
      <c r="B1507" s="7"/>
      <c r="C1507" s="7"/>
      <c r="D1507" s="7"/>
      <c r="E1507" s="7"/>
      <c r="F1507" s="7"/>
      <c r="G1507" s="7"/>
    </row>
    <row r="1508" spans="2:7" ht="15" x14ac:dyDescent="0.25">
      <c r="B1508" s="7"/>
      <c r="C1508" s="7"/>
      <c r="D1508" s="7"/>
      <c r="E1508" s="7"/>
      <c r="F1508" s="7"/>
      <c r="G1508" s="7"/>
    </row>
    <row r="1509" spans="2:7" ht="15" x14ac:dyDescent="0.25">
      <c r="B1509" s="7"/>
      <c r="C1509" s="7"/>
      <c r="D1509" s="7"/>
      <c r="E1509" s="7"/>
      <c r="F1509" s="7"/>
      <c r="G1509" s="7"/>
    </row>
    <row r="1510" spans="2:7" ht="15" x14ac:dyDescent="0.25">
      <c r="B1510" s="7"/>
      <c r="C1510" s="7"/>
      <c r="D1510" s="7"/>
      <c r="E1510" s="7"/>
      <c r="F1510" s="7"/>
      <c r="G1510" s="7"/>
    </row>
    <row r="1511" spans="2:7" ht="15" x14ac:dyDescent="0.25">
      <c r="B1511" s="7"/>
      <c r="C1511" s="7"/>
      <c r="D1511" s="7"/>
      <c r="E1511" s="7"/>
      <c r="F1511" s="7"/>
      <c r="G1511" s="7"/>
    </row>
    <row r="1512" spans="2:7" ht="15" x14ac:dyDescent="0.25">
      <c r="B1512" s="7"/>
      <c r="C1512" s="7"/>
      <c r="D1512" s="7"/>
      <c r="E1512" s="7"/>
      <c r="F1512" s="7"/>
      <c r="G1512" s="7"/>
    </row>
    <row r="1513" spans="2:7" ht="15" x14ac:dyDescent="0.25">
      <c r="B1513" s="7"/>
      <c r="C1513" s="7"/>
      <c r="D1513" s="7"/>
      <c r="E1513" s="7"/>
      <c r="F1513" s="7"/>
      <c r="G1513" s="7"/>
    </row>
    <row r="1514" spans="2:7" ht="15" x14ac:dyDescent="0.25">
      <c r="B1514" s="7"/>
      <c r="C1514" s="7"/>
      <c r="D1514" s="7"/>
      <c r="E1514" s="7"/>
      <c r="F1514" s="7"/>
      <c r="G1514" s="7"/>
    </row>
    <row r="1515" spans="2:7" ht="15" x14ac:dyDescent="0.25">
      <c r="B1515" s="7"/>
      <c r="C1515" s="7"/>
      <c r="D1515" s="7"/>
      <c r="E1515" s="7"/>
      <c r="F1515" s="7"/>
      <c r="G1515" s="7"/>
    </row>
    <row r="1516" spans="2:7" ht="15" x14ac:dyDescent="0.25">
      <c r="B1516" s="7"/>
      <c r="C1516" s="7"/>
      <c r="D1516" s="7"/>
      <c r="E1516" s="7"/>
      <c r="F1516" s="7"/>
      <c r="G1516" s="7"/>
    </row>
    <row r="1517" spans="2:7" ht="15" x14ac:dyDescent="0.25">
      <c r="B1517" s="7"/>
      <c r="C1517" s="7"/>
      <c r="D1517" s="7"/>
      <c r="E1517" s="7"/>
      <c r="F1517" s="7"/>
      <c r="G1517" s="7"/>
    </row>
    <row r="1518" spans="2:7" ht="15" x14ac:dyDescent="0.25">
      <c r="B1518" s="7"/>
      <c r="C1518" s="7"/>
      <c r="D1518" s="7"/>
      <c r="E1518" s="7"/>
      <c r="F1518" s="7"/>
      <c r="G1518" s="7"/>
    </row>
    <row r="1519" spans="2:7" ht="15" x14ac:dyDescent="0.25">
      <c r="B1519" s="7"/>
      <c r="C1519" s="7"/>
      <c r="D1519" s="7"/>
      <c r="E1519" s="7"/>
      <c r="F1519" s="7"/>
      <c r="G1519" s="7"/>
    </row>
    <row r="1520" spans="2:7" ht="15" x14ac:dyDescent="0.25">
      <c r="B1520" s="7"/>
      <c r="C1520" s="7"/>
      <c r="D1520" s="7"/>
      <c r="E1520" s="7"/>
      <c r="F1520" s="7"/>
      <c r="G1520" s="7"/>
    </row>
    <row r="1521" spans="2:7" ht="15" x14ac:dyDescent="0.25">
      <c r="B1521" s="7"/>
      <c r="C1521" s="7"/>
      <c r="D1521" s="7"/>
      <c r="E1521" s="7"/>
      <c r="F1521" s="7"/>
      <c r="G1521" s="7"/>
    </row>
    <row r="1522" spans="2:7" ht="15" x14ac:dyDescent="0.25">
      <c r="B1522" s="7"/>
      <c r="C1522" s="7"/>
      <c r="D1522" s="7"/>
      <c r="E1522" s="7"/>
      <c r="F1522" s="7"/>
      <c r="G1522" s="7"/>
    </row>
    <row r="1523" spans="2:7" ht="15" x14ac:dyDescent="0.25">
      <c r="B1523" s="7"/>
      <c r="C1523" s="7"/>
      <c r="D1523" s="7"/>
      <c r="E1523" s="7"/>
      <c r="F1523" s="7"/>
      <c r="G1523" s="7"/>
    </row>
    <row r="1524" spans="2:7" ht="15" x14ac:dyDescent="0.25">
      <c r="B1524" s="7"/>
      <c r="C1524" s="7"/>
      <c r="D1524" s="7"/>
      <c r="E1524" s="7"/>
      <c r="F1524" s="7"/>
      <c r="G1524" s="7"/>
    </row>
    <row r="1525" spans="2:7" ht="15" x14ac:dyDescent="0.25">
      <c r="B1525" s="7"/>
      <c r="C1525" s="7"/>
      <c r="D1525" s="7"/>
      <c r="E1525" s="7"/>
      <c r="F1525" s="7"/>
      <c r="G1525" s="7"/>
    </row>
    <row r="1526" spans="2:7" ht="15" x14ac:dyDescent="0.25">
      <c r="B1526" s="7"/>
      <c r="C1526" s="7"/>
      <c r="D1526" s="7"/>
      <c r="E1526" s="7"/>
      <c r="F1526" s="7"/>
      <c r="G1526" s="7"/>
    </row>
    <row r="1527" spans="2:7" ht="15" x14ac:dyDescent="0.25">
      <c r="B1527" s="7"/>
      <c r="C1527" s="7"/>
      <c r="D1527" s="7"/>
      <c r="E1527" s="7"/>
      <c r="F1527" s="7"/>
      <c r="G1527" s="7"/>
    </row>
    <row r="1528" spans="2:7" ht="15" x14ac:dyDescent="0.25">
      <c r="B1528" s="7"/>
      <c r="C1528" s="7"/>
      <c r="D1528" s="7"/>
      <c r="E1528" s="7"/>
      <c r="F1528" s="7"/>
      <c r="G1528" s="7"/>
    </row>
    <row r="1529" spans="2:7" ht="15" x14ac:dyDescent="0.25">
      <c r="B1529" s="7"/>
      <c r="C1529" s="7"/>
      <c r="D1529" s="7"/>
      <c r="E1529" s="7"/>
      <c r="F1529" s="7"/>
      <c r="G1529" s="7"/>
    </row>
    <row r="1530" spans="2:7" ht="15" x14ac:dyDescent="0.25">
      <c r="B1530" s="7"/>
      <c r="C1530" s="7"/>
      <c r="D1530" s="7"/>
      <c r="E1530" s="7"/>
      <c r="F1530" s="7"/>
      <c r="G1530" s="7"/>
    </row>
    <row r="1531" spans="2:7" ht="15" x14ac:dyDescent="0.25">
      <c r="B1531" s="7"/>
      <c r="C1531" s="7"/>
      <c r="D1531" s="7"/>
      <c r="E1531" s="7"/>
      <c r="F1531" s="7"/>
      <c r="G1531" s="7"/>
    </row>
    <row r="1532" spans="2:7" ht="15" x14ac:dyDescent="0.25">
      <c r="B1532" s="7"/>
      <c r="C1532" s="7"/>
      <c r="D1532" s="7"/>
      <c r="E1532" s="7"/>
      <c r="F1532" s="7"/>
      <c r="G1532" s="7"/>
    </row>
    <row r="1533" spans="2:7" ht="15" x14ac:dyDescent="0.25">
      <c r="B1533" s="7"/>
      <c r="C1533" s="7"/>
      <c r="D1533" s="7"/>
      <c r="E1533" s="7"/>
      <c r="F1533" s="7"/>
      <c r="G1533" s="7"/>
    </row>
    <row r="1534" spans="2:7" ht="15" x14ac:dyDescent="0.25">
      <c r="B1534" s="7"/>
      <c r="C1534" s="7"/>
      <c r="D1534" s="7"/>
      <c r="E1534" s="7"/>
      <c r="F1534" s="7"/>
      <c r="G1534" s="7"/>
    </row>
    <row r="1535" spans="2:7" ht="15" x14ac:dyDescent="0.25">
      <c r="B1535" s="7"/>
      <c r="C1535" s="7"/>
      <c r="D1535" s="7"/>
      <c r="E1535" s="7"/>
      <c r="F1535" s="7"/>
      <c r="G1535" s="7"/>
    </row>
    <row r="1536" spans="2:7" ht="15" x14ac:dyDescent="0.25">
      <c r="B1536" s="7"/>
      <c r="C1536" s="7"/>
      <c r="D1536" s="7"/>
      <c r="E1536" s="7"/>
      <c r="F1536" s="7"/>
      <c r="G1536" s="7"/>
    </row>
    <row r="1537" spans="2:7" ht="15" x14ac:dyDescent="0.25">
      <c r="B1537" s="7"/>
      <c r="C1537" s="7"/>
      <c r="D1537" s="7"/>
      <c r="E1537" s="7"/>
      <c r="F1537" s="7"/>
      <c r="G1537" s="7"/>
    </row>
    <row r="1538" spans="2:7" ht="15" x14ac:dyDescent="0.25">
      <c r="B1538" s="7"/>
      <c r="C1538" s="7"/>
      <c r="D1538" s="7"/>
      <c r="E1538" s="7"/>
      <c r="F1538" s="7"/>
      <c r="G1538" s="7"/>
    </row>
    <row r="1539" spans="2:7" ht="15" x14ac:dyDescent="0.25">
      <c r="B1539" s="7"/>
      <c r="C1539" s="7"/>
      <c r="D1539" s="7"/>
      <c r="E1539" s="7"/>
      <c r="F1539" s="7"/>
      <c r="G1539" s="7"/>
    </row>
    <row r="1540" spans="2:7" ht="15" x14ac:dyDescent="0.25">
      <c r="B1540" s="7"/>
      <c r="C1540" s="7"/>
      <c r="D1540" s="7"/>
      <c r="E1540" s="7"/>
      <c r="F1540" s="7"/>
      <c r="G1540" s="7"/>
    </row>
    <row r="1541" spans="2:7" ht="15" x14ac:dyDescent="0.25">
      <c r="B1541" s="7"/>
      <c r="C1541" s="7"/>
      <c r="D1541" s="7"/>
      <c r="E1541" s="7"/>
      <c r="F1541" s="7"/>
      <c r="G1541" s="7"/>
    </row>
    <row r="1542" spans="2:7" ht="15" x14ac:dyDescent="0.25">
      <c r="B1542" s="7"/>
      <c r="C1542" s="7"/>
      <c r="D1542" s="7"/>
      <c r="E1542" s="7"/>
      <c r="F1542" s="7"/>
      <c r="G1542" s="7"/>
    </row>
    <row r="1543" spans="2:7" ht="15" x14ac:dyDescent="0.25">
      <c r="B1543" s="7"/>
      <c r="C1543" s="7"/>
      <c r="D1543" s="7"/>
      <c r="E1543" s="7"/>
      <c r="F1543" s="7"/>
      <c r="G1543" s="7"/>
    </row>
    <row r="1544" spans="2:7" ht="15" x14ac:dyDescent="0.25">
      <c r="B1544" s="7"/>
      <c r="C1544" s="7"/>
      <c r="D1544" s="7"/>
      <c r="E1544" s="7"/>
      <c r="F1544" s="7"/>
      <c r="G1544" s="7"/>
    </row>
    <row r="1545" spans="2:7" ht="15" x14ac:dyDescent="0.25">
      <c r="B1545" s="7"/>
      <c r="C1545" s="7"/>
      <c r="D1545" s="7"/>
      <c r="E1545" s="7"/>
      <c r="F1545" s="7"/>
      <c r="G1545" s="7"/>
    </row>
    <row r="1546" spans="2:7" ht="15" x14ac:dyDescent="0.25">
      <c r="B1546" s="7"/>
      <c r="C1546" s="7"/>
      <c r="D1546" s="7"/>
      <c r="E1546" s="7"/>
      <c r="F1546" s="7"/>
      <c r="G1546" s="7"/>
    </row>
    <row r="1547" spans="2:7" ht="15" x14ac:dyDescent="0.25">
      <c r="B1547" s="7"/>
      <c r="C1547" s="7"/>
      <c r="D1547" s="7"/>
      <c r="E1547" s="7"/>
      <c r="F1547" s="7"/>
      <c r="G1547" s="7"/>
    </row>
    <row r="1548" spans="2:7" ht="15" x14ac:dyDescent="0.25">
      <c r="B1548" s="7"/>
      <c r="C1548" s="7"/>
      <c r="D1548" s="7"/>
      <c r="E1548" s="7"/>
      <c r="F1548" s="7"/>
      <c r="G1548" s="7"/>
    </row>
    <row r="1549" spans="2:7" ht="15" x14ac:dyDescent="0.25">
      <c r="B1549" s="7"/>
      <c r="C1549" s="7"/>
      <c r="D1549" s="7"/>
      <c r="E1549" s="7"/>
      <c r="F1549" s="7"/>
      <c r="G1549" s="7"/>
    </row>
    <row r="1550" spans="2:7" ht="15" x14ac:dyDescent="0.25">
      <c r="B1550" s="7"/>
      <c r="C1550" s="7"/>
      <c r="D1550" s="7"/>
      <c r="E1550" s="7"/>
      <c r="F1550" s="7"/>
      <c r="G1550" s="7"/>
    </row>
    <row r="1551" spans="2:7" ht="15" x14ac:dyDescent="0.25">
      <c r="B1551" s="7"/>
      <c r="C1551" s="7"/>
      <c r="D1551" s="7"/>
      <c r="E1551" s="7"/>
      <c r="F1551" s="7"/>
      <c r="G1551" s="7"/>
    </row>
    <row r="1552" spans="2:7" ht="15" x14ac:dyDescent="0.25">
      <c r="B1552" s="7"/>
      <c r="C1552" s="7"/>
      <c r="D1552" s="7"/>
      <c r="E1552" s="7"/>
      <c r="F1552" s="7"/>
      <c r="G1552" s="7"/>
    </row>
    <row r="1553" spans="2:7" ht="15" x14ac:dyDescent="0.25">
      <c r="B1553" s="7"/>
      <c r="C1553" s="7"/>
      <c r="D1553" s="7"/>
      <c r="E1553" s="7"/>
      <c r="F1553" s="7"/>
      <c r="G1553" s="7"/>
    </row>
    <row r="1554" spans="2:7" ht="15" x14ac:dyDescent="0.25">
      <c r="B1554" s="7"/>
      <c r="C1554" s="7"/>
      <c r="D1554" s="7"/>
      <c r="E1554" s="7"/>
      <c r="F1554" s="7"/>
      <c r="G1554" s="7"/>
    </row>
    <row r="1555" spans="2:7" ht="15" x14ac:dyDescent="0.25">
      <c r="B1555" s="7"/>
      <c r="C1555" s="7"/>
      <c r="D1555" s="7"/>
      <c r="E1555" s="7"/>
      <c r="F1555" s="7"/>
      <c r="G1555" s="7"/>
    </row>
    <row r="1556" spans="2:7" ht="15" x14ac:dyDescent="0.25">
      <c r="B1556" s="7"/>
      <c r="C1556" s="7"/>
      <c r="D1556" s="7"/>
      <c r="E1556" s="7"/>
      <c r="F1556" s="7"/>
      <c r="G1556" s="7"/>
    </row>
    <row r="1557" spans="2:7" ht="15" x14ac:dyDescent="0.25">
      <c r="B1557" s="7"/>
      <c r="C1557" s="7"/>
      <c r="D1557" s="7"/>
      <c r="E1557" s="7"/>
      <c r="F1557" s="7"/>
      <c r="G1557" s="7"/>
    </row>
    <row r="1558" spans="2:7" ht="15" x14ac:dyDescent="0.25">
      <c r="B1558" s="7"/>
      <c r="C1558" s="7"/>
      <c r="D1558" s="7"/>
      <c r="E1558" s="7"/>
      <c r="F1558" s="7"/>
      <c r="G1558" s="7"/>
    </row>
    <row r="1559" spans="2:7" ht="15" x14ac:dyDescent="0.25">
      <c r="B1559" s="7"/>
      <c r="C1559" s="7"/>
      <c r="D1559" s="7"/>
      <c r="E1559" s="7"/>
      <c r="F1559" s="7"/>
      <c r="G1559" s="7"/>
    </row>
    <row r="1560" spans="2:7" ht="15" x14ac:dyDescent="0.25">
      <c r="B1560" s="7"/>
      <c r="C1560" s="7"/>
      <c r="D1560" s="7"/>
      <c r="E1560" s="7"/>
      <c r="F1560" s="7"/>
      <c r="G1560" s="7"/>
    </row>
    <row r="1561" spans="2:7" ht="15" x14ac:dyDescent="0.25">
      <c r="B1561" s="7"/>
      <c r="C1561" s="7"/>
      <c r="D1561" s="7"/>
      <c r="E1561" s="7"/>
      <c r="F1561" s="7"/>
      <c r="G1561" s="7"/>
    </row>
    <row r="1562" spans="2:7" ht="15" x14ac:dyDescent="0.25">
      <c r="B1562" s="7"/>
      <c r="C1562" s="7"/>
      <c r="D1562" s="7"/>
      <c r="E1562" s="7"/>
      <c r="F1562" s="7"/>
      <c r="G1562" s="7"/>
    </row>
    <row r="1563" spans="2:7" ht="15" x14ac:dyDescent="0.25">
      <c r="B1563" s="7"/>
      <c r="C1563" s="7"/>
      <c r="D1563" s="7"/>
      <c r="E1563" s="7"/>
      <c r="F1563" s="7"/>
      <c r="G1563" s="7"/>
    </row>
    <row r="1564" spans="2:7" ht="15" x14ac:dyDescent="0.25">
      <c r="B1564" s="7"/>
      <c r="C1564" s="7"/>
      <c r="D1564" s="7"/>
      <c r="E1564" s="7"/>
      <c r="F1564" s="7"/>
      <c r="G1564" s="7"/>
    </row>
    <row r="1565" spans="2:7" ht="15" x14ac:dyDescent="0.25">
      <c r="B1565" s="7"/>
      <c r="C1565" s="7"/>
      <c r="D1565" s="7"/>
      <c r="E1565" s="7"/>
      <c r="F1565" s="7"/>
      <c r="G1565" s="7"/>
    </row>
    <row r="1566" spans="2:7" ht="15" x14ac:dyDescent="0.25">
      <c r="B1566" s="7"/>
      <c r="C1566" s="7"/>
      <c r="D1566" s="7"/>
      <c r="E1566" s="7"/>
      <c r="F1566" s="7"/>
      <c r="G1566" s="7"/>
    </row>
    <row r="1567" spans="2:7" ht="15" x14ac:dyDescent="0.25">
      <c r="B1567" s="7"/>
      <c r="C1567" s="7"/>
      <c r="D1567" s="7"/>
      <c r="E1567" s="7"/>
      <c r="F1567" s="7"/>
      <c r="G1567" s="7"/>
    </row>
    <row r="1568" spans="2:7" ht="15" x14ac:dyDescent="0.25">
      <c r="B1568" s="7"/>
      <c r="C1568" s="7"/>
      <c r="D1568" s="7"/>
      <c r="E1568" s="7"/>
      <c r="F1568" s="7"/>
      <c r="G1568" s="7"/>
    </row>
    <row r="1569" spans="2:7" ht="15" x14ac:dyDescent="0.25">
      <c r="B1569" s="7"/>
      <c r="C1569" s="7"/>
      <c r="D1569" s="7"/>
      <c r="E1569" s="7"/>
      <c r="F1569" s="7"/>
      <c r="G1569" s="7"/>
    </row>
    <row r="1570" spans="2:7" ht="15" x14ac:dyDescent="0.25">
      <c r="B1570" s="7"/>
      <c r="C1570" s="7"/>
      <c r="D1570" s="7"/>
      <c r="E1570" s="7"/>
      <c r="F1570" s="7"/>
      <c r="G1570" s="7"/>
    </row>
    <row r="1571" spans="2:7" ht="15" x14ac:dyDescent="0.25">
      <c r="B1571" s="7"/>
      <c r="C1571" s="7"/>
      <c r="D1571" s="7"/>
      <c r="E1571" s="7"/>
      <c r="F1571" s="7"/>
      <c r="G1571" s="7"/>
    </row>
    <row r="1572" spans="2:7" ht="15" x14ac:dyDescent="0.25">
      <c r="B1572" s="7"/>
      <c r="C1572" s="7"/>
      <c r="D1572" s="7"/>
      <c r="E1572" s="7"/>
      <c r="F1572" s="7"/>
      <c r="G1572" s="7"/>
    </row>
    <row r="1573" spans="2:7" ht="15" x14ac:dyDescent="0.25">
      <c r="B1573" s="7"/>
      <c r="C1573" s="7"/>
      <c r="D1573" s="7"/>
      <c r="E1573" s="7"/>
      <c r="F1573" s="7"/>
      <c r="G1573" s="7"/>
    </row>
    <row r="1574" spans="2:7" ht="15" x14ac:dyDescent="0.25">
      <c r="B1574" s="7"/>
      <c r="C1574" s="7"/>
      <c r="D1574" s="7"/>
      <c r="E1574" s="7"/>
      <c r="F1574" s="7"/>
      <c r="G1574" s="7"/>
    </row>
    <row r="1575" spans="2:7" ht="15" x14ac:dyDescent="0.25">
      <c r="B1575" s="7"/>
      <c r="C1575" s="7"/>
      <c r="D1575" s="7"/>
      <c r="E1575" s="7"/>
      <c r="F1575" s="7"/>
      <c r="G1575" s="7"/>
    </row>
    <row r="1576" spans="2:7" ht="15" x14ac:dyDescent="0.25">
      <c r="B1576" s="7"/>
      <c r="C1576" s="7"/>
      <c r="D1576" s="7"/>
      <c r="E1576" s="7"/>
      <c r="F1576" s="7"/>
      <c r="G1576" s="7"/>
    </row>
    <row r="1577" spans="2:7" ht="15" x14ac:dyDescent="0.25">
      <c r="B1577" s="7"/>
      <c r="C1577" s="7"/>
      <c r="D1577" s="7"/>
      <c r="E1577" s="7"/>
      <c r="F1577" s="7"/>
      <c r="G1577" s="7"/>
    </row>
    <row r="1578" spans="2:7" ht="15" x14ac:dyDescent="0.25">
      <c r="B1578" s="7"/>
      <c r="C1578" s="7"/>
      <c r="D1578" s="7"/>
      <c r="E1578" s="7"/>
      <c r="F1578" s="7"/>
      <c r="G1578" s="7"/>
    </row>
    <row r="1579" spans="2:7" ht="15" x14ac:dyDescent="0.25">
      <c r="B1579" s="7"/>
      <c r="C1579" s="7"/>
      <c r="D1579" s="7"/>
      <c r="E1579" s="7"/>
      <c r="F1579" s="7"/>
      <c r="G1579" s="7"/>
    </row>
    <row r="1580" spans="2:7" ht="15" x14ac:dyDescent="0.25">
      <c r="B1580" s="7"/>
      <c r="C1580" s="7"/>
      <c r="D1580" s="7"/>
      <c r="E1580" s="7"/>
      <c r="F1580" s="7"/>
      <c r="G1580" s="7"/>
    </row>
    <row r="1581" spans="2:7" ht="15" x14ac:dyDescent="0.25">
      <c r="B1581" s="7"/>
      <c r="C1581" s="7"/>
      <c r="D1581" s="7"/>
      <c r="E1581" s="7"/>
      <c r="F1581" s="7"/>
      <c r="G1581" s="7"/>
    </row>
    <row r="1582" spans="2:7" ht="15" x14ac:dyDescent="0.25">
      <c r="B1582" s="7"/>
      <c r="C1582" s="7"/>
      <c r="D1582" s="7"/>
      <c r="E1582" s="7"/>
      <c r="F1582" s="7"/>
      <c r="G1582" s="7"/>
    </row>
    <row r="1583" spans="2:7" ht="15" x14ac:dyDescent="0.25">
      <c r="B1583" s="7"/>
      <c r="C1583" s="7"/>
      <c r="D1583" s="7"/>
      <c r="E1583" s="7"/>
      <c r="F1583" s="7"/>
      <c r="G1583" s="7"/>
    </row>
    <row r="1584" spans="2:7" ht="15" x14ac:dyDescent="0.25">
      <c r="B1584" s="7"/>
      <c r="C1584" s="7"/>
      <c r="D1584" s="7"/>
      <c r="E1584" s="7"/>
      <c r="F1584" s="7"/>
      <c r="G1584" s="7"/>
    </row>
    <row r="1585" spans="2:7" ht="15" x14ac:dyDescent="0.25">
      <c r="B1585" s="7"/>
      <c r="C1585" s="7"/>
      <c r="D1585" s="7"/>
      <c r="E1585" s="7"/>
      <c r="F1585" s="7"/>
      <c r="G1585" s="7"/>
    </row>
    <row r="1586" spans="2:7" ht="15" x14ac:dyDescent="0.25">
      <c r="B1586" s="7"/>
      <c r="C1586" s="7"/>
      <c r="D1586" s="7"/>
      <c r="E1586" s="7"/>
      <c r="F1586" s="7"/>
      <c r="G1586" s="7"/>
    </row>
    <row r="1587" spans="2:7" ht="15" x14ac:dyDescent="0.25">
      <c r="B1587" s="7"/>
      <c r="C1587" s="7"/>
      <c r="D1587" s="7"/>
      <c r="E1587" s="7"/>
      <c r="F1587" s="7"/>
      <c r="G1587" s="7"/>
    </row>
    <row r="1588" spans="2:7" ht="15" x14ac:dyDescent="0.25">
      <c r="B1588" s="7"/>
      <c r="C1588" s="7"/>
      <c r="D1588" s="7"/>
      <c r="E1588" s="7"/>
      <c r="F1588" s="7"/>
      <c r="G1588" s="7"/>
    </row>
    <row r="1589" spans="2:7" ht="15" x14ac:dyDescent="0.25">
      <c r="B1589" s="7"/>
      <c r="C1589" s="7"/>
      <c r="D1589" s="7"/>
      <c r="E1589" s="7"/>
      <c r="F1589" s="7"/>
      <c r="G1589" s="7"/>
    </row>
    <row r="1590" spans="2:7" ht="15" x14ac:dyDescent="0.25">
      <c r="B1590" s="7"/>
      <c r="C1590" s="7"/>
      <c r="D1590" s="7"/>
      <c r="E1590" s="7"/>
      <c r="F1590" s="7"/>
      <c r="G1590" s="7"/>
    </row>
    <row r="1591" spans="2:7" ht="15" x14ac:dyDescent="0.25">
      <c r="B1591" s="7"/>
      <c r="C1591" s="7"/>
      <c r="D1591" s="7"/>
      <c r="E1591" s="7"/>
      <c r="F1591" s="7"/>
      <c r="G1591" s="7"/>
    </row>
    <row r="1592" spans="2:7" ht="15" x14ac:dyDescent="0.25">
      <c r="B1592" s="7"/>
      <c r="C1592" s="7"/>
      <c r="D1592" s="7"/>
      <c r="E1592" s="7"/>
      <c r="F1592" s="7"/>
      <c r="G1592" s="7"/>
    </row>
    <row r="1593" spans="2:7" ht="15" x14ac:dyDescent="0.25">
      <c r="B1593" s="7"/>
      <c r="C1593" s="7"/>
      <c r="D1593" s="7"/>
      <c r="E1593" s="7"/>
      <c r="F1593" s="7"/>
      <c r="G1593" s="7"/>
    </row>
    <row r="1594" spans="2:7" ht="15" x14ac:dyDescent="0.25">
      <c r="B1594" s="7"/>
      <c r="C1594" s="7"/>
      <c r="D1594" s="7"/>
      <c r="E1594" s="7"/>
      <c r="F1594" s="7"/>
      <c r="G1594" s="7"/>
    </row>
    <row r="1595" spans="2:7" ht="15" x14ac:dyDescent="0.25">
      <c r="B1595" s="7"/>
      <c r="C1595" s="7"/>
      <c r="D1595" s="7"/>
      <c r="E1595" s="7"/>
      <c r="F1595" s="7"/>
      <c r="G1595" s="7"/>
    </row>
    <row r="1596" spans="2:7" ht="15" x14ac:dyDescent="0.25">
      <c r="B1596" s="7"/>
      <c r="C1596" s="7"/>
      <c r="D1596" s="7"/>
      <c r="E1596" s="7"/>
      <c r="F1596" s="7"/>
      <c r="G1596" s="7"/>
    </row>
    <row r="1597" spans="2:7" ht="15" x14ac:dyDescent="0.25">
      <c r="B1597" s="7"/>
      <c r="C1597" s="7"/>
      <c r="D1597" s="7"/>
      <c r="E1597" s="7"/>
      <c r="F1597" s="7"/>
      <c r="G1597" s="7"/>
    </row>
    <row r="1598" spans="2:7" ht="15" x14ac:dyDescent="0.25">
      <c r="B1598" s="7"/>
      <c r="C1598" s="7"/>
      <c r="D1598" s="7"/>
      <c r="E1598" s="7"/>
      <c r="F1598" s="7"/>
      <c r="G1598" s="7"/>
    </row>
    <row r="1599" spans="2:7" ht="15" x14ac:dyDescent="0.25">
      <c r="B1599" s="7"/>
      <c r="C1599" s="7"/>
      <c r="D1599" s="7"/>
      <c r="E1599" s="7"/>
      <c r="F1599" s="7"/>
      <c r="G1599" s="7"/>
    </row>
    <row r="1600" spans="2:7" ht="15" x14ac:dyDescent="0.25">
      <c r="B1600" s="7"/>
      <c r="C1600" s="7"/>
      <c r="D1600" s="7"/>
      <c r="E1600" s="7"/>
      <c r="F1600" s="7"/>
      <c r="G1600" s="7"/>
    </row>
    <row r="1601" spans="2:7" ht="15" x14ac:dyDescent="0.25">
      <c r="B1601" s="7"/>
      <c r="C1601" s="7"/>
      <c r="D1601" s="7"/>
      <c r="E1601" s="7"/>
      <c r="F1601" s="7"/>
      <c r="G1601" s="7"/>
    </row>
    <row r="1602" spans="2:7" ht="15" x14ac:dyDescent="0.25">
      <c r="B1602" s="7"/>
      <c r="C1602" s="7"/>
      <c r="D1602" s="7"/>
      <c r="E1602" s="7"/>
      <c r="F1602" s="7"/>
      <c r="G1602" s="7"/>
    </row>
    <row r="1603" spans="2:7" ht="15" x14ac:dyDescent="0.25">
      <c r="B1603" s="7"/>
      <c r="C1603" s="7"/>
      <c r="D1603" s="7"/>
      <c r="E1603" s="7"/>
      <c r="F1603" s="7"/>
      <c r="G1603" s="7"/>
    </row>
    <row r="1604" spans="2:7" ht="15" x14ac:dyDescent="0.25">
      <c r="B1604" s="7"/>
      <c r="C1604" s="7"/>
      <c r="D1604" s="7"/>
      <c r="E1604" s="7"/>
      <c r="F1604" s="7"/>
      <c r="G1604" s="7"/>
    </row>
    <row r="1605" spans="2:7" ht="15" x14ac:dyDescent="0.25">
      <c r="B1605" s="7"/>
      <c r="C1605" s="7"/>
      <c r="D1605" s="7"/>
      <c r="E1605" s="7"/>
      <c r="F1605" s="7"/>
      <c r="G1605" s="7"/>
    </row>
    <row r="1606" spans="2:7" ht="15" x14ac:dyDescent="0.25">
      <c r="B1606" s="7"/>
      <c r="C1606" s="7"/>
      <c r="D1606" s="7"/>
      <c r="E1606" s="7"/>
      <c r="F1606" s="7"/>
      <c r="G1606" s="7"/>
    </row>
    <row r="1607" spans="2:7" ht="15" x14ac:dyDescent="0.25">
      <c r="B1607" s="7"/>
      <c r="C1607" s="7"/>
      <c r="D1607" s="7"/>
      <c r="E1607" s="7"/>
      <c r="F1607" s="7"/>
      <c r="G1607" s="7"/>
    </row>
    <row r="1608" spans="2:7" ht="15" x14ac:dyDescent="0.25">
      <c r="B1608" s="7"/>
      <c r="C1608" s="7"/>
      <c r="D1608" s="7"/>
      <c r="E1608" s="7"/>
      <c r="F1608" s="7"/>
      <c r="G1608" s="7"/>
    </row>
    <row r="1609" spans="2:7" ht="15" x14ac:dyDescent="0.25">
      <c r="B1609" s="7"/>
      <c r="C1609" s="7"/>
      <c r="D1609" s="7"/>
      <c r="E1609" s="7"/>
      <c r="F1609" s="7"/>
      <c r="G1609" s="7"/>
    </row>
    <row r="1610" spans="2:7" ht="15" x14ac:dyDescent="0.25">
      <c r="B1610" s="7"/>
      <c r="C1610" s="7"/>
      <c r="D1610" s="7"/>
      <c r="E1610" s="7"/>
      <c r="F1610" s="7"/>
      <c r="G1610" s="7"/>
    </row>
    <row r="1611" spans="2:7" ht="15" x14ac:dyDescent="0.25">
      <c r="B1611" s="7"/>
      <c r="C1611" s="7"/>
      <c r="D1611" s="7"/>
      <c r="E1611" s="7"/>
      <c r="F1611" s="7"/>
      <c r="G1611" s="7"/>
    </row>
    <row r="1612" spans="2:7" ht="15" x14ac:dyDescent="0.25">
      <c r="B1612" s="7"/>
      <c r="C1612" s="7"/>
      <c r="D1612" s="7"/>
      <c r="E1612" s="7"/>
      <c r="F1612" s="7"/>
      <c r="G1612" s="7"/>
    </row>
    <row r="1613" spans="2:7" ht="15" x14ac:dyDescent="0.25">
      <c r="B1613" s="7"/>
      <c r="C1613" s="7"/>
      <c r="D1613" s="7"/>
      <c r="E1613" s="7"/>
      <c r="F1613" s="7"/>
      <c r="G1613" s="7"/>
    </row>
    <row r="1614" spans="2:7" ht="15" x14ac:dyDescent="0.25">
      <c r="B1614" s="7"/>
      <c r="C1614" s="7"/>
      <c r="D1614" s="7"/>
      <c r="E1614" s="7"/>
      <c r="F1614" s="7"/>
      <c r="G1614" s="7"/>
    </row>
    <row r="1615" spans="2:7" ht="15" x14ac:dyDescent="0.25">
      <c r="B1615" s="7"/>
      <c r="C1615" s="7"/>
      <c r="D1615" s="7"/>
      <c r="E1615" s="7"/>
      <c r="F1615" s="7"/>
      <c r="G1615" s="7"/>
    </row>
    <row r="1616" spans="2:7" ht="15" x14ac:dyDescent="0.25">
      <c r="B1616" s="7"/>
      <c r="C1616" s="7"/>
      <c r="D1616" s="7"/>
      <c r="E1616" s="7"/>
      <c r="F1616" s="7"/>
      <c r="G1616" s="7"/>
    </row>
    <row r="1617" spans="2:7" ht="15" x14ac:dyDescent="0.25">
      <c r="B1617" s="7"/>
      <c r="C1617" s="7"/>
      <c r="D1617" s="7"/>
      <c r="E1617" s="7"/>
      <c r="F1617" s="7"/>
      <c r="G1617" s="7"/>
    </row>
    <row r="1618" spans="2:7" ht="15" x14ac:dyDescent="0.25">
      <c r="B1618" s="7"/>
      <c r="C1618" s="7"/>
      <c r="D1618" s="7"/>
      <c r="E1618" s="7"/>
      <c r="F1618" s="7"/>
      <c r="G1618" s="7"/>
    </row>
    <row r="1619" spans="2:7" ht="15" x14ac:dyDescent="0.25">
      <c r="B1619" s="7"/>
      <c r="C1619" s="7"/>
      <c r="D1619" s="7"/>
      <c r="E1619" s="7"/>
      <c r="F1619" s="7"/>
      <c r="G1619" s="7"/>
    </row>
    <row r="1620" spans="2:7" ht="15" x14ac:dyDescent="0.25">
      <c r="B1620" s="7"/>
      <c r="C1620" s="7"/>
      <c r="D1620" s="7"/>
      <c r="E1620" s="7"/>
      <c r="F1620" s="7"/>
      <c r="G1620" s="7"/>
    </row>
    <row r="1621" spans="2:7" ht="15" x14ac:dyDescent="0.25">
      <c r="B1621" s="7"/>
      <c r="C1621" s="7"/>
      <c r="D1621" s="7"/>
      <c r="E1621" s="7"/>
      <c r="F1621" s="7"/>
      <c r="G1621" s="7"/>
    </row>
    <row r="1622" spans="2:7" ht="15" x14ac:dyDescent="0.25">
      <c r="B1622" s="7"/>
      <c r="C1622" s="7"/>
      <c r="D1622" s="7"/>
      <c r="E1622" s="7"/>
      <c r="F1622" s="7"/>
      <c r="G1622" s="7"/>
    </row>
    <row r="1623" spans="2:7" ht="15" x14ac:dyDescent="0.25">
      <c r="B1623" s="7"/>
      <c r="C1623" s="7"/>
      <c r="D1623" s="7"/>
      <c r="E1623" s="7"/>
      <c r="F1623" s="7"/>
      <c r="G1623" s="7"/>
    </row>
    <row r="1624" spans="2:7" ht="15" x14ac:dyDescent="0.25">
      <c r="B1624" s="7"/>
      <c r="C1624" s="7"/>
      <c r="D1624" s="7"/>
      <c r="E1624" s="7"/>
      <c r="F1624" s="7"/>
      <c r="G1624" s="7"/>
    </row>
    <row r="1625" spans="2:7" ht="15" x14ac:dyDescent="0.25">
      <c r="B1625" s="7"/>
      <c r="C1625" s="7"/>
      <c r="D1625" s="7"/>
      <c r="E1625" s="7"/>
      <c r="F1625" s="7"/>
      <c r="G1625" s="7"/>
    </row>
    <row r="1626" spans="2:7" ht="15" x14ac:dyDescent="0.25">
      <c r="B1626" s="7"/>
      <c r="C1626" s="7"/>
      <c r="D1626" s="7"/>
      <c r="E1626" s="7"/>
      <c r="F1626" s="7"/>
      <c r="G1626" s="7"/>
    </row>
    <row r="1627" spans="2:7" ht="15" x14ac:dyDescent="0.25">
      <c r="B1627" s="7"/>
      <c r="C1627" s="7"/>
      <c r="D1627" s="7"/>
      <c r="E1627" s="7"/>
      <c r="F1627" s="7"/>
      <c r="G1627" s="7"/>
    </row>
    <row r="1628" spans="2:7" ht="15" x14ac:dyDescent="0.25">
      <c r="B1628" s="7"/>
      <c r="C1628" s="7"/>
      <c r="D1628" s="7"/>
      <c r="E1628" s="7"/>
      <c r="F1628" s="7"/>
      <c r="G1628" s="7"/>
    </row>
    <row r="1629" spans="2:7" ht="15" x14ac:dyDescent="0.25">
      <c r="B1629" s="7"/>
      <c r="C1629" s="7"/>
      <c r="D1629" s="7"/>
      <c r="E1629" s="7"/>
      <c r="F1629" s="7"/>
      <c r="G1629" s="7"/>
    </row>
    <row r="1630" spans="2:7" ht="15" x14ac:dyDescent="0.25">
      <c r="B1630" s="7"/>
      <c r="C1630" s="7"/>
      <c r="D1630" s="7"/>
      <c r="E1630" s="7"/>
      <c r="F1630" s="7"/>
      <c r="G1630" s="7"/>
    </row>
    <row r="1631" spans="2:7" ht="15" x14ac:dyDescent="0.25">
      <c r="B1631" s="7"/>
      <c r="C1631" s="7"/>
      <c r="D1631" s="7"/>
      <c r="E1631" s="7"/>
      <c r="F1631" s="7"/>
      <c r="G1631" s="7"/>
    </row>
    <row r="1632" spans="2:7" ht="15" x14ac:dyDescent="0.25">
      <c r="B1632" s="7"/>
      <c r="C1632" s="7"/>
      <c r="D1632" s="7"/>
      <c r="E1632" s="7"/>
      <c r="F1632" s="7"/>
      <c r="G1632" s="7"/>
    </row>
    <row r="1633" spans="2:7" ht="15" x14ac:dyDescent="0.25">
      <c r="B1633" s="7"/>
      <c r="C1633" s="7"/>
      <c r="D1633" s="7"/>
      <c r="E1633" s="7"/>
      <c r="F1633" s="7"/>
      <c r="G1633" s="7"/>
    </row>
    <row r="1634" spans="2:7" ht="15" x14ac:dyDescent="0.25">
      <c r="B1634" s="7"/>
      <c r="C1634" s="7"/>
      <c r="D1634" s="7"/>
      <c r="E1634" s="7"/>
      <c r="F1634" s="7"/>
      <c r="G1634" s="7"/>
    </row>
    <row r="1635" spans="2:7" ht="15" x14ac:dyDescent="0.25">
      <c r="B1635" s="7"/>
      <c r="C1635" s="7"/>
      <c r="D1635" s="7"/>
      <c r="E1635" s="7"/>
      <c r="F1635" s="7"/>
      <c r="G1635" s="7"/>
    </row>
    <row r="1636" spans="2:7" ht="15" x14ac:dyDescent="0.25">
      <c r="B1636" s="7"/>
      <c r="C1636" s="7"/>
      <c r="D1636" s="7"/>
      <c r="E1636" s="7"/>
      <c r="F1636" s="7"/>
      <c r="G1636" s="7"/>
    </row>
    <row r="1637" spans="2:7" ht="15" x14ac:dyDescent="0.25">
      <c r="B1637" s="7"/>
      <c r="C1637" s="7"/>
      <c r="D1637" s="7"/>
      <c r="E1637" s="7"/>
      <c r="F1637" s="7"/>
      <c r="G1637" s="7"/>
    </row>
    <row r="1638" spans="2:7" ht="15" x14ac:dyDescent="0.25">
      <c r="B1638" s="7"/>
      <c r="C1638" s="7"/>
      <c r="D1638" s="7"/>
      <c r="E1638" s="7"/>
      <c r="F1638" s="7"/>
      <c r="G1638" s="7"/>
    </row>
    <row r="1639" spans="2:7" ht="15" x14ac:dyDescent="0.25">
      <c r="B1639" s="7"/>
      <c r="C1639" s="7"/>
      <c r="D1639" s="7"/>
      <c r="E1639" s="7"/>
      <c r="F1639" s="7"/>
      <c r="G1639" s="7"/>
    </row>
    <row r="1640" spans="2:7" ht="15" x14ac:dyDescent="0.25">
      <c r="B1640" s="7"/>
      <c r="C1640" s="7"/>
      <c r="D1640" s="7"/>
      <c r="E1640" s="7"/>
      <c r="F1640" s="7"/>
      <c r="G1640" s="7"/>
    </row>
    <row r="1641" spans="2:7" ht="15" x14ac:dyDescent="0.25">
      <c r="B1641" s="7"/>
      <c r="C1641" s="7"/>
      <c r="D1641" s="7"/>
      <c r="E1641" s="7"/>
      <c r="F1641" s="7"/>
      <c r="G1641" s="7"/>
    </row>
    <row r="1642" spans="2:7" ht="15" x14ac:dyDescent="0.25">
      <c r="B1642" s="7"/>
      <c r="C1642" s="7"/>
      <c r="D1642" s="7"/>
      <c r="E1642" s="7"/>
      <c r="F1642" s="7"/>
      <c r="G1642" s="7"/>
    </row>
    <row r="1643" spans="2:7" ht="15" x14ac:dyDescent="0.25">
      <c r="B1643" s="7"/>
      <c r="C1643" s="7"/>
      <c r="D1643" s="7"/>
      <c r="E1643" s="7"/>
      <c r="F1643" s="7"/>
      <c r="G1643" s="7"/>
    </row>
    <row r="1644" spans="2:7" ht="15" x14ac:dyDescent="0.25">
      <c r="B1644" s="7"/>
      <c r="C1644" s="7"/>
      <c r="D1644" s="7"/>
      <c r="E1644" s="7"/>
      <c r="F1644" s="7"/>
      <c r="G1644" s="7"/>
    </row>
    <row r="1645" spans="2:7" ht="15" x14ac:dyDescent="0.25">
      <c r="B1645" s="7"/>
      <c r="C1645" s="7"/>
      <c r="D1645" s="7"/>
      <c r="E1645" s="7"/>
      <c r="F1645" s="7"/>
      <c r="G1645" s="7"/>
    </row>
    <row r="1646" spans="2:7" ht="15" x14ac:dyDescent="0.25">
      <c r="B1646" s="7"/>
      <c r="C1646" s="7"/>
      <c r="D1646" s="7"/>
      <c r="E1646" s="7"/>
      <c r="F1646" s="7"/>
      <c r="G1646" s="7"/>
    </row>
    <row r="1647" spans="2:7" ht="15" x14ac:dyDescent="0.25">
      <c r="B1647" s="7"/>
      <c r="C1647" s="7"/>
      <c r="D1647" s="7"/>
      <c r="E1647" s="7"/>
      <c r="F1647" s="7"/>
      <c r="G1647" s="7"/>
    </row>
    <row r="1648" spans="2:7" ht="15" x14ac:dyDescent="0.25">
      <c r="B1648" s="7"/>
      <c r="C1648" s="7"/>
      <c r="D1648" s="7"/>
      <c r="E1648" s="7"/>
      <c r="F1648" s="7"/>
      <c r="G1648" s="7"/>
    </row>
    <row r="1649" spans="2:7" ht="15" x14ac:dyDescent="0.25">
      <c r="B1649" s="7"/>
      <c r="C1649" s="7"/>
      <c r="D1649" s="7"/>
      <c r="E1649" s="7"/>
      <c r="F1649" s="7"/>
      <c r="G1649" s="7"/>
    </row>
    <row r="1650" spans="2:7" ht="15" x14ac:dyDescent="0.25">
      <c r="B1650" s="7"/>
      <c r="C1650" s="7"/>
      <c r="D1650" s="7"/>
      <c r="E1650" s="7"/>
      <c r="F1650" s="7"/>
      <c r="G1650" s="7"/>
    </row>
    <row r="1651" spans="2:7" ht="15" x14ac:dyDescent="0.25">
      <c r="B1651" s="7"/>
      <c r="C1651" s="7"/>
      <c r="D1651" s="7"/>
      <c r="E1651" s="7"/>
      <c r="F1651" s="7"/>
      <c r="G1651" s="7"/>
    </row>
    <row r="1652" spans="2:7" ht="15" x14ac:dyDescent="0.25">
      <c r="B1652" s="7"/>
      <c r="C1652" s="7"/>
      <c r="D1652" s="7"/>
      <c r="E1652" s="7"/>
      <c r="F1652" s="7"/>
      <c r="G1652" s="7"/>
    </row>
    <row r="1653" spans="2:7" ht="15" x14ac:dyDescent="0.25">
      <c r="B1653" s="7"/>
      <c r="C1653" s="7"/>
      <c r="D1653" s="7"/>
      <c r="E1653" s="7"/>
      <c r="F1653" s="7"/>
      <c r="G1653" s="7"/>
    </row>
    <row r="1654" spans="2:7" ht="15" x14ac:dyDescent="0.25">
      <c r="B1654" s="7"/>
      <c r="C1654" s="7"/>
      <c r="D1654" s="7"/>
      <c r="E1654" s="7"/>
      <c r="F1654" s="7"/>
      <c r="G1654" s="7"/>
    </row>
    <row r="1655" spans="2:7" ht="15" x14ac:dyDescent="0.25">
      <c r="B1655" s="7"/>
      <c r="C1655" s="7"/>
      <c r="D1655" s="7"/>
      <c r="E1655" s="7"/>
      <c r="F1655" s="7"/>
      <c r="G1655" s="7"/>
    </row>
    <row r="1656" spans="2:7" ht="15" x14ac:dyDescent="0.25">
      <c r="B1656" s="7"/>
      <c r="C1656" s="7"/>
      <c r="D1656" s="7"/>
      <c r="E1656" s="7"/>
      <c r="F1656" s="7"/>
      <c r="G1656" s="7"/>
    </row>
    <row r="1657" spans="2:7" ht="15" x14ac:dyDescent="0.25">
      <c r="B1657" s="7"/>
      <c r="C1657" s="7"/>
      <c r="D1657" s="7"/>
      <c r="E1657" s="7"/>
      <c r="F1657" s="7"/>
      <c r="G1657" s="7"/>
    </row>
    <row r="1658" spans="2:7" ht="15" x14ac:dyDescent="0.25">
      <c r="B1658" s="7"/>
      <c r="C1658" s="7"/>
      <c r="D1658" s="7"/>
      <c r="E1658" s="7"/>
      <c r="F1658" s="7"/>
      <c r="G1658" s="7"/>
    </row>
    <row r="1659" spans="2:7" ht="15" x14ac:dyDescent="0.25">
      <c r="B1659" s="7"/>
      <c r="C1659" s="7"/>
      <c r="D1659" s="7"/>
      <c r="E1659" s="7"/>
      <c r="F1659" s="7"/>
      <c r="G1659" s="7"/>
    </row>
    <row r="1660" spans="2:7" ht="15" x14ac:dyDescent="0.25">
      <c r="B1660" s="7"/>
      <c r="C1660" s="7"/>
      <c r="D1660" s="7"/>
      <c r="E1660" s="7"/>
      <c r="F1660" s="7"/>
      <c r="G1660" s="7"/>
    </row>
    <row r="1661" spans="2:7" ht="15" x14ac:dyDescent="0.25">
      <c r="B1661" s="7"/>
      <c r="C1661" s="7"/>
      <c r="D1661" s="7"/>
      <c r="E1661" s="7"/>
      <c r="F1661" s="7"/>
      <c r="G1661" s="7"/>
    </row>
    <row r="1662" spans="2:7" ht="15" x14ac:dyDescent="0.25">
      <c r="B1662" s="7"/>
      <c r="C1662" s="7"/>
      <c r="D1662" s="7"/>
      <c r="E1662" s="7"/>
      <c r="F1662" s="7"/>
      <c r="G1662" s="7"/>
    </row>
    <row r="1663" spans="2:7" ht="15" x14ac:dyDescent="0.25">
      <c r="B1663" s="7"/>
      <c r="C1663" s="7"/>
      <c r="D1663" s="7"/>
      <c r="E1663" s="7"/>
      <c r="F1663" s="7"/>
      <c r="G1663" s="7"/>
    </row>
    <row r="1664" spans="2:7" ht="15" x14ac:dyDescent="0.25">
      <c r="B1664" s="7"/>
      <c r="C1664" s="7"/>
      <c r="D1664" s="7"/>
      <c r="E1664" s="7"/>
      <c r="F1664" s="7"/>
      <c r="G1664" s="7"/>
    </row>
    <row r="1665" spans="2:7" ht="15" x14ac:dyDescent="0.25">
      <c r="B1665" s="7"/>
      <c r="C1665" s="7"/>
      <c r="D1665" s="7"/>
      <c r="E1665" s="7"/>
      <c r="F1665" s="7"/>
      <c r="G1665" s="7"/>
    </row>
    <row r="1666" spans="2:7" ht="15" x14ac:dyDescent="0.25">
      <c r="B1666" s="7"/>
      <c r="C1666" s="7"/>
      <c r="D1666" s="7"/>
      <c r="E1666" s="7"/>
      <c r="F1666" s="7"/>
      <c r="G1666" s="7"/>
    </row>
    <row r="1667" spans="2:7" ht="15" x14ac:dyDescent="0.25">
      <c r="B1667" s="7"/>
      <c r="C1667" s="7"/>
      <c r="D1667" s="7"/>
      <c r="E1667" s="7"/>
      <c r="F1667" s="7"/>
      <c r="G1667" s="7"/>
    </row>
    <row r="1668" spans="2:7" ht="15" x14ac:dyDescent="0.25">
      <c r="B1668" s="7"/>
      <c r="C1668" s="7"/>
      <c r="D1668" s="7"/>
      <c r="E1668" s="7"/>
      <c r="F1668" s="7"/>
      <c r="G1668" s="7"/>
    </row>
    <row r="1669" spans="2:7" ht="15" x14ac:dyDescent="0.25">
      <c r="B1669" s="7"/>
      <c r="C1669" s="7"/>
      <c r="D1669" s="7"/>
      <c r="E1669" s="7"/>
      <c r="F1669" s="7"/>
      <c r="G1669" s="7"/>
    </row>
    <row r="1670" spans="2:7" ht="15" x14ac:dyDescent="0.25">
      <c r="B1670" s="7"/>
      <c r="C1670" s="7"/>
      <c r="D1670" s="7"/>
      <c r="E1670" s="7"/>
      <c r="F1670" s="7"/>
      <c r="G1670" s="7"/>
    </row>
    <row r="1671" spans="2:7" ht="15" x14ac:dyDescent="0.25">
      <c r="B1671" s="7"/>
      <c r="C1671" s="7"/>
      <c r="D1671" s="7"/>
      <c r="E1671" s="7"/>
      <c r="F1671" s="7"/>
      <c r="G1671" s="7"/>
    </row>
    <row r="1672" spans="2:7" ht="15" x14ac:dyDescent="0.25">
      <c r="B1672" s="7"/>
      <c r="C1672" s="7"/>
      <c r="D1672" s="7"/>
      <c r="E1672" s="7"/>
      <c r="F1672" s="7"/>
      <c r="G1672" s="7"/>
    </row>
    <row r="1673" spans="2:7" ht="15" x14ac:dyDescent="0.25">
      <c r="B1673" s="7"/>
      <c r="C1673" s="7"/>
      <c r="D1673" s="7"/>
      <c r="E1673" s="7"/>
      <c r="F1673" s="7"/>
      <c r="G1673" s="7"/>
    </row>
    <row r="1674" spans="2:7" ht="15" x14ac:dyDescent="0.25">
      <c r="B1674" s="7"/>
      <c r="C1674" s="7"/>
      <c r="D1674" s="7"/>
      <c r="E1674" s="7"/>
      <c r="F1674" s="7"/>
      <c r="G1674" s="7"/>
    </row>
    <row r="1675" spans="2:7" ht="15" x14ac:dyDescent="0.25">
      <c r="B1675" s="7"/>
      <c r="C1675" s="7"/>
      <c r="D1675" s="7"/>
      <c r="E1675" s="7"/>
      <c r="F1675" s="7"/>
      <c r="G1675" s="7"/>
    </row>
    <row r="1676" spans="2:7" ht="15" x14ac:dyDescent="0.25">
      <c r="B1676" s="7"/>
      <c r="C1676" s="7"/>
      <c r="D1676" s="7"/>
      <c r="E1676" s="7"/>
      <c r="F1676" s="7"/>
      <c r="G1676" s="7"/>
    </row>
    <row r="1677" spans="2:7" ht="15" x14ac:dyDescent="0.25">
      <c r="B1677" s="7"/>
      <c r="C1677" s="7"/>
      <c r="D1677" s="7"/>
      <c r="E1677" s="7"/>
      <c r="F1677" s="7"/>
      <c r="G1677" s="7"/>
    </row>
    <row r="1678" spans="2:7" ht="15" x14ac:dyDescent="0.25">
      <c r="B1678" s="7"/>
      <c r="C1678" s="7"/>
      <c r="D1678" s="7"/>
      <c r="E1678" s="7"/>
      <c r="F1678" s="7"/>
      <c r="G1678" s="7"/>
    </row>
    <row r="1679" spans="2:7" ht="15" x14ac:dyDescent="0.25">
      <c r="B1679" s="7"/>
      <c r="C1679" s="7"/>
      <c r="D1679" s="7"/>
      <c r="E1679" s="7"/>
      <c r="F1679" s="7"/>
      <c r="G1679" s="7"/>
    </row>
    <row r="1680" spans="2:7" ht="15" x14ac:dyDescent="0.25">
      <c r="B1680" s="7"/>
      <c r="C1680" s="7"/>
      <c r="D1680" s="7"/>
      <c r="E1680" s="7"/>
      <c r="F1680" s="7"/>
      <c r="G1680" s="7"/>
    </row>
    <row r="1681" spans="2:7" ht="15" x14ac:dyDescent="0.25">
      <c r="B1681" s="7"/>
      <c r="C1681" s="7"/>
      <c r="D1681" s="7"/>
      <c r="E1681" s="7"/>
      <c r="F1681" s="7"/>
      <c r="G1681" s="7"/>
    </row>
    <row r="1682" spans="2:7" ht="15" x14ac:dyDescent="0.25">
      <c r="B1682" s="7"/>
      <c r="C1682" s="7"/>
      <c r="D1682" s="7"/>
      <c r="E1682" s="7"/>
      <c r="F1682" s="7"/>
      <c r="G1682" s="7"/>
    </row>
    <row r="1683" spans="2:7" ht="15" x14ac:dyDescent="0.25">
      <c r="B1683" s="7"/>
      <c r="C1683" s="7"/>
      <c r="D1683" s="7"/>
      <c r="E1683" s="7"/>
      <c r="F1683" s="7"/>
      <c r="G1683" s="7"/>
    </row>
    <row r="1684" spans="2:7" ht="15" x14ac:dyDescent="0.25">
      <c r="B1684" s="7"/>
      <c r="C1684" s="7"/>
      <c r="D1684" s="7"/>
      <c r="E1684" s="7"/>
      <c r="F1684" s="7"/>
      <c r="G1684" s="7"/>
    </row>
    <row r="1685" spans="2:7" ht="15" x14ac:dyDescent="0.25">
      <c r="B1685" s="7"/>
      <c r="C1685" s="7"/>
      <c r="D1685" s="7"/>
      <c r="E1685" s="7"/>
      <c r="F1685" s="7"/>
      <c r="G1685" s="7"/>
    </row>
    <row r="1686" spans="2:7" ht="15" x14ac:dyDescent="0.25">
      <c r="B1686" s="7"/>
      <c r="C1686" s="7"/>
      <c r="D1686" s="7"/>
      <c r="E1686" s="7"/>
      <c r="F1686" s="7"/>
      <c r="G1686" s="7"/>
    </row>
    <row r="1687" spans="2:7" ht="15" x14ac:dyDescent="0.25">
      <c r="B1687" s="7"/>
      <c r="C1687" s="7"/>
      <c r="D1687" s="7"/>
      <c r="E1687" s="7"/>
      <c r="F1687" s="7"/>
      <c r="G1687" s="7"/>
    </row>
    <row r="1688" spans="2:7" ht="15" x14ac:dyDescent="0.25">
      <c r="B1688" s="7"/>
      <c r="C1688" s="7"/>
      <c r="D1688" s="7"/>
      <c r="E1688" s="7"/>
      <c r="F1688" s="7"/>
      <c r="G1688" s="7"/>
    </row>
    <row r="1689" spans="2:7" ht="15" x14ac:dyDescent="0.25">
      <c r="B1689" s="7"/>
      <c r="C1689" s="7"/>
      <c r="D1689" s="7"/>
      <c r="E1689" s="7"/>
      <c r="F1689" s="7"/>
      <c r="G1689" s="7"/>
    </row>
    <row r="1690" spans="2:7" ht="15" x14ac:dyDescent="0.25">
      <c r="B1690" s="7"/>
      <c r="C1690" s="7"/>
      <c r="D1690" s="7"/>
      <c r="E1690" s="7"/>
      <c r="F1690" s="7"/>
      <c r="G1690" s="7"/>
    </row>
    <row r="1691" spans="2:7" ht="15" x14ac:dyDescent="0.25">
      <c r="B1691" s="7"/>
      <c r="C1691" s="7"/>
      <c r="D1691" s="7"/>
      <c r="E1691" s="7"/>
      <c r="F1691" s="7"/>
      <c r="G1691" s="7"/>
    </row>
    <row r="1692" spans="2:7" ht="15" x14ac:dyDescent="0.25">
      <c r="B1692" s="7"/>
      <c r="C1692" s="7"/>
      <c r="D1692" s="7"/>
      <c r="E1692" s="7"/>
      <c r="F1692" s="7"/>
      <c r="G1692" s="7"/>
    </row>
    <row r="1693" spans="2:7" ht="15" x14ac:dyDescent="0.25">
      <c r="B1693" s="7"/>
      <c r="C1693" s="7"/>
      <c r="D1693" s="7"/>
      <c r="E1693" s="7"/>
      <c r="F1693" s="7"/>
      <c r="G1693" s="7"/>
    </row>
    <row r="1694" spans="2:7" ht="15" x14ac:dyDescent="0.25">
      <c r="B1694" s="7"/>
      <c r="C1694" s="7"/>
      <c r="D1694" s="7"/>
      <c r="E1694" s="7"/>
      <c r="F1694" s="7"/>
      <c r="G1694" s="7"/>
    </row>
    <row r="1695" spans="2:7" ht="15" x14ac:dyDescent="0.25">
      <c r="B1695" s="7"/>
      <c r="C1695" s="7"/>
      <c r="D1695" s="7"/>
      <c r="E1695" s="7"/>
      <c r="F1695" s="7"/>
      <c r="G1695" s="7"/>
    </row>
    <row r="1696" spans="2:7" ht="15" x14ac:dyDescent="0.25">
      <c r="B1696" s="7"/>
      <c r="C1696" s="7"/>
      <c r="D1696" s="7"/>
      <c r="E1696" s="7"/>
      <c r="F1696" s="7"/>
      <c r="G1696" s="7"/>
    </row>
    <row r="1697" spans="2:7" ht="15" x14ac:dyDescent="0.25">
      <c r="B1697" s="7"/>
      <c r="C1697" s="7"/>
      <c r="D1697" s="7"/>
      <c r="E1697" s="7"/>
      <c r="F1697" s="7"/>
      <c r="G1697" s="7"/>
    </row>
    <row r="1698" spans="2:7" ht="15" x14ac:dyDescent="0.25">
      <c r="B1698" s="7"/>
      <c r="C1698" s="7"/>
      <c r="D1698" s="7"/>
      <c r="E1698" s="7"/>
      <c r="F1698" s="7"/>
      <c r="G1698" s="7"/>
    </row>
    <row r="1699" spans="2:7" ht="15" x14ac:dyDescent="0.25">
      <c r="B1699" s="7"/>
      <c r="C1699" s="7"/>
      <c r="D1699" s="7"/>
      <c r="E1699" s="7"/>
      <c r="F1699" s="7"/>
      <c r="G1699" s="7"/>
    </row>
    <row r="1700" spans="2:7" ht="15" x14ac:dyDescent="0.25">
      <c r="B1700" s="7"/>
      <c r="C1700" s="7"/>
      <c r="D1700" s="7"/>
      <c r="E1700" s="7"/>
      <c r="F1700" s="7"/>
      <c r="G1700" s="7"/>
    </row>
    <row r="1701" spans="2:7" ht="15" x14ac:dyDescent="0.25">
      <c r="B1701" s="7"/>
      <c r="C1701" s="7"/>
      <c r="D1701" s="7"/>
      <c r="E1701" s="7"/>
      <c r="F1701" s="7"/>
      <c r="G1701" s="7"/>
    </row>
    <row r="1702" spans="2:7" ht="15" x14ac:dyDescent="0.25">
      <c r="B1702" s="7"/>
      <c r="C1702" s="7"/>
      <c r="D1702" s="7"/>
      <c r="E1702" s="7"/>
      <c r="F1702" s="7"/>
      <c r="G1702" s="7"/>
    </row>
    <row r="1703" spans="2:7" ht="15" x14ac:dyDescent="0.25">
      <c r="B1703" s="7"/>
      <c r="C1703" s="7"/>
      <c r="D1703" s="7"/>
      <c r="E1703" s="7"/>
      <c r="F1703" s="7"/>
      <c r="G1703" s="7"/>
    </row>
    <row r="1704" spans="2:7" ht="15" x14ac:dyDescent="0.25">
      <c r="B1704" s="7"/>
      <c r="C1704" s="7"/>
      <c r="D1704" s="7"/>
      <c r="E1704" s="7"/>
      <c r="F1704" s="7"/>
      <c r="G1704" s="7"/>
    </row>
    <row r="1705" spans="2:7" ht="15" x14ac:dyDescent="0.25">
      <c r="B1705" s="7"/>
      <c r="C1705" s="7"/>
      <c r="D1705" s="7"/>
      <c r="E1705" s="7"/>
      <c r="F1705" s="7"/>
      <c r="G1705" s="7"/>
    </row>
    <row r="1706" spans="2:7" ht="15" x14ac:dyDescent="0.25">
      <c r="B1706" s="7"/>
      <c r="C1706" s="7"/>
      <c r="D1706" s="7"/>
      <c r="E1706" s="7"/>
      <c r="F1706" s="7"/>
      <c r="G1706" s="7"/>
    </row>
    <row r="1707" spans="2:7" ht="15" x14ac:dyDescent="0.25">
      <c r="B1707" s="7"/>
      <c r="C1707" s="7"/>
      <c r="D1707" s="7"/>
      <c r="E1707" s="7"/>
      <c r="F1707" s="7"/>
      <c r="G1707" s="7"/>
    </row>
    <row r="1708" spans="2:7" ht="15" x14ac:dyDescent="0.25">
      <c r="B1708" s="7"/>
      <c r="C1708" s="7"/>
      <c r="D1708" s="7"/>
      <c r="E1708" s="7"/>
      <c r="F1708" s="7"/>
      <c r="G1708" s="7"/>
    </row>
    <row r="1709" spans="2:7" ht="15" x14ac:dyDescent="0.25">
      <c r="B1709" s="7"/>
      <c r="C1709" s="7"/>
      <c r="D1709" s="7"/>
      <c r="E1709" s="7"/>
      <c r="F1709" s="7"/>
      <c r="G1709" s="7"/>
    </row>
    <row r="1710" spans="2:7" ht="15" x14ac:dyDescent="0.25">
      <c r="B1710" s="7"/>
      <c r="C1710" s="7"/>
      <c r="D1710" s="7"/>
      <c r="E1710" s="7"/>
      <c r="F1710" s="7"/>
      <c r="G1710" s="7"/>
    </row>
    <row r="1711" spans="2:7" ht="15" x14ac:dyDescent="0.25">
      <c r="B1711" s="7"/>
      <c r="C1711" s="7"/>
      <c r="D1711" s="7"/>
      <c r="E1711" s="7"/>
      <c r="F1711" s="7"/>
      <c r="G1711" s="7"/>
    </row>
    <row r="1712" spans="2:7" ht="15" x14ac:dyDescent="0.25">
      <c r="B1712" s="7"/>
      <c r="C1712" s="7"/>
      <c r="D1712" s="7"/>
      <c r="E1712" s="7"/>
      <c r="F1712" s="7"/>
      <c r="G1712" s="7"/>
    </row>
    <row r="1713" spans="2:7" ht="15" x14ac:dyDescent="0.25">
      <c r="B1713" s="7"/>
      <c r="C1713" s="7"/>
      <c r="D1713" s="7"/>
      <c r="E1713" s="7"/>
      <c r="F1713" s="7"/>
      <c r="G1713" s="7"/>
    </row>
    <row r="1714" spans="2:7" ht="15" x14ac:dyDescent="0.25">
      <c r="B1714" s="7"/>
      <c r="C1714" s="7"/>
      <c r="D1714" s="7"/>
      <c r="E1714" s="7"/>
      <c r="F1714" s="7"/>
      <c r="G1714" s="7"/>
    </row>
    <row r="1715" spans="2:7" ht="15" x14ac:dyDescent="0.25">
      <c r="B1715" s="7"/>
      <c r="C1715" s="7"/>
      <c r="D1715" s="7"/>
      <c r="E1715" s="7"/>
      <c r="F1715" s="7"/>
      <c r="G1715" s="7"/>
    </row>
    <row r="1716" spans="2:7" ht="15" x14ac:dyDescent="0.25">
      <c r="B1716" s="7"/>
      <c r="C1716" s="7"/>
      <c r="D1716" s="7"/>
      <c r="E1716" s="7"/>
      <c r="F1716" s="7"/>
      <c r="G1716" s="7"/>
    </row>
    <row r="1717" spans="2:7" ht="15" x14ac:dyDescent="0.25">
      <c r="B1717" s="7"/>
      <c r="C1717" s="7"/>
      <c r="D1717" s="7"/>
      <c r="E1717" s="7"/>
      <c r="F1717" s="7"/>
      <c r="G1717" s="7"/>
    </row>
    <row r="1718" spans="2:7" ht="15" x14ac:dyDescent="0.25">
      <c r="B1718" s="7"/>
      <c r="C1718" s="7"/>
      <c r="D1718" s="7"/>
      <c r="E1718" s="7"/>
      <c r="F1718" s="7"/>
      <c r="G1718" s="7"/>
    </row>
    <row r="1719" spans="2:7" ht="15" x14ac:dyDescent="0.25">
      <c r="B1719" s="7"/>
      <c r="C1719" s="7"/>
      <c r="D1719" s="7"/>
      <c r="E1719" s="7"/>
      <c r="F1719" s="7"/>
      <c r="G1719" s="7"/>
    </row>
    <row r="1720" spans="2:7" ht="15" x14ac:dyDescent="0.25">
      <c r="B1720" s="7"/>
      <c r="C1720" s="7"/>
      <c r="D1720" s="7"/>
      <c r="E1720" s="7"/>
      <c r="F1720" s="7"/>
      <c r="G1720" s="7"/>
    </row>
    <row r="1721" spans="2:7" ht="15" x14ac:dyDescent="0.25">
      <c r="B1721" s="7"/>
      <c r="C1721" s="7"/>
      <c r="D1721" s="7"/>
      <c r="E1721" s="7"/>
      <c r="F1721" s="7"/>
      <c r="G1721" s="7"/>
    </row>
    <row r="1722" spans="2:7" ht="15" x14ac:dyDescent="0.25">
      <c r="B1722" s="7"/>
      <c r="C1722" s="7"/>
      <c r="D1722" s="7"/>
      <c r="E1722" s="7"/>
      <c r="F1722" s="7"/>
      <c r="G1722" s="7"/>
    </row>
    <row r="1723" spans="2:7" ht="15" x14ac:dyDescent="0.25">
      <c r="B1723" s="7"/>
      <c r="C1723" s="7"/>
      <c r="D1723" s="7"/>
      <c r="E1723" s="7"/>
      <c r="F1723" s="7"/>
      <c r="G1723" s="7"/>
    </row>
    <row r="1724" spans="2:7" ht="15" x14ac:dyDescent="0.25">
      <c r="B1724" s="7"/>
      <c r="C1724" s="7"/>
      <c r="D1724" s="7"/>
      <c r="E1724" s="7"/>
      <c r="F1724" s="7"/>
      <c r="G1724" s="7"/>
    </row>
    <row r="1725" spans="2:7" ht="15" x14ac:dyDescent="0.25">
      <c r="B1725" s="7"/>
      <c r="C1725" s="7"/>
      <c r="D1725" s="7"/>
      <c r="E1725" s="7"/>
      <c r="F1725" s="7"/>
      <c r="G1725" s="7"/>
    </row>
    <row r="1726" spans="2:7" ht="15" x14ac:dyDescent="0.25">
      <c r="B1726" s="7"/>
      <c r="C1726" s="7"/>
      <c r="D1726" s="7"/>
      <c r="E1726" s="7"/>
      <c r="F1726" s="7"/>
      <c r="G1726" s="7"/>
    </row>
    <row r="1727" spans="2:7" ht="15" x14ac:dyDescent="0.25">
      <c r="B1727" s="7"/>
      <c r="C1727" s="7"/>
      <c r="D1727" s="7"/>
      <c r="E1727" s="7"/>
      <c r="F1727" s="7"/>
      <c r="G1727" s="7"/>
    </row>
    <row r="1728" spans="2:7" ht="15" x14ac:dyDescent="0.25">
      <c r="B1728" s="7"/>
      <c r="C1728" s="7"/>
      <c r="D1728" s="7"/>
      <c r="E1728" s="7"/>
      <c r="F1728" s="7"/>
      <c r="G1728" s="7"/>
    </row>
    <row r="1729" spans="2:7" ht="15" x14ac:dyDescent="0.25">
      <c r="B1729" s="7"/>
      <c r="C1729" s="7"/>
      <c r="D1729" s="7"/>
      <c r="E1729" s="7"/>
      <c r="F1729" s="7"/>
      <c r="G1729" s="7"/>
    </row>
    <row r="1730" spans="2:7" ht="15" x14ac:dyDescent="0.25">
      <c r="B1730" s="7"/>
      <c r="C1730" s="7"/>
      <c r="D1730" s="7"/>
      <c r="E1730" s="7"/>
      <c r="F1730" s="7"/>
      <c r="G1730" s="7"/>
    </row>
    <row r="1731" spans="2:7" ht="15" x14ac:dyDescent="0.25">
      <c r="B1731" s="7"/>
      <c r="C1731" s="7"/>
      <c r="D1731" s="7"/>
      <c r="E1731" s="7"/>
      <c r="F1731" s="7"/>
      <c r="G1731" s="7"/>
    </row>
    <row r="1732" spans="2:7" ht="15" x14ac:dyDescent="0.25">
      <c r="B1732" s="7"/>
      <c r="C1732" s="7"/>
      <c r="D1732" s="7"/>
      <c r="E1732" s="7"/>
      <c r="F1732" s="7"/>
      <c r="G1732" s="7"/>
    </row>
    <row r="1733" spans="2:7" ht="15" x14ac:dyDescent="0.25">
      <c r="B1733" s="7"/>
      <c r="C1733" s="7"/>
      <c r="D1733" s="7"/>
      <c r="E1733" s="7"/>
      <c r="F1733" s="7"/>
      <c r="G1733" s="7"/>
    </row>
    <row r="1734" spans="2:7" ht="15" x14ac:dyDescent="0.25">
      <c r="B1734" s="7"/>
      <c r="C1734" s="7"/>
      <c r="D1734" s="7"/>
      <c r="E1734" s="7"/>
      <c r="F1734" s="7"/>
      <c r="G1734" s="7"/>
    </row>
    <row r="1735" spans="2:7" ht="15" x14ac:dyDescent="0.25">
      <c r="B1735" s="7"/>
      <c r="C1735" s="7"/>
      <c r="D1735" s="7"/>
      <c r="E1735" s="7"/>
      <c r="F1735" s="7"/>
      <c r="G1735" s="7"/>
    </row>
    <row r="1736" spans="2:7" ht="15" x14ac:dyDescent="0.25">
      <c r="B1736" s="7"/>
      <c r="C1736" s="7"/>
      <c r="D1736" s="7"/>
      <c r="E1736" s="7"/>
      <c r="F1736" s="7"/>
      <c r="G1736" s="7"/>
    </row>
    <row r="1737" spans="2:7" ht="15" x14ac:dyDescent="0.25">
      <c r="B1737" s="7"/>
      <c r="C1737" s="7"/>
      <c r="D1737" s="7"/>
      <c r="E1737" s="7"/>
      <c r="F1737" s="7"/>
      <c r="G1737" s="7"/>
    </row>
    <row r="1738" spans="2:7" ht="15" x14ac:dyDescent="0.25">
      <c r="B1738" s="7"/>
      <c r="C1738" s="7"/>
      <c r="D1738" s="7"/>
      <c r="E1738" s="7"/>
      <c r="F1738" s="7"/>
      <c r="G1738" s="7"/>
    </row>
    <row r="1739" spans="2:7" ht="15" x14ac:dyDescent="0.25">
      <c r="B1739" s="7"/>
      <c r="C1739" s="7"/>
      <c r="D1739" s="7"/>
      <c r="E1739" s="7"/>
      <c r="F1739" s="7"/>
      <c r="G1739" s="7"/>
    </row>
    <row r="1740" spans="2:7" ht="15" x14ac:dyDescent="0.25">
      <c r="B1740" s="7"/>
      <c r="C1740" s="7"/>
      <c r="D1740" s="7"/>
      <c r="E1740" s="7"/>
      <c r="F1740" s="7"/>
      <c r="G1740" s="7"/>
    </row>
    <row r="1741" spans="2:7" ht="15" x14ac:dyDescent="0.25">
      <c r="B1741" s="7"/>
      <c r="C1741" s="7"/>
      <c r="D1741" s="7"/>
      <c r="E1741" s="7"/>
      <c r="F1741" s="7"/>
      <c r="G1741" s="7"/>
    </row>
    <row r="1742" spans="2:7" ht="15" x14ac:dyDescent="0.25">
      <c r="B1742" s="7"/>
      <c r="C1742" s="7"/>
      <c r="D1742" s="7"/>
      <c r="E1742" s="7"/>
      <c r="F1742" s="7"/>
      <c r="G1742" s="7"/>
    </row>
    <row r="1743" spans="2:7" ht="15" x14ac:dyDescent="0.25">
      <c r="B1743" s="7"/>
      <c r="C1743" s="7"/>
      <c r="D1743" s="7"/>
      <c r="E1743" s="7"/>
      <c r="F1743" s="7"/>
      <c r="G1743" s="7"/>
    </row>
    <row r="1744" spans="2:7" ht="15" x14ac:dyDescent="0.25">
      <c r="B1744" s="7"/>
      <c r="C1744" s="7"/>
      <c r="D1744" s="7"/>
      <c r="E1744" s="7"/>
      <c r="F1744" s="7"/>
      <c r="G1744" s="7"/>
    </row>
    <row r="1745" spans="2:7" ht="15" x14ac:dyDescent="0.25">
      <c r="B1745" s="7"/>
      <c r="C1745" s="7"/>
      <c r="D1745" s="7"/>
      <c r="E1745" s="7"/>
      <c r="F1745" s="7"/>
      <c r="G1745" s="7"/>
    </row>
    <row r="1746" spans="2:7" ht="15" x14ac:dyDescent="0.25">
      <c r="B1746" s="7"/>
      <c r="C1746" s="7"/>
      <c r="D1746" s="7"/>
      <c r="E1746" s="7"/>
      <c r="F1746" s="7"/>
      <c r="G1746" s="7"/>
    </row>
    <row r="1747" spans="2:7" ht="15" x14ac:dyDescent="0.25">
      <c r="B1747" s="7"/>
      <c r="C1747" s="7"/>
      <c r="D1747" s="7"/>
      <c r="E1747" s="7"/>
      <c r="F1747" s="7"/>
      <c r="G1747" s="7"/>
    </row>
    <row r="1748" spans="2:7" ht="15" x14ac:dyDescent="0.25">
      <c r="B1748" s="7"/>
      <c r="C1748" s="7"/>
      <c r="D1748" s="7"/>
      <c r="E1748" s="7"/>
      <c r="F1748" s="7"/>
      <c r="G1748" s="7"/>
    </row>
    <row r="1749" spans="2:7" ht="15" x14ac:dyDescent="0.25">
      <c r="B1749" s="7"/>
      <c r="C1749" s="7"/>
      <c r="D1749" s="7"/>
      <c r="E1749" s="7"/>
      <c r="F1749" s="7"/>
      <c r="G1749" s="7"/>
    </row>
    <row r="1750" spans="2:7" ht="15" x14ac:dyDescent="0.25">
      <c r="B1750" s="7"/>
      <c r="C1750" s="7"/>
      <c r="D1750" s="7"/>
      <c r="E1750" s="7"/>
      <c r="F1750" s="7"/>
      <c r="G1750" s="7"/>
    </row>
    <row r="1751" spans="2:7" ht="15" x14ac:dyDescent="0.25">
      <c r="B1751" s="7"/>
      <c r="C1751" s="7"/>
      <c r="D1751" s="7"/>
      <c r="E1751" s="7"/>
      <c r="F1751" s="7"/>
      <c r="G1751" s="7"/>
    </row>
    <row r="1752" spans="2:7" ht="15" x14ac:dyDescent="0.25">
      <c r="B1752" s="7"/>
      <c r="C1752" s="7"/>
      <c r="D1752" s="7"/>
      <c r="E1752" s="7"/>
      <c r="F1752" s="7"/>
      <c r="G1752" s="7"/>
    </row>
    <row r="1753" spans="2:7" ht="15" x14ac:dyDescent="0.25">
      <c r="B1753" s="7"/>
      <c r="C1753" s="7"/>
      <c r="D1753" s="7"/>
      <c r="E1753" s="7"/>
      <c r="F1753" s="7"/>
      <c r="G1753" s="7"/>
    </row>
    <row r="1754" spans="2:7" ht="15" x14ac:dyDescent="0.25">
      <c r="B1754" s="7"/>
      <c r="C1754" s="7"/>
      <c r="D1754" s="7"/>
      <c r="E1754" s="7"/>
      <c r="F1754" s="7"/>
      <c r="G1754" s="7"/>
    </row>
    <row r="1755" spans="2:7" ht="15" x14ac:dyDescent="0.25">
      <c r="B1755" s="7"/>
      <c r="C1755" s="7"/>
      <c r="D1755" s="7"/>
      <c r="E1755" s="7"/>
      <c r="F1755" s="7"/>
      <c r="G1755" s="7"/>
    </row>
    <row r="1756" spans="2:7" ht="15" x14ac:dyDescent="0.25">
      <c r="B1756" s="7"/>
      <c r="C1756" s="7"/>
      <c r="D1756" s="7"/>
      <c r="E1756" s="7"/>
      <c r="F1756" s="7"/>
      <c r="G1756" s="7"/>
    </row>
    <row r="1757" spans="2:7" ht="15" x14ac:dyDescent="0.25">
      <c r="B1757" s="7"/>
      <c r="C1757" s="7"/>
      <c r="D1757" s="7"/>
      <c r="E1757" s="7"/>
      <c r="F1757" s="7"/>
      <c r="G1757" s="7"/>
    </row>
    <row r="1758" spans="2:7" ht="15" x14ac:dyDescent="0.25">
      <c r="B1758" s="7"/>
      <c r="C1758" s="7"/>
      <c r="D1758" s="7"/>
      <c r="E1758" s="7"/>
      <c r="F1758" s="7"/>
      <c r="G1758" s="7"/>
    </row>
    <row r="1759" spans="2:7" ht="15" x14ac:dyDescent="0.25">
      <c r="B1759" s="7"/>
      <c r="C1759" s="7"/>
      <c r="D1759" s="7"/>
      <c r="E1759" s="7"/>
      <c r="F1759" s="7"/>
      <c r="G1759" s="7"/>
    </row>
    <row r="1760" spans="2:7" ht="15" x14ac:dyDescent="0.25">
      <c r="B1760" s="7"/>
      <c r="C1760" s="7"/>
      <c r="D1760" s="7"/>
      <c r="E1760" s="7"/>
      <c r="F1760" s="7"/>
      <c r="G1760" s="7"/>
    </row>
    <row r="1761" spans="2:7" ht="15" x14ac:dyDescent="0.25">
      <c r="B1761" s="7"/>
      <c r="C1761" s="7"/>
      <c r="D1761" s="7"/>
      <c r="E1761" s="7"/>
      <c r="F1761" s="7"/>
      <c r="G1761" s="7"/>
    </row>
    <row r="1762" spans="2:7" ht="15" x14ac:dyDescent="0.25">
      <c r="B1762" s="7"/>
      <c r="C1762" s="7"/>
      <c r="D1762" s="7"/>
      <c r="E1762" s="7"/>
      <c r="F1762" s="7"/>
      <c r="G1762" s="7"/>
    </row>
    <row r="1763" spans="2:7" ht="15" x14ac:dyDescent="0.25">
      <c r="B1763" s="7"/>
      <c r="C1763" s="7"/>
      <c r="D1763" s="7"/>
      <c r="E1763" s="7"/>
      <c r="F1763" s="7"/>
      <c r="G1763" s="7"/>
    </row>
    <row r="1764" spans="2:7" ht="15" x14ac:dyDescent="0.25">
      <c r="B1764" s="7"/>
      <c r="C1764" s="7"/>
      <c r="D1764" s="7"/>
      <c r="E1764" s="7"/>
      <c r="F1764" s="7"/>
      <c r="G1764" s="7"/>
    </row>
    <row r="1765" spans="2:7" ht="15" x14ac:dyDescent="0.25">
      <c r="B1765" s="7"/>
      <c r="C1765" s="7"/>
      <c r="D1765" s="7"/>
      <c r="E1765" s="7"/>
      <c r="F1765" s="7"/>
      <c r="G1765" s="7"/>
    </row>
    <row r="1766" spans="2:7" ht="15" x14ac:dyDescent="0.25">
      <c r="B1766" s="7"/>
      <c r="C1766" s="7"/>
      <c r="D1766" s="7"/>
      <c r="E1766" s="7"/>
      <c r="F1766" s="7"/>
      <c r="G1766" s="7"/>
    </row>
    <row r="1767" spans="2:7" ht="15" x14ac:dyDescent="0.25">
      <c r="B1767" s="7"/>
      <c r="C1767" s="7"/>
      <c r="D1767" s="7"/>
      <c r="E1767" s="7"/>
      <c r="F1767" s="7"/>
      <c r="G1767" s="7"/>
    </row>
    <row r="1768" spans="2:7" ht="15" x14ac:dyDescent="0.25">
      <c r="B1768" s="7"/>
      <c r="C1768" s="7"/>
      <c r="D1768" s="7"/>
      <c r="E1768" s="7"/>
      <c r="F1768" s="7"/>
      <c r="G1768" s="7"/>
    </row>
    <row r="1769" spans="2:7" ht="15" x14ac:dyDescent="0.25">
      <c r="B1769" s="7"/>
      <c r="C1769" s="7"/>
      <c r="D1769" s="7"/>
      <c r="E1769" s="7"/>
      <c r="F1769" s="7"/>
      <c r="G1769" s="7"/>
    </row>
    <row r="1770" spans="2:7" ht="15" x14ac:dyDescent="0.25">
      <c r="B1770" s="7"/>
      <c r="C1770" s="7"/>
      <c r="D1770" s="7"/>
      <c r="E1770" s="7"/>
      <c r="F1770" s="7"/>
      <c r="G1770" s="7"/>
    </row>
    <row r="1771" spans="2:7" ht="15" x14ac:dyDescent="0.25">
      <c r="B1771" s="7"/>
      <c r="C1771" s="7"/>
      <c r="D1771" s="7"/>
      <c r="E1771" s="7"/>
      <c r="F1771" s="7"/>
      <c r="G1771" s="7"/>
    </row>
    <row r="1772" spans="2:7" ht="15" x14ac:dyDescent="0.25">
      <c r="B1772" s="7"/>
      <c r="C1772" s="7"/>
      <c r="D1772" s="7"/>
      <c r="E1772" s="7"/>
      <c r="F1772" s="7"/>
      <c r="G1772" s="7"/>
    </row>
    <row r="1773" spans="2:7" ht="15" x14ac:dyDescent="0.25">
      <c r="B1773" s="7"/>
      <c r="C1773" s="7"/>
      <c r="D1773" s="7"/>
      <c r="E1773" s="7"/>
      <c r="F1773" s="7"/>
      <c r="G1773" s="7"/>
    </row>
    <row r="1774" spans="2:7" ht="15" x14ac:dyDescent="0.25">
      <c r="B1774" s="7"/>
      <c r="C1774" s="7"/>
      <c r="D1774" s="7"/>
      <c r="E1774" s="7"/>
      <c r="F1774" s="7"/>
      <c r="G1774" s="7"/>
    </row>
    <row r="1775" spans="2:7" ht="15" x14ac:dyDescent="0.25">
      <c r="B1775" s="7"/>
      <c r="C1775" s="7"/>
      <c r="D1775" s="7"/>
      <c r="E1775" s="7"/>
      <c r="F1775" s="7"/>
      <c r="G1775" s="7"/>
    </row>
    <row r="1776" spans="2:7" ht="15" x14ac:dyDescent="0.25">
      <c r="B1776" s="7"/>
      <c r="C1776" s="7"/>
      <c r="D1776" s="7"/>
      <c r="E1776" s="7"/>
      <c r="F1776" s="7"/>
      <c r="G1776" s="7"/>
    </row>
    <row r="1777" spans="2:7" ht="15" x14ac:dyDescent="0.25">
      <c r="B1777" s="7"/>
      <c r="C1777" s="7"/>
      <c r="D1777" s="7"/>
      <c r="E1777" s="7"/>
      <c r="F1777" s="7"/>
      <c r="G1777" s="7"/>
    </row>
    <row r="1778" spans="2:7" ht="15" x14ac:dyDescent="0.25">
      <c r="B1778" s="7"/>
      <c r="C1778" s="7"/>
      <c r="D1778" s="7"/>
      <c r="E1778" s="7"/>
      <c r="F1778" s="7"/>
      <c r="G1778" s="7"/>
    </row>
    <row r="1779" spans="2:7" ht="15" x14ac:dyDescent="0.25">
      <c r="B1779" s="7"/>
      <c r="C1779" s="7"/>
      <c r="D1779" s="7"/>
      <c r="E1779" s="7"/>
      <c r="F1779" s="7"/>
      <c r="G1779" s="7"/>
    </row>
    <row r="1780" spans="2:7" ht="15" x14ac:dyDescent="0.25">
      <c r="B1780" s="7"/>
      <c r="C1780" s="7"/>
      <c r="D1780" s="7"/>
      <c r="E1780" s="7"/>
      <c r="F1780" s="7"/>
      <c r="G1780" s="7"/>
    </row>
    <row r="1781" spans="2:7" ht="15" x14ac:dyDescent="0.25">
      <c r="B1781" s="7"/>
      <c r="C1781" s="7"/>
      <c r="D1781" s="7"/>
      <c r="E1781" s="7"/>
      <c r="F1781" s="7"/>
      <c r="G1781" s="7"/>
    </row>
    <row r="1782" spans="2:7" ht="15" x14ac:dyDescent="0.25">
      <c r="B1782" s="7"/>
      <c r="C1782" s="7"/>
      <c r="D1782" s="7"/>
      <c r="E1782" s="7"/>
      <c r="F1782" s="7"/>
      <c r="G1782" s="7"/>
    </row>
    <row r="1783" spans="2:7" ht="15" x14ac:dyDescent="0.25">
      <c r="B1783" s="7"/>
      <c r="C1783" s="7"/>
      <c r="D1783" s="7"/>
      <c r="E1783" s="7"/>
      <c r="F1783" s="7"/>
      <c r="G1783" s="7"/>
    </row>
    <row r="1784" spans="2:7" ht="15" x14ac:dyDescent="0.25">
      <c r="B1784" s="7"/>
      <c r="C1784" s="7"/>
      <c r="D1784" s="7"/>
      <c r="E1784" s="7"/>
      <c r="F1784" s="7"/>
      <c r="G1784" s="7"/>
    </row>
    <row r="1785" spans="2:7" ht="15" x14ac:dyDescent="0.25">
      <c r="B1785" s="7"/>
      <c r="C1785" s="7"/>
      <c r="D1785" s="7"/>
      <c r="E1785" s="7"/>
      <c r="F1785" s="7"/>
      <c r="G1785" s="7"/>
    </row>
    <row r="1786" spans="2:7" ht="15" x14ac:dyDescent="0.25">
      <c r="B1786" s="7"/>
      <c r="C1786" s="7"/>
      <c r="D1786" s="7"/>
      <c r="E1786" s="7"/>
      <c r="F1786" s="7"/>
      <c r="G1786" s="7"/>
    </row>
    <row r="1787" spans="2:7" ht="15" x14ac:dyDescent="0.25">
      <c r="B1787" s="7"/>
      <c r="C1787" s="7"/>
      <c r="D1787" s="7"/>
      <c r="E1787" s="7"/>
      <c r="F1787" s="7"/>
      <c r="G1787" s="7"/>
    </row>
    <row r="1788" spans="2:7" ht="15" x14ac:dyDescent="0.25">
      <c r="B1788" s="7"/>
      <c r="C1788" s="7"/>
      <c r="D1788" s="7"/>
      <c r="E1788" s="7"/>
      <c r="F1788" s="7"/>
      <c r="G1788" s="7"/>
    </row>
    <row r="1789" spans="2:7" ht="15" x14ac:dyDescent="0.25">
      <c r="B1789" s="7"/>
      <c r="C1789" s="7"/>
      <c r="D1789" s="7"/>
      <c r="E1789" s="7"/>
      <c r="F1789" s="7"/>
      <c r="G1789" s="7"/>
    </row>
    <row r="1790" spans="2:7" ht="15" x14ac:dyDescent="0.25">
      <c r="B1790" s="7"/>
      <c r="C1790" s="7"/>
      <c r="D1790" s="7"/>
      <c r="E1790" s="7"/>
      <c r="F1790" s="7"/>
      <c r="G1790" s="7"/>
    </row>
    <row r="1791" spans="2:7" ht="15" x14ac:dyDescent="0.25">
      <c r="B1791" s="7"/>
      <c r="C1791" s="7"/>
      <c r="D1791" s="7"/>
      <c r="E1791" s="7"/>
      <c r="F1791" s="7"/>
      <c r="G1791" s="7"/>
    </row>
    <row r="1792" spans="2:7" ht="15" x14ac:dyDescent="0.25">
      <c r="B1792" s="7"/>
      <c r="C1792" s="7"/>
      <c r="D1792" s="7"/>
      <c r="E1792" s="7"/>
      <c r="F1792" s="7"/>
      <c r="G1792" s="7"/>
    </row>
    <row r="1793" spans="2:7" ht="15" x14ac:dyDescent="0.25">
      <c r="B1793" s="7"/>
      <c r="C1793" s="7"/>
      <c r="D1793" s="7"/>
      <c r="E1793" s="7"/>
      <c r="F1793" s="7"/>
      <c r="G1793" s="7"/>
    </row>
    <row r="1794" spans="2:7" ht="15" x14ac:dyDescent="0.25">
      <c r="B1794" s="7"/>
      <c r="C1794" s="7"/>
      <c r="D1794" s="7"/>
      <c r="E1794" s="7"/>
      <c r="F1794" s="7"/>
      <c r="G1794" s="7"/>
    </row>
    <row r="1795" spans="2:7" ht="15" x14ac:dyDescent="0.25">
      <c r="B1795" s="7"/>
      <c r="C1795" s="7"/>
      <c r="D1795" s="7"/>
      <c r="E1795" s="7"/>
      <c r="F1795" s="7"/>
      <c r="G1795" s="7"/>
    </row>
    <row r="1796" spans="2:7" ht="15" x14ac:dyDescent="0.25">
      <c r="B1796" s="7"/>
      <c r="C1796" s="7"/>
      <c r="D1796" s="7"/>
      <c r="E1796" s="7"/>
      <c r="F1796" s="7"/>
      <c r="G1796" s="7"/>
    </row>
    <row r="1797" spans="2:7" ht="15" x14ac:dyDescent="0.25">
      <c r="B1797" s="7"/>
      <c r="C1797" s="7"/>
      <c r="D1797" s="7"/>
      <c r="E1797" s="7"/>
      <c r="F1797" s="7"/>
      <c r="G1797" s="7"/>
    </row>
    <row r="1798" spans="2:7" ht="15" x14ac:dyDescent="0.25">
      <c r="B1798" s="7"/>
      <c r="C1798" s="7"/>
      <c r="D1798" s="7"/>
      <c r="E1798" s="7"/>
      <c r="F1798" s="7"/>
      <c r="G1798" s="7"/>
    </row>
    <row r="1799" spans="2:7" ht="15" x14ac:dyDescent="0.25">
      <c r="B1799" s="7"/>
      <c r="C1799" s="7"/>
      <c r="D1799" s="7"/>
      <c r="E1799" s="7"/>
      <c r="F1799" s="7"/>
      <c r="G1799" s="7"/>
    </row>
    <row r="1800" spans="2:7" ht="15" x14ac:dyDescent="0.25">
      <c r="B1800" s="7"/>
      <c r="C1800" s="7"/>
      <c r="D1800" s="7"/>
      <c r="E1800" s="7"/>
      <c r="F1800" s="7"/>
      <c r="G1800" s="7"/>
    </row>
    <row r="1801" spans="2:7" ht="15" x14ac:dyDescent="0.25">
      <c r="B1801" s="7"/>
      <c r="C1801" s="7"/>
      <c r="D1801" s="7"/>
      <c r="E1801" s="7"/>
      <c r="F1801" s="7"/>
      <c r="G1801" s="7"/>
    </row>
    <row r="1802" spans="2:7" ht="15" x14ac:dyDescent="0.25">
      <c r="B1802" s="7"/>
      <c r="C1802" s="7"/>
      <c r="D1802" s="7"/>
      <c r="E1802" s="7"/>
      <c r="F1802" s="7"/>
      <c r="G1802" s="7"/>
    </row>
    <row r="1803" spans="2:7" ht="15" x14ac:dyDescent="0.25">
      <c r="B1803" s="7"/>
      <c r="C1803" s="7"/>
      <c r="D1803" s="7"/>
      <c r="E1803" s="7"/>
      <c r="F1803" s="7"/>
      <c r="G1803" s="7"/>
    </row>
    <row r="1804" spans="2:7" ht="15" x14ac:dyDescent="0.25">
      <c r="B1804" s="7"/>
      <c r="C1804" s="7"/>
      <c r="D1804" s="7"/>
      <c r="E1804" s="7"/>
      <c r="F1804" s="7"/>
      <c r="G1804" s="7"/>
    </row>
    <row r="1805" spans="2:7" ht="15" x14ac:dyDescent="0.25">
      <c r="B1805" s="7"/>
      <c r="C1805" s="7"/>
      <c r="D1805" s="7"/>
      <c r="E1805" s="7"/>
      <c r="F1805" s="7"/>
      <c r="G1805" s="7"/>
    </row>
    <row r="1806" spans="2:7" ht="15" x14ac:dyDescent="0.25">
      <c r="B1806" s="7"/>
      <c r="C1806" s="7"/>
      <c r="D1806" s="7"/>
      <c r="E1806" s="7"/>
      <c r="F1806" s="7"/>
      <c r="G1806" s="7"/>
    </row>
    <row r="1807" spans="2:7" ht="15" x14ac:dyDescent="0.25">
      <c r="B1807" s="7"/>
      <c r="C1807" s="7"/>
      <c r="D1807" s="7"/>
      <c r="E1807" s="7"/>
      <c r="F1807" s="7"/>
      <c r="G1807" s="7"/>
    </row>
    <row r="1808" spans="2:7" ht="15" x14ac:dyDescent="0.25">
      <c r="B1808" s="7"/>
      <c r="C1808" s="7"/>
      <c r="D1808" s="7"/>
      <c r="E1808" s="7"/>
      <c r="F1808" s="7"/>
      <c r="G1808" s="7"/>
    </row>
    <row r="1809" spans="2:7" ht="15" x14ac:dyDescent="0.25">
      <c r="B1809" s="7"/>
      <c r="C1809" s="7"/>
      <c r="D1809" s="7"/>
      <c r="E1809" s="7"/>
      <c r="F1809" s="7"/>
      <c r="G1809" s="7"/>
    </row>
    <row r="1810" spans="2:7" ht="15" x14ac:dyDescent="0.25">
      <c r="B1810" s="7"/>
      <c r="C1810" s="7"/>
      <c r="D1810" s="7"/>
      <c r="E1810" s="7"/>
      <c r="F1810" s="7"/>
      <c r="G1810" s="7"/>
    </row>
    <row r="1811" spans="2:7" ht="15" x14ac:dyDescent="0.25">
      <c r="B1811" s="7"/>
      <c r="C1811" s="7"/>
      <c r="D1811" s="7"/>
      <c r="E1811" s="7"/>
      <c r="F1811" s="7"/>
      <c r="G1811" s="7"/>
    </row>
    <row r="1812" spans="2:7" ht="15" x14ac:dyDescent="0.25">
      <c r="B1812" s="7"/>
      <c r="C1812" s="7"/>
      <c r="D1812" s="7"/>
      <c r="E1812" s="7"/>
      <c r="F1812" s="7"/>
      <c r="G1812" s="7"/>
    </row>
    <row r="1813" spans="2:7" ht="15" x14ac:dyDescent="0.25">
      <c r="B1813" s="7"/>
      <c r="C1813" s="7"/>
      <c r="D1813" s="7"/>
      <c r="E1813" s="7"/>
      <c r="F1813" s="7"/>
      <c r="G1813" s="7"/>
    </row>
    <row r="1814" spans="2:7" ht="15" x14ac:dyDescent="0.25">
      <c r="B1814" s="7"/>
      <c r="C1814" s="7"/>
      <c r="D1814" s="7"/>
      <c r="E1814" s="7"/>
      <c r="F1814" s="7"/>
      <c r="G1814" s="7"/>
    </row>
    <row r="1815" spans="2:7" ht="15" x14ac:dyDescent="0.25">
      <c r="B1815" s="7"/>
      <c r="C1815" s="7"/>
      <c r="D1815" s="7"/>
      <c r="E1815" s="7"/>
      <c r="F1815" s="7"/>
      <c r="G1815" s="7"/>
    </row>
    <row r="1816" spans="2:7" ht="15" x14ac:dyDescent="0.25">
      <c r="B1816" s="7"/>
      <c r="C1816" s="7"/>
      <c r="D1816" s="7"/>
      <c r="E1816" s="7"/>
      <c r="F1816" s="7"/>
      <c r="G1816" s="7"/>
    </row>
    <row r="1817" spans="2:7" ht="15" x14ac:dyDescent="0.25">
      <c r="B1817" s="7"/>
      <c r="C1817" s="7"/>
      <c r="D1817" s="7"/>
      <c r="E1817" s="7"/>
      <c r="F1817" s="7"/>
      <c r="G1817" s="7"/>
    </row>
    <row r="1818" spans="2:7" ht="15" x14ac:dyDescent="0.25">
      <c r="B1818" s="7"/>
      <c r="C1818" s="7"/>
      <c r="D1818" s="7"/>
      <c r="E1818" s="7"/>
      <c r="F1818" s="7"/>
      <c r="G1818" s="7"/>
    </row>
    <row r="1819" spans="2:7" ht="15" x14ac:dyDescent="0.25">
      <c r="B1819" s="7"/>
      <c r="C1819" s="7"/>
      <c r="D1819" s="7"/>
      <c r="E1819" s="7"/>
      <c r="F1819" s="7"/>
      <c r="G1819" s="7"/>
    </row>
    <row r="1820" spans="2:7" ht="15" x14ac:dyDescent="0.25">
      <c r="B1820" s="7"/>
      <c r="C1820" s="7"/>
      <c r="D1820" s="7"/>
      <c r="E1820" s="7"/>
      <c r="F1820" s="7"/>
      <c r="G1820" s="7"/>
    </row>
    <row r="1821" spans="2:7" ht="15" x14ac:dyDescent="0.25">
      <c r="B1821" s="7"/>
      <c r="C1821" s="7"/>
      <c r="D1821" s="7"/>
      <c r="E1821" s="7"/>
      <c r="F1821" s="7"/>
      <c r="G1821" s="7"/>
    </row>
    <row r="1822" spans="2:7" ht="15" x14ac:dyDescent="0.25">
      <c r="B1822" s="7"/>
      <c r="C1822" s="7"/>
      <c r="D1822" s="7"/>
      <c r="E1822" s="7"/>
      <c r="F1822" s="7"/>
      <c r="G1822" s="7"/>
    </row>
    <row r="1823" spans="2:7" ht="15" x14ac:dyDescent="0.25">
      <c r="B1823" s="7"/>
      <c r="C1823" s="7"/>
      <c r="D1823" s="7"/>
      <c r="E1823" s="7"/>
      <c r="F1823" s="7"/>
      <c r="G1823" s="7"/>
    </row>
    <row r="1824" spans="2:7" ht="15" x14ac:dyDescent="0.25">
      <c r="B1824" s="7"/>
      <c r="C1824" s="7"/>
      <c r="D1824" s="7"/>
      <c r="E1824" s="7"/>
      <c r="F1824" s="7"/>
      <c r="G1824" s="7"/>
    </row>
    <row r="1825" spans="2:7" ht="15" x14ac:dyDescent="0.25">
      <c r="B1825" s="7"/>
      <c r="C1825" s="7"/>
      <c r="D1825" s="7"/>
      <c r="E1825" s="7"/>
      <c r="F1825" s="7"/>
      <c r="G1825" s="7"/>
    </row>
    <row r="1826" spans="2:7" ht="15" x14ac:dyDescent="0.25">
      <c r="B1826" s="7"/>
      <c r="C1826" s="7"/>
      <c r="D1826" s="7"/>
      <c r="E1826" s="7"/>
      <c r="F1826" s="7"/>
      <c r="G1826" s="7"/>
    </row>
    <row r="1827" spans="2:7" ht="15" x14ac:dyDescent="0.25">
      <c r="B1827" s="7"/>
      <c r="C1827" s="7"/>
      <c r="D1827" s="7"/>
      <c r="E1827" s="7"/>
      <c r="F1827" s="7"/>
      <c r="G1827" s="7"/>
    </row>
    <row r="1828" spans="2:7" ht="15" x14ac:dyDescent="0.25">
      <c r="B1828" s="7"/>
      <c r="C1828" s="7"/>
      <c r="D1828" s="7"/>
      <c r="E1828" s="7"/>
      <c r="F1828" s="7"/>
      <c r="G1828" s="7"/>
    </row>
    <row r="1829" spans="2:7" ht="15" x14ac:dyDescent="0.25">
      <c r="B1829" s="7"/>
      <c r="C1829" s="7"/>
      <c r="D1829" s="7"/>
      <c r="E1829" s="7"/>
      <c r="F1829" s="7"/>
      <c r="G1829" s="7"/>
    </row>
    <row r="1830" spans="2:7" ht="15" x14ac:dyDescent="0.25">
      <c r="B1830" s="7"/>
      <c r="C1830" s="7"/>
      <c r="D1830" s="7"/>
      <c r="E1830" s="7"/>
      <c r="F1830" s="7"/>
      <c r="G1830" s="7"/>
    </row>
    <row r="1831" spans="2:7" ht="15" x14ac:dyDescent="0.25">
      <c r="B1831" s="7"/>
      <c r="C1831" s="7"/>
      <c r="D1831" s="7"/>
      <c r="E1831" s="7"/>
      <c r="F1831" s="7"/>
      <c r="G1831" s="7"/>
    </row>
    <row r="1832" spans="2:7" ht="15" x14ac:dyDescent="0.25">
      <c r="B1832" s="7"/>
      <c r="C1832" s="7"/>
      <c r="D1832" s="7"/>
      <c r="E1832" s="7"/>
      <c r="F1832" s="7"/>
      <c r="G1832" s="7"/>
    </row>
    <row r="1833" spans="2:7" ht="15" x14ac:dyDescent="0.25">
      <c r="B1833" s="7"/>
      <c r="C1833" s="7"/>
      <c r="D1833" s="7"/>
      <c r="E1833" s="7"/>
      <c r="F1833" s="7"/>
      <c r="G1833" s="7"/>
    </row>
    <row r="1834" spans="2:7" ht="15" x14ac:dyDescent="0.25">
      <c r="B1834" s="7"/>
      <c r="C1834" s="7"/>
      <c r="D1834" s="7"/>
      <c r="E1834" s="7"/>
      <c r="F1834" s="7"/>
      <c r="G1834" s="7"/>
    </row>
    <row r="1835" spans="2:7" ht="15" x14ac:dyDescent="0.25">
      <c r="B1835" s="7"/>
      <c r="C1835" s="7"/>
      <c r="D1835" s="7"/>
      <c r="E1835" s="7"/>
      <c r="F1835" s="7"/>
      <c r="G1835" s="7"/>
    </row>
    <row r="1836" spans="2:7" ht="15" x14ac:dyDescent="0.25">
      <c r="B1836" s="7"/>
      <c r="C1836" s="7"/>
      <c r="D1836" s="7"/>
      <c r="E1836" s="7"/>
      <c r="F1836" s="7"/>
      <c r="G1836" s="7"/>
    </row>
    <row r="1837" spans="2:7" ht="15" x14ac:dyDescent="0.25">
      <c r="B1837" s="7"/>
      <c r="C1837" s="7"/>
      <c r="D1837" s="7"/>
      <c r="E1837" s="7"/>
      <c r="F1837" s="7"/>
      <c r="G1837" s="7"/>
    </row>
    <row r="1838" spans="2:7" ht="15" x14ac:dyDescent="0.25">
      <c r="B1838" s="7"/>
      <c r="C1838" s="7"/>
      <c r="D1838" s="7"/>
      <c r="E1838" s="7"/>
      <c r="F1838" s="7"/>
      <c r="G1838" s="7"/>
    </row>
    <row r="1839" spans="2:7" ht="15" x14ac:dyDescent="0.25">
      <c r="B1839" s="7"/>
      <c r="C1839" s="7"/>
      <c r="D1839" s="7"/>
      <c r="E1839" s="7"/>
      <c r="F1839" s="7"/>
      <c r="G1839" s="7"/>
    </row>
    <row r="1840" spans="2:7" ht="15" x14ac:dyDescent="0.25">
      <c r="B1840" s="7"/>
      <c r="C1840" s="7"/>
      <c r="D1840" s="7"/>
      <c r="E1840" s="7"/>
      <c r="F1840" s="7"/>
      <c r="G1840" s="7"/>
    </row>
    <row r="1841" spans="2:7" ht="15" x14ac:dyDescent="0.25">
      <c r="B1841" s="7"/>
      <c r="C1841" s="7"/>
      <c r="D1841" s="7"/>
      <c r="E1841" s="7"/>
      <c r="F1841" s="7"/>
      <c r="G1841" s="7"/>
    </row>
    <row r="1842" spans="2:7" ht="15" x14ac:dyDescent="0.25">
      <c r="B1842" s="7"/>
      <c r="C1842" s="7"/>
      <c r="D1842" s="7"/>
      <c r="E1842" s="7"/>
      <c r="F1842" s="7"/>
      <c r="G1842" s="7"/>
    </row>
    <row r="1843" spans="2:7" ht="15" x14ac:dyDescent="0.25">
      <c r="B1843" s="7"/>
      <c r="C1843" s="7"/>
      <c r="D1843" s="7"/>
      <c r="E1843" s="7"/>
      <c r="F1843" s="7"/>
      <c r="G1843" s="7"/>
    </row>
    <row r="1844" spans="2:7" ht="15" x14ac:dyDescent="0.25">
      <c r="B1844" s="7"/>
      <c r="C1844" s="7"/>
      <c r="D1844" s="7"/>
      <c r="E1844" s="7"/>
      <c r="F1844" s="7"/>
      <c r="G1844" s="7"/>
    </row>
    <row r="1845" spans="2:7" ht="15" x14ac:dyDescent="0.25">
      <c r="B1845" s="7"/>
      <c r="C1845" s="7"/>
      <c r="D1845" s="7"/>
      <c r="E1845" s="7"/>
      <c r="F1845" s="7"/>
      <c r="G1845" s="7"/>
    </row>
    <row r="1846" spans="2:7" ht="15" x14ac:dyDescent="0.25">
      <c r="B1846" s="7"/>
      <c r="C1846" s="7"/>
      <c r="D1846" s="7"/>
      <c r="E1846" s="7"/>
      <c r="F1846" s="7"/>
      <c r="G1846" s="7"/>
    </row>
    <row r="1847" spans="2:7" ht="15" x14ac:dyDescent="0.25">
      <c r="B1847" s="7"/>
      <c r="C1847" s="7"/>
      <c r="D1847" s="7"/>
      <c r="E1847" s="7"/>
      <c r="F1847" s="7"/>
      <c r="G1847" s="7"/>
    </row>
    <row r="1848" spans="2:7" ht="15" x14ac:dyDescent="0.25">
      <c r="B1848" s="7"/>
      <c r="C1848" s="7"/>
      <c r="D1848" s="7"/>
      <c r="E1848" s="7"/>
      <c r="F1848" s="7"/>
      <c r="G1848" s="7"/>
    </row>
    <row r="1849" spans="2:7" ht="15" x14ac:dyDescent="0.25">
      <c r="B1849" s="7"/>
      <c r="C1849" s="7"/>
      <c r="D1849" s="7"/>
      <c r="E1849" s="7"/>
      <c r="F1849" s="7"/>
      <c r="G1849" s="7"/>
    </row>
    <row r="1850" spans="2:7" ht="15" x14ac:dyDescent="0.25">
      <c r="B1850" s="7"/>
      <c r="C1850" s="7"/>
      <c r="D1850" s="7"/>
      <c r="E1850" s="7"/>
      <c r="F1850" s="7"/>
      <c r="G1850" s="7"/>
    </row>
    <row r="1851" spans="2:7" ht="15" x14ac:dyDescent="0.25">
      <c r="B1851" s="7"/>
      <c r="C1851" s="7"/>
      <c r="D1851" s="7"/>
      <c r="E1851" s="7"/>
      <c r="F1851" s="7"/>
      <c r="G1851" s="7"/>
    </row>
    <row r="1852" spans="2:7" ht="15" x14ac:dyDescent="0.25">
      <c r="B1852" s="7"/>
      <c r="C1852" s="7"/>
      <c r="D1852" s="7"/>
      <c r="E1852" s="7"/>
      <c r="F1852" s="7"/>
      <c r="G1852" s="7"/>
    </row>
    <row r="1853" spans="2:7" ht="15" x14ac:dyDescent="0.25">
      <c r="B1853" s="7"/>
      <c r="C1853" s="7"/>
      <c r="D1853" s="7"/>
      <c r="E1853" s="7"/>
      <c r="F1853" s="7"/>
      <c r="G1853" s="7"/>
    </row>
    <row r="1854" spans="2:7" ht="15" x14ac:dyDescent="0.25">
      <c r="B1854" s="7"/>
      <c r="C1854" s="7"/>
      <c r="D1854" s="7"/>
      <c r="E1854" s="7"/>
      <c r="F1854" s="7"/>
      <c r="G1854" s="7"/>
    </row>
    <row r="1855" spans="2:7" ht="15" x14ac:dyDescent="0.25">
      <c r="B1855" s="7"/>
      <c r="C1855" s="7"/>
      <c r="D1855" s="7"/>
      <c r="E1855" s="7"/>
      <c r="F1855" s="7"/>
      <c r="G1855" s="7"/>
    </row>
    <row r="1856" spans="2:7" ht="15" x14ac:dyDescent="0.25">
      <c r="B1856" s="7"/>
      <c r="C1856" s="7"/>
      <c r="D1856" s="7"/>
      <c r="E1856" s="7"/>
      <c r="F1856" s="7"/>
      <c r="G1856" s="7"/>
    </row>
    <row r="1857" spans="2:7" ht="15" x14ac:dyDescent="0.25">
      <c r="B1857" s="7"/>
      <c r="C1857" s="7"/>
      <c r="D1857" s="7"/>
      <c r="E1857" s="7"/>
      <c r="F1857" s="7"/>
      <c r="G1857" s="7"/>
    </row>
    <row r="1858" spans="2:7" ht="15" x14ac:dyDescent="0.25">
      <c r="B1858" s="7"/>
      <c r="C1858" s="7"/>
      <c r="D1858" s="7"/>
      <c r="E1858" s="7"/>
      <c r="F1858" s="7"/>
      <c r="G1858" s="7"/>
    </row>
    <row r="1859" spans="2:7" ht="15" x14ac:dyDescent="0.25">
      <c r="B1859" s="7"/>
      <c r="C1859" s="7"/>
      <c r="D1859" s="7"/>
      <c r="E1859" s="7"/>
      <c r="F1859" s="7"/>
      <c r="G1859" s="7"/>
    </row>
    <row r="1860" spans="2:7" ht="15" x14ac:dyDescent="0.25">
      <c r="B1860" s="7"/>
      <c r="C1860" s="7"/>
      <c r="D1860" s="7"/>
      <c r="E1860" s="7"/>
      <c r="F1860" s="7"/>
      <c r="G1860" s="7"/>
    </row>
    <row r="1861" spans="2:7" ht="15" x14ac:dyDescent="0.25">
      <c r="B1861" s="7"/>
      <c r="C1861" s="7"/>
      <c r="D1861" s="7"/>
      <c r="E1861" s="7"/>
      <c r="F1861" s="7"/>
      <c r="G1861" s="7"/>
    </row>
    <row r="1862" spans="2:7" ht="15" x14ac:dyDescent="0.25">
      <c r="B1862" s="7"/>
      <c r="C1862" s="7"/>
      <c r="D1862" s="7"/>
      <c r="E1862" s="7"/>
      <c r="F1862" s="7"/>
      <c r="G1862" s="7"/>
    </row>
    <row r="1863" spans="2:7" ht="15" x14ac:dyDescent="0.25">
      <c r="B1863" s="7"/>
      <c r="C1863" s="7"/>
      <c r="D1863" s="7"/>
      <c r="E1863" s="7"/>
      <c r="F1863" s="7"/>
      <c r="G1863" s="7"/>
    </row>
    <row r="1864" spans="2:7" ht="15" x14ac:dyDescent="0.25">
      <c r="B1864" s="7"/>
      <c r="C1864" s="7"/>
      <c r="D1864" s="7"/>
      <c r="E1864" s="7"/>
      <c r="F1864" s="7"/>
      <c r="G1864" s="7"/>
    </row>
    <row r="1865" spans="2:7" ht="15" x14ac:dyDescent="0.25">
      <c r="B1865" s="7"/>
      <c r="C1865" s="7"/>
      <c r="D1865" s="7"/>
      <c r="E1865" s="7"/>
      <c r="F1865" s="7"/>
      <c r="G1865" s="7"/>
    </row>
    <row r="1866" spans="2:7" ht="15" x14ac:dyDescent="0.25">
      <c r="B1866" s="7"/>
      <c r="C1866" s="7"/>
      <c r="D1866" s="7"/>
      <c r="E1866" s="7"/>
      <c r="F1866" s="7"/>
      <c r="G1866" s="7"/>
    </row>
    <row r="1867" spans="2:7" ht="15" x14ac:dyDescent="0.25">
      <c r="B1867" s="7"/>
      <c r="C1867" s="7"/>
      <c r="D1867" s="7"/>
      <c r="E1867" s="7"/>
      <c r="F1867" s="7"/>
      <c r="G1867" s="7"/>
    </row>
    <row r="1868" spans="2:7" ht="15" x14ac:dyDescent="0.25">
      <c r="B1868" s="7"/>
      <c r="C1868" s="7"/>
      <c r="D1868" s="7"/>
      <c r="E1868" s="7"/>
      <c r="F1868" s="7"/>
      <c r="G1868" s="7"/>
    </row>
    <row r="1869" spans="2:7" ht="15" x14ac:dyDescent="0.25">
      <c r="B1869" s="7"/>
      <c r="C1869" s="7"/>
      <c r="D1869" s="7"/>
      <c r="E1869" s="7"/>
      <c r="F1869" s="7"/>
      <c r="G1869" s="7"/>
    </row>
    <row r="1870" spans="2:7" ht="15" x14ac:dyDescent="0.25">
      <c r="B1870" s="7"/>
      <c r="C1870" s="7"/>
      <c r="D1870" s="7"/>
      <c r="E1870" s="7"/>
      <c r="F1870" s="7"/>
      <c r="G1870" s="7"/>
    </row>
    <row r="1871" spans="2:7" ht="15" x14ac:dyDescent="0.25">
      <c r="B1871" s="7"/>
      <c r="C1871" s="7"/>
      <c r="D1871" s="7"/>
      <c r="E1871" s="7"/>
      <c r="F1871" s="7"/>
      <c r="G1871" s="7"/>
    </row>
    <row r="1872" spans="2:7" ht="15" x14ac:dyDescent="0.25">
      <c r="B1872" s="7"/>
      <c r="C1872" s="7"/>
      <c r="D1872" s="7"/>
      <c r="E1872" s="7"/>
      <c r="F1872" s="7"/>
      <c r="G1872" s="7"/>
    </row>
    <row r="1873" spans="2:7" ht="15" x14ac:dyDescent="0.25">
      <c r="B1873" s="7"/>
      <c r="C1873" s="7"/>
      <c r="D1873" s="7"/>
      <c r="E1873" s="7"/>
      <c r="F1873" s="7"/>
      <c r="G1873" s="7"/>
    </row>
    <row r="1874" spans="2:7" ht="15" x14ac:dyDescent="0.25">
      <c r="B1874" s="7"/>
      <c r="C1874" s="7"/>
      <c r="D1874" s="7"/>
      <c r="E1874" s="7"/>
      <c r="F1874" s="7"/>
      <c r="G1874" s="7"/>
    </row>
    <row r="1875" spans="2:7" ht="15" x14ac:dyDescent="0.25">
      <c r="B1875" s="7"/>
      <c r="C1875" s="7"/>
      <c r="D1875" s="7"/>
      <c r="E1875" s="7"/>
      <c r="F1875" s="7"/>
      <c r="G1875" s="7"/>
    </row>
    <row r="1876" spans="2:7" ht="15" x14ac:dyDescent="0.25">
      <c r="B1876" s="7"/>
      <c r="C1876" s="7"/>
      <c r="D1876" s="7"/>
      <c r="E1876" s="7"/>
      <c r="F1876" s="7"/>
      <c r="G1876" s="7"/>
    </row>
    <row r="1877" spans="2:7" ht="15" x14ac:dyDescent="0.25">
      <c r="B1877" s="7"/>
      <c r="C1877" s="7"/>
      <c r="D1877" s="7"/>
      <c r="E1877" s="7"/>
      <c r="F1877" s="7"/>
      <c r="G1877" s="7"/>
    </row>
    <row r="1878" spans="2:7" ht="15" x14ac:dyDescent="0.25">
      <c r="B1878" s="7"/>
      <c r="C1878" s="7"/>
      <c r="D1878" s="7"/>
      <c r="E1878" s="7"/>
      <c r="F1878" s="7"/>
      <c r="G1878" s="7"/>
    </row>
    <row r="1879" spans="2:7" ht="15" x14ac:dyDescent="0.25">
      <c r="B1879" s="7"/>
      <c r="C1879" s="7"/>
      <c r="D1879" s="7"/>
      <c r="E1879" s="7"/>
      <c r="F1879" s="7"/>
      <c r="G1879" s="7"/>
    </row>
    <row r="1880" spans="2:7" ht="15" x14ac:dyDescent="0.25">
      <c r="B1880" s="7"/>
      <c r="C1880" s="7"/>
      <c r="D1880" s="7"/>
      <c r="E1880" s="7"/>
      <c r="F1880" s="7"/>
      <c r="G1880" s="7"/>
    </row>
    <row r="1881" spans="2:7" ht="15" x14ac:dyDescent="0.25">
      <c r="B1881" s="7"/>
      <c r="C1881" s="7"/>
      <c r="D1881" s="7"/>
      <c r="E1881" s="7"/>
      <c r="F1881" s="7"/>
      <c r="G1881" s="7"/>
    </row>
    <row r="1882" spans="2:7" ht="15" x14ac:dyDescent="0.25">
      <c r="B1882" s="7"/>
      <c r="C1882" s="7"/>
      <c r="D1882" s="7"/>
      <c r="E1882" s="7"/>
      <c r="F1882" s="7"/>
      <c r="G1882" s="7"/>
    </row>
    <row r="1883" spans="2:7" ht="15" x14ac:dyDescent="0.25">
      <c r="B1883" s="7"/>
      <c r="C1883" s="7"/>
      <c r="D1883" s="7"/>
      <c r="E1883" s="7"/>
      <c r="F1883" s="7"/>
      <c r="G1883" s="7"/>
    </row>
    <row r="1884" spans="2:7" ht="15" x14ac:dyDescent="0.25">
      <c r="B1884" s="7"/>
      <c r="C1884" s="7"/>
      <c r="D1884" s="7"/>
      <c r="E1884" s="7"/>
      <c r="F1884" s="7"/>
      <c r="G1884" s="7"/>
    </row>
    <row r="1885" spans="2:7" ht="15" x14ac:dyDescent="0.25">
      <c r="B1885" s="7"/>
      <c r="C1885" s="7"/>
      <c r="D1885" s="7"/>
      <c r="E1885" s="7"/>
      <c r="F1885" s="7"/>
      <c r="G1885" s="7"/>
    </row>
    <row r="1886" spans="2:7" ht="15" x14ac:dyDescent="0.25">
      <c r="B1886" s="7"/>
      <c r="C1886" s="7"/>
      <c r="D1886" s="7"/>
      <c r="E1886" s="7"/>
      <c r="F1886" s="7"/>
      <c r="G1886" s="7"/>
    </row>
    <row r="1887" spans="2:7" ht="15" x14ac:dyDescent="0.25">
      <c r="B1887" s="7"/>
      <c r="C1887" s="7"/>
      <c r="D1887" s="7"/>
      <c r="E1887" s="7"/>
      <c r="F1887" s="7"/>
      <c r="G1887" s="7"/>
    </row>
    <row r="1888" spans="2:7" ht="15" x14ac:dyDescent="0.25">
      <c r="B1888" s="7"/>
      <c r="C1888" s="7"/>
      <c r="D1888" s="7"/>
      <c r="E1888" s="7"/>
      <c r="F1888" s="7"/>
      <c r="G1888" s="7"/>
    </row>
    <row r="1889" spans="2:7" ht="15" x14ac:dyDescent="0.25">
      <c r="B1889" s="7"/>
      <c r="C1889" s="7"/>
      <c r="D1889" s="7"/>
      <c r="E1889" s="7"/>
      <c r="F1889" s="7"/>
      <c r="G1889" s="7"/>
    </row>
    <row r="1890" spans="2:7" ht="15" x14ac:dyDescent="0.25">
      <c r="B1890" s="7"/>
      <c r="C1890" s="7"/>
      <c r="D1890" s="7"/>
      <c r="E1890" s="7"/>
      <c r="F1890" s="7"/>
      <c r="G1890" s="7"/>
    </row>
    <row r="1891" spans="2:7" ht="15" x14ac:dyDescent="0.25">
      <c r="B1891" s="7"/>
      <c r="C1891" s="7"/>
      <c r="D1891" s="7"/>
      <c r="E1891" s="7"/>
      <c r="F1891" s="7"/>
      <c r="G1891" s="7"/>
    </row>
    <row r="1892" spans="2:7" ht="15" x14ac:dyDescent="0.25">
      <c r="B1892" s="7"/>
      <c r="C1892" s="7"/>
      <c r="D1892" s="7"/>
      <c r="E1892" s="7"/>
      <c r="F1892" s="7"/>
      <c r="G1892" s="7"/>
    </row>
    <row r="1893" spans="2:7" ht="15" x14ac:dyDescent="0.25">
      <c r="B1893" s="7"/>
      <c r="C1893" s="7"/>
      <c r="D1893" s="7"/>
      <c r="E1893" s="7"/>
      <c r="F1893" s="7"/>
      <c r="G1893" s="7"/>
    </row>
    <row r="1894" spans="2:7" ht="15" x14ac:dyDescent="0.25">
      <c r="B1894" s="7"/>
      <c r="C1894" s="7"/>
      <c r="D1894" s="7"/>
      <c r="E1894" s="7"/>
      <c r="F1894" s="7"/>
      <c r="G1894" s="7"/>
    </row>
    <row r="1895" spans="2:7" ht="15" x14ac:dyDescent="0.25">
      <c r="B1895" s="7"/>
      <c r="C1895" s="7"/>
      <c r="D1895" s="7"/>
      <c r="E1895" s="7"/>
      <c r="F1895" s="7"/>
      <c r="G1895" s="7"/>
    </row>
    <row r="1896" spans="2:7" ht="15" x14ac:dyDescent="0.25">
      <c r="B1896" s="7"/>
      <c r="C1896" s="7"/>
      <c r="D1896" s="7"/>
      <c r="E1896" s="7"/>
      <c r="F1896" s="7"/>
      <c r="G1896" s="7"/>
    </row>
    <row r="1897" spans="2:7" ht="15" x14ac:dyDescent="0.25">
      <c r="B1897" s="7"/>
      <c r="C1897" s="7"/>
      <c r="D1897" s="7"/>
      <c r="E1897" s="7"/>
      <c r="F1897" s="7"/>
      <c r="G1897" s="7"/>
    </row>
    <row r="1898" spans="2:7" ht="15" x14ac:dyDescent="0.25">
      <c r="B1898" s="7"/>
      <c r="C1898" s="7"/>
      <c r="D1898" s="7"/>
      <c r="E1898" s="7"/>
      <c r="F1898" s="7"/>
      <c r="G1898" s="7"/>
    </row>
    <row r="1899" spans="2:7" ht="15" x14ac:dyDescent="0.25">
      <c r="B1899" s="7"/>
      <c r="C1899" s="7"/>
      <c r="D1899" s="7"/>
      <c r="E1899" s="7"/>
      <c r="F1899" s="7"/>
      <c r="G1899" s="7"/>
    </row>
    <row r="1900" spans="2:7" ht="15" x14ac:dyDescent="0.25">
      <c r="B1900" s="7"/>
      <c r="C1900" s="7"/>
      <c r="D1900" s="7"/>
      <c r="E1900" s="7"/>
      <c r="F1900" s="7"/>
      <c r="G1900" s="7"/>
    </row>
    <row r="1901" spans="2:7" ht="15" x14ac:dyDescent="0.25">
      <c r="B1901" s="7"/>
      <c r="C1901" s="7"/>
      <c r="D1901" s="7"/>
      <c r="E1901" s="7"/>
      <c r="F1901" s="7"/>
      <c r="G1901" s="7"/>
    </row>
    <row r="1902" spans="2:7" ht="15" x14ac:dyDescent="0.25">
      <c r="B1902" s="7"/>
      <c r="C1902" s="7"/>
      <c r="D1902" s="7"/>
      <c r="E1902" s="7"/>
      <c r="F1902" s="7"/>
      <c r="G1902" s="7"/>
    </row>
    <row r="1903" spans="2:7" ht="15" x14ac:dyDescent="0.25">
      <c r="B1903" s="7"/>
      <c r="C1903" s="7"/>
      <c r="D1903" s="7"/>
      <c r="E1903" s="7"/>
      <c r="F1903" s="7"/>
      <c r="G1903" s="7"/>
    </row>
    <row r="1904" spans="2:7" ht="15" x14ac:dyDescent="0.25">
      <c r="B1904" s="7"/>
      <c r="C1904" s="7"/>
      <c r="D1904" s="7"/>
      <c r="E1904" s="7"/>
      <c r="F1904" s="7"/>
      <c r="G1904" s="7"/>
    </row>
    <row r="1905" spans="2:7" ht="15" x14ac:dyDescent="0.25">
      <c r="B1905" s="7"/>
      <c r="C1905" s="7"/>
      <c r="D1905" s="7"/>
      <c r="E1905" s="7"/>
      <c r="F1905" s="7"/>
      <c r="G1905" s="7"/>
    </row>
    <row r="1906" spans="2:7" ht="15" x14ac:dyDescent="0.25">
      <c r="B1906" s="7"/>
      <c r="C1906" s="7"/>
      <c r="D1906" s="7"/>
      <c r="E1906" s="7"/>
      <c r="F1906" s="7"/>
      <c r="G1906" s="7"/>
    </row>
    <row r="1907" spans="2:7" ht="15" x14ac:dyDescent="0.25">
      <c r="B1907" s="7"/>
      <c r="C1907" s="7"/>
      <c r="D1907" s="7"/>
      <c r="E1907" s="7"/>
      <c r="F1907" s="7"/>
      <c r="G1907" s="7"/>
    </row>
    <row r="1908" spans="2:7" ht="15" x14ac:dyDescent="0.25">
      <c r="B1908" s="7"/>
      <c r="C1908" s="7"/>
      <c r="D1908" s="7"/>
      <c r="E1908" s="7"/>
      <c r="F1908" s="7"/>
      <c r="G1908" s="7"/>
    </row>
    <row r="1909" spans="2:7" ht="15" x14ac:dyDescent="0.25">
      <c r="B1909" s="7"/>
      <c r="C1909" s="7"/>
      <c r="D1909" s="7"/>
      <c r="E1909" s="7"/>
      <c r="F1909" s="7"/>
      <c r="G1909" s="7"/>
    </row>
    <row r="1910" spans="2:7" ht="15" x14ac:dyDescent="0.25">
      <c r="B1910" s="7"/>
      <c r="C1910" s="7"/>
      <c r="D1910" s="7"/>
      <c r="E1910" s="7"/>
      <c r="F1910" s="7"/>
      <c r="G1910" s="7"/>
    </row>
    <row r="1911" spans="2:7" ht="15" x14ac:dyDescent="0.25">
      <c r="B1911" s="7"/>
      <c r="C1911" s="7"/>
      <c r="D1911" s="7"/>
      <c r="E1911" s="7"/>
      <c r="F1911" s="7"/>
      <c r="G1911" s="7"/>
    </row>
    <row r="1912" spans="2:7" ht="15" x14ac:dyDescent="0.25">
      <c r="B1912" s="7"/>
      <c r="C1912" s="7"/>
      <c r="D1912" s="7"/>
      <c r="E1912" s="7"/>
      <c r="F1912" s="7"/>
      <c r="G1912" s="7"/>
    </row>
    <row r="1913" spans="2:7" ht="15" x14ac:dyDescent="0.25">
      <c r="B1913" s="7"/>
      <c r="C1913" s="7"/>
      <c r="D1913" s="7"/>
      <c r="E1913" s="7"/>
      <c r="F1913" s="7"/>
      <c r="G1913" s="7"/>
    </row>
    <row r="1914" spans="2:7" ht="15" x14ac:dyDescent="0.25">
      <c r="B1914" s="7"/>
      <c r="C1914" s="7"/>
      <c r="D1914" s="7"/>
      <c r="E1914" s="7"/>
      <c r="F1914" s="7"/>
      <c r="G1914" s="7"/>
    </row>
    <row r="1915" spans="2:7" ht="15" x14ac:dyDescent="0.25">
      <c r="B1915" s="7"/>
      <c r="C1915" s="7"/>
      <c r="D1915" s="7"/>
      <c r="E1915" s="7"/>
      <c r="F1915" s="7"/>
      <c r="G1915" s="7"/>
    </row>
    <row r="1916" spans="2:7" ht="15" x14ac:dyDescent="0.25">
      <c r="B1916" s="7"/>
      <c r="C1916" s="7"/>
      <c r="D1916" s="7"/>
      <c r="E1916" s="7"/>
      <c r="F1916" s="7"/>
      <c r="G1916" s="7"/>
    </row>
    <row r="1917" spans="2:7" ht="15" x14ac:dyDescent="0.25">
      <c r="B1917" s="7"/>
      <c r="C1917" s="7"/>
      <c r="D1917" s="7"/>
      <c r="E1917" s="7"/>
      <c r="F1917" s="7"/>
      <c r="G1917" s="7"/>
    </row>
    <row r="1918" spans="2:7" ht="15" x14ac:dyDescent="0.25">
      <c r="B1918" s="7"/>
      <c r="C1918" s="7"/>
      <c r="D1918" s="7"/>
      <c r="E1918" s="7"/>
      <c r="F1918" s="7"/>
      <c r="G1918" s="7"/>
    </row>
    <row r="1919" spans="2:7" ht="15" x14ac:dyDescent="0.25">
      <c r="B1919" s="7"/>
      <c r="C1919" s="7"/>
      <c r="D1919" s="7"/>
      <c r="E1919" s="7"/>
      <c r="F1919" s="7"/>
      <c r="G1919" s="7"/>
    </row>
    <row r="1920" spans="2:7" ht="15" x14ac:dyDescent="0.25">
      <c r="B1920" s="7"/>
      <c r="C1920" s="7"/>
      <c r="D1920" s="7"/>
      <c r="E1920" s="7"/>
      <c r="F1920" s="7"/>
      <c r="G1920" s="7"/>
    </row>
    <row r="1921" spans="2:7" ht="15" x14ac:dyDescent="0.25">
      <c r="B1921" s="7"/>
      <c r="C1921" s="7"/>
      <c r="D1921" s="7"/>
      <c r="E1921" s="7"/>
      <c r="F1921" s="7"/>
      <c r="G1921" s="7"/>
    </row>
    <row r="1922" spans="2:7" ht="15" x14ac:dyDescent="0.25">
      <c r="B1922" s="7"/>
      <c r="C1922" s="7"/>
      <c r="D1922" s="7"/>
      <c r="E1922" s="7"/>
      <c r="F1922" s="7"/>
      <c r="G1922" s="7"/>
    </row>
    <row r="1923" spans="2:7" ht="15" x14ac:dyDescent="0.25">
      <c r="B1923" s="7"/>
      <c r="C1923" s="7"/>
      <c r="D1923" s="7"/>
      <c r="E1923" s="7"/>
      <c r="F1923" s="7"/>
      <c r="G1923" s="7"/>
    </row>
    <row r="1924" spans="2:7" ht="15" x14ac:dyDescent="0.25">
      <c r="B1924" s="7"/>
      <c r="C1924" s="7"/>
      <c r="D1924" s="7"/>
      <c r="E1924" s="7"/>
      <c r="F1924" s="7"/>
      <c r="G1924" s="7"/>
    </row>
    <row r="1925" spans="2:7" ht="15" x14ac:dyDescent="0.25">
      <c r="B1925" s="7"/>
      <c r="C1925" s="7"/>
      <c r="D1925" s="7"/>
      <c r="E1925" s="7"/>
      <c r="F1925" s="7"/>
      <c r="G1925" s="7"/>
    </row>
    <row r="1926" spans="2:7" ht="15" x14ac:dyDescent="0.25">
      <c r="B1926" s="7"/>
      <c r="C1926" s="7"/>
      <c r="D1926" s="7"/>
      <c r="E1926" s="7"/>
      <c r="F1926" s="7"/>
      <c r="G1926" s="7"/>
    </row>
    <row r="1927" spans="2:7" ht="15" x14ac:dyDescent="0.25">
      <c r="B1927" s="7"/>
      <c r="C1927" s="7"/>
      <c r="D1927" s="7"/>
      <c r="E1927" s="7"/>
      <c r="F1927" s="7"/>
      <c r="G1927" s="7"/>
    </row>
    <row r="1928" spans="2:7" ht="15" x14ac:dyDescent="0.25">
      <c r="B1928" s="7"/>
      <c r="C1928" s="7"/>
      <c r="D1928" s="7"/>
      <c r="E1928" s="7"/>
      <c r="F1928" s="7"/>
      <c r="G1928" s="7"/>
    </row>
    <row r="1929" spans="2:7" ht="15" x14ac:dyDescent="0.25">
      <c r="B1929" s="7"/>
      <c r="C1929" s="7"/>
      <c r="D1929" s="7"/>
      <c r="E1929" s="7"/>
      <c r="F1929" s="7"/>
      <c r="G1929" s="7"/>
    </row>
    <row r="1930" spans="2:7" ht="15" x14ac:dyDescent="0.25">
      <c r="B1930" s="7"/>
      <c r="C1930" s="7"/>
      <c r="D1930" s="7"/>
      <c r="E1930" s="7"/>
      <c r="F1930" s="7"/>
      <c r="G1930" s="7"/>
    </row>
    <row r="1931" spans="2:7" ht="15" x14ac:dyDescent="0.25">
      <c r="B1931" s="7"/>
      <c r="C1931" s="7"/>
      <c r="D1931" s="7"/>
      <c r="E1931" s="7"/>
      <c r="F1931" s="7"/>
      <c r="G1931" s="7"/>
    </row>
    <row r="1932" spans="2:7" ht="15" x14ac:dyDescent="0.25">
      <c r="B1932" s="7"/>
      <c r="C1932" s="7"/>
      <c r="D1932" s="7"/>
      <c r="E1932" s="7"/>
      <c r="F1932" s="7"/>
      <c r="G1932" s="7"/>
    </row>
    <row r="1933" spans="2:7" ht="15" x14ac:dyDescent="0.25">
      <c r="B1933" s="7"/>
      <c r="C1933" s="7"/>
      <c r="D1933" s="7"/>
      <c r="E1933" s="7"/>
      <c r="F1933" s="7"/>
      <c r="G1933" s="7"/>
    </row>
    <row r="1934" spans="2:7" ht="15" x14ac:dyDescent="0.25">
      <c r="B1934" s="7"/>
      <c r="C1934" s="7"/>
      <c r="D1934" s="7"/>
      <c r="E1934" s="7"/>
      <c r="F1934" s="7"/>
      <c r="G1934" s="7"/>
    </row>
    <row r="1935" spans="2:7" ht="15" x14ac:dyDescent="0.25">
      <c r="B1935" s="7"/>
      <c r="C1935" s="7"/>
      <c r="D1935" s="7"/>
      <c r="E1935" s="7"/>
      <c r="F1935" s="7"/>
      <c r="G1935" s="7"/>
    </row>
    <row r="1936" spans="2:7" ht="15" x14ac:dyDescent="0.25">
      <c r="B1936" s="7"/>
      <c r="C1936" s="7"/>
      <c r="D1936" s="7"/>
      <c r="E1936" s="7"/>
      <c r="F1936" s="7"/>
      <c r="G1936" s="7"/>
    </row>
    <row r="1937" spans="2:7" ht="15" x14ac:dyDescent="0.25">
      <c r="B1937" s="7"/>
      <c r="C1937" s="7"/>
      <c r="D1937" s="7"/>
      <c r="E1937" s="7"/>
      <c r="F1937" s="7"/>
      <c r="G1937" s="7"/>
    </row>
    <row r="1938" spans="2:7" ht="15" x14ac:dyDescent="0.25">
      <c r="B1938" s="7"/>
      <c r="C1938" s="7"/>
      <c r="D1938" s="7"/>
      <c r="E1938" s="7"/>
      <c r="F1938" s="7"/>
      <c r="G1938" s="7"/>
    </row>
    <row r="1939" spans="2:7" ht="15" x14ac:dyDescent="0.25">
      <c r="B1939" s="7"/>
      <c r="C1939" s="7"/>
      <c r="D1939" s="7"/>
      <c r="E1939" s="7"/>
      <c r="F1939" s="7"/>
      <c r="G1939" s="7"/>
    </row>
    <row r="1940" spans="2:7" ht="15" x14ac:dyDescent="0.25">
      <c r="B1940" s="7"/>
      <c r="C1940" s="7"/>
      <c r="D1940" s="7"/>
      <c r="E1940" s="7"/>
      <c r="F1940" s="7"/>
      <c r="G1940" s="7"/>
    </row>
    <row r="1941" spans="2:7" ht="15" x14ac:dyDescent="0.25">
      <c r="B1941" s="7"/>
      <c r="C1941" s="7"/>
      <c r="D1941" s="7"/>
      <c r="E1941" s="7"/>
      <c r="F1941" s="7"/>
      <c r="G1941" s="7"/>
    </row>
    <row r="1942" spans="2:7" ht="15" x14ac:dyDescent="0.25">
      <c r="B1942" s="7"/>
      <c r="C1942" s="7"/>
      <c r="D1942" s="7"/>
      <c r="E1942" s="7"/>
      <c r="F1942" s="7"/>
      <c r="G1942" s="7"/>
    </row>
    <row r="1943" spans="2:7" ht="15" x14ac:dyDescent="0.25">
      <c r="B1943" s="7"/>
      <c r="C1943" s="7"/>
      <c r="D1943" s="7"/>
      <c r="E1943" s="7"/>
      <c r="F1943" s="7"/>
      <c r="G1943" s="7"/>
    </row>
    <row r="1944" spans="2:7" ht="15" x14ac:dyDescent="0.25">
      <c r="B1944" s="7"/>
      <c r="C1944" s="7"/>
      <c r="D1944" s="7"/>
      <c r="E1944" s="7"/>
      <c r="F1944" s="7"/>
      <c r="G1944" s="7"/>
    </row>
    <row r="1945" spans="2:7" ht="15" x14ac:dyDescent="0.25">
      <c r="B1945" s="7"/>
      <c r="C1945" s="7"/>
      <c r="D1945" s="7"/>
      <c r="E1945" s="7"/>
      <c r="F1945" s="7"/>
      <c r="G1945" s="7"/>
    </row>
    <row r="1946" spans="2:7" ht="15" x14ac:dyDescent="0.25">
      <c r="B1946" s="7"/>
      <c r="C1946" s="7"/>
      <c r="D1946" s="7"/>
      <c r="E1946" s="7"/>
      <c r="F1946" s="7"/>
      <c r="G1946" s="7"/>
    </row>
    <row r="1947" spans="2:7" ht="15" x14ac:dyDescent="0.25">
      <c r="B1947" s="7"/>
      <c r="C1947" s="7"/>
      <c r="D1947" s="7"/>
      <c r="E1947" s="7"/>
      <c r="F1947" s="7"/>
      <c r="G1947" s="7"/>
    </row>
    <row r="1948" spans="2:7" ht="15" x14ac:dyDescent="0.25">
      <c r="B1948" s="7"/>
      <c r="C1948" s="7"/>
      <c r="D1948" s="7"/>
      <c r="E1948" s="7"/>
      <c r="F1948" s="7"/>
      <c r="G1948" s="7"/>
    </row>
    <row r="1949" spans="2:7" ht="15" x14ac:dyDescent="0.25">
      <c r="B1949" s="7"/>
      <c r="C1949" s="7"/>
      <c r="D1949" s="7"/>
      <c r="E1949" s="7"/>
      <c r="F1949" s="7"/>
      <c r="G1949" s="7"/>
    </row>
    <row r="1950" spans="2:7" ht="15" x14ac:dyDescent="0.25">
      <c r="B1950" s="7"/>
      <c r="C1950" s="7"/>
      <c r="D1950" s="7"/>
      <c r="E1950" s="7"/>
      <c r="F1950" s="7"/>
      <c r="G1950" s="7"/>
    </row>
    <row r="1951" spans="2:7" ht="15" x14ac:dyDescent="0.25">
      <c r="B1951" s="7"/>
      <c r="C1951" s="7"/>
      <c r="D1951" s="7"/>
      <c r="E1951" s="7"/>
      <c r="F1951" s="7"/>
      <c r="G1951" s="7"/>
    </row>
    <row r="1952" spans="2:7" ht="15" x14ac:dyDescent="0.25">
      <c r="B1952" s="7"/>
      <c r="C1952" s="7"/>
      <c r="D1952" s="7"/>
      <c r="E1952" s="7"/>
      <c r="F1952" s="7"/>
      <c r="G1952" s="7"/>
    </row>
    <row r="1953" spans="2:7" ht="15" x14ac:dyDescent="0.25">
      <c r="B1953" s="7"/>
      <c r="C1953" s="7"/>
      <c r="D1953" s="7"/>
      <c r="E1953" s="7"/>
      <c r="F1953" s="7"/>
      <c r="G1953" s="7"/>
    </row>
    <row r="1954" spans="2:7" ht="15" x14ac:dyDescent="0.25">
      <c r="B1954" s="7"/>
      <c r="C1954" s="7"/>
      <c r="D1954" s="7"/>
      <c r="E1954" s="7"/>
      <c r="F1954" s="7"/>
      <c r="G1954" s="7"/>
    </row>
    <row r="1955" spans="2:7" ht="15" x14ac:dyDescent="0.25">
      <c r="B1955" s="7"/>
      <c r="C1955" s="7"/>
      <c r="D1955" s="7"/>
      <c r="E1955" s="7"/>
      <c r="F1955" s="7"/>
      <c r="G1955" s="7"/>
    </row>
    <row r="1956" spans="2:7" ht="15" x14ac:dyDescent="0.25">
      <c r="B1956" s="7"/>
      <c r="C1956" s="7"/>
      <c r="D1956" s="7"/>
      <c r="E1956" s="7"/>
      <c r="F1956" s="7"/>
      <c r="G1956" s="7"/>
    </row>
    <row r="1957" spans="2:7" ht="15" x14ac:dyDescent="0.25">
      <c r="B1957" s="7"/>
      <c r="C1957" s="7"/>
      <c r="D1957" s="7"/>
      <c r="E1957" s="7"/>
      <c r="F1957" s="7"/>
      <c r="G1957" s="7"/>
    </row>
    <row r="1958" spans="2:7" ht="15" x14ac:dyDescent="0.25">
      <c r="B1958" s="7"/>
      <c r="C1958" s="7"/>
      <c r="D1958" s="7"/>
      <c r="E1958" s="7"/>
      <c r="F1958" s="7"/>
      <c r="G1958" s="7"/>
    </row>
    <row r="1959" spans="2:7" ht="15" x14ac:dyDescent="0.25">
      <c r="B1959" s="7"/>
      <c r="C1959" s="7"/>
      <c r="D1959" s="7"/>
      <c r="E1959" s="7"/>
      <c r="F1959" s="7"/>
      <c r="G1959" s="7"/>
    </row>
    <row r="1960" spans="2:7" ht="15" x14ac:dyDescent="0.25">
      <c r="B1960" s="7"/>
      <c r="C1960" s="7"/>
      <c r="D1960" s="7"/>
      <c r="E1960" s="7"/>
      <c r="F1960" s="7"/>
      <c r="G1960" s="7"/>
    </row>
    <row r="1961" spans="2:7" ht="15" x14ac:dyDescent="0.25">
      <c r="B1961" s="7"/>
      <c r="C1961" s="7"/>
      <c r="D1961" s="7"/>
      <c r="E1961" s="7"/>
      <c r="F1961" s="7"/>
      <c r="G1961" s="7"/>
    </row>
    <row r="1962" spans="2:7" ht="15" x14ac:dyDescent="0.25">
      <c r="B1962" s="7"/>
      <c r="C1962" s="7"/>
      <c r="D1962" s="7"/>
      <c r="E1962" s="7"/>
      <c r="F1962" s="7"/>
      <c r="G1962" s="7"/>
    </row>
    <row r="1963" spans="2:7" ht="15" x14ac:dyDescent="0.25">
      <c r="B1963" s="7"/>
      <c r="C1963" s="7"/>
      <c r="D1963" s="7"/>
      <c r="E1963" s="7"/>
      <c r="F1963" s="7"/>
      <c r="G1963" s="7"/>
    </row>
    <row r="1964" spans="2:7" ht="15" x14ac:dyDescent="0.25">
      <c r="B1964" s="7"/>
      <c r="C1964" s="7"/>
      <c r="D1964" s="7"/>
      <c r="E1964" s="7"/>
      <c r="F1964" s="7"/>
      <c r="G1964" s="7"/>
    </row>
    <row r="1965" spans="2:7" ht="15" x14ac:dyDescent="0.25">
      <c r="B1965" s="7"/>
      <c r="C1965" s="7"/>
      <c r="D1965" s="7"/>
      <c r="E1965" s="7"/>
      <c r="F1965" s="7"/>
      <c r="G1965" s="7"/>
    </row>
    <row r="1966" spans="2:7" ht="15" x14ac:dyDescent="0.25">
      <c r="B1966" s="7"/>
      <c r="C1966" s="7"/>
      <c r="D1966" s="7"/>
      <c r="E1966" s="7"/>
      <c r="F1966" s="7"/>
      <c r="G1966" s="7"/>
    </row>
    <row r="1967" spans="2:7" ht="15" x14ac:dyDescent="0.25">
      <c r="B1967" s="7"/>
      <c r="C1967" s="7"/>
      <c r="D1967" s="7"/>
      <c r="E1967" s="7"/>
      <c r="F1967" s="7"/>
      <c r="G1967" s="7"/>
    </row>
    <row r="1968" spans="2:7" ht="15" x14ac:dyDescent="0.25">
      <c r="B1968" s="7"/>
      <c r="C1968" s="7"/>
      <c r="D1968" s="7"/>
      <c r="E1968" s="7"/>
      <c r="F1968" s="7"/>
      <c r="G1968" s="7"/>
    </row>
    <row r="1969" spans="2:7" ht="15" x14ac:dyDescent="0.25">
      <c r="B1969" s="7"/>
      <c r="C1969" s="7"/>
      <c r="D1969" s="7"/>
      <c r="E1969" s="7"/>
      <c r="F1969" s="7"/>
      <c r="G1969" s="7"/>
    </row>
    <row r="1970" spans="2:7" ht="15" x14ac:dyDescent="0.25">
      <c r="B1970" s="7"/>
      <c r="C1970" s="7"/>
      <c r="D1970" s="7"/>
      <c r="E1970" s="7"/>
      <c r="F1970" s="7"/>
      <c r="G1970" s="7"/>
    </row>
    <row r="1971" spans="2:7" ht="15" x14ac:dyDescent="0.25">
      <c r="B1971" s="7"/>
      <c r="C1971" s="7"/>
      <c r="D1971" s="7"/>
      <c r="E1971" s="7"/>
      <c r="F1971" s="7"/>
      <c r="G1971" s="7"/>
    </row>
    <row r="1972" spans="2:7" ht="15" x14ac:dyDescent="0.25">
      <c r="B1972" s="7"/>
      <c r="C1972" s="7"/>
      <c r="D1972" s="7"/>
      <c r="E1972" s="7"/>
      <c r="F1972" s="7"/>
      <c r="G1972" s="7"/>
    </row>
    <row r="1973" spans="2:7" ht="15" x14ac:dyDescent="0.25">
      <c r="B1973" s="7"/>
      <c r="C1973" s="7"/>
      <c r="D1973" s="7"/>
      <c r="E1973" s="7"/>
      <c r="F1973" s="7"/>
      <c r="G1973" s="7"/>
    </row>
    <row r="1974" spans="2:7" ht="15" x14ac:dyDescent="0.25">
      <c r="B1974" s="7"/>
      <c r="C1974" s="7"/>
      <c r="D1974" s="7"/>
      <c r="E1974" s="7"/>
      <c r="F1974" s="7"/>
      <c r="G1974" s="7"/>
    </row>
    <row r="1975" spans="2:7" ht="15" x14ac:dyDescent="0.25">
      <c r="B1975" s="7"/>
      <c r="C1975" s="7"/>
      <c r="D1975" s="7"/>
      <c r="E1975" s="7"/>
      <c r="F1975" s="7"/>
      <c r="G1975" s="7"/>
    </row>
    <row r="1976" spans="2:7" ht="15" x14ac:dyDescent="0.25">
      <c r="B1976" s="7"/>
      <c r="C1976" s="7"/>
      <c r="D1976" s="7"/>
      <c r="E1976" s="7"/>
      <c r="F1976" s="7"/>
      <c r="G1976" s="7"/>
    </row>
    <row r="1977" spans="2:7" ht="15" x14ac:dyDescent="0.25">
      <c r="B1977" s="7"/>
      <c r="C1977" s="7"/>
      <c r="D1977" s="7"/>
      <c r="E1977" s="7"/>
      <c r="F1977" s="7"/>
      <c r="G1977" s="7"/>
    </row>
    <row r="1978" spans="2:7" ht="15" x14ac:dyDescent="0.25">
      <c r="B1978" s="7"/>
      <c r="C1978" s="7"/>
      <c r="D1978" s="7"/>
      <c r="E1978" s="7"/>
      <c r="F1978" s="7"/>
      <c r="G1978" s="7"/>
    </row>
    <row r="1979" spans="2:7" ht="15" x14ac:dyDescent="0.25">
      <c r="B1979" s="7"/>
      <c r="C1979" s="7"/>
      <c r="D1979" s="7"/>
      <c r="E1979" s="7"/>
      <c r="F1979" s="7"/>
      <c r="G1979" s="7"/>
    </row>
    <row r="1980" spans="2:7" ht="15" x14ac:dyDescent="0.25">
      <c r="B1980" s="7"/>
      <c r="C1980" s="7"/>
      <c r="D1980" s="7"/>
      <c r="E1980" s="7"/>
      <c r="F1980" s="7"/>
      <c r="G1980" s="7"/>
    </row>
    <row r="1981" spans="2:7" ht="15" x14ac:dyDescent="0.25">
      <c r="B1981" s="7"/>
      <c r="C1981" s="7"/>
      <c r="D1981" s="7"/>
      <c r="E1981" s="7"/>
      <c r="F1981" s="7"/>
      <c r="G1981" s="7"/>
    </row>
    <row r="1982" spans="2:7" ht="15" x14ac:dyDescent="0.25">
      <c r="B1982" s="7"/>
      <c r="C1982" s="7"/>
      <c r="D1982" s="7"/>
      <c r="E1982" s="7"/>
      <c r="F1982" s="7"/>
      <c r="G1982" s="7"/>
    </row>
    <row r="1983" spans="2:7" ht="15" x14ac:dyDescent="0.25">
      <c r="B1983" s="7"/>
      <c r="C1983" s="7"/>
      <c r="D1983" s="7"/>
      <c r="E1983" s="7"/>
      <c r="F1983" s="7"/>
      <c r="G1983" s="7"/>
    </row>
    <row r="1984" spans="2:7" ht="15" x14ac:dyDescent="0.25">
      <c r="B1984" s="7"/>
      <c r="C1984" s="7"/>
      <c r="D1984" s="7"/>
      <c r="E1984" s="7"/>
      <c r="F1984" s="7"/>
      <c r="G1984" s="7"/>
    </row>
    <row r="1985" spans="2:7" ht="15" x14ac:dyDescent="0.25">
      <c r="B1985" s="7"/>
      <c r="C1985" s="7"/>
      <c r="D1985" s="7"/>
      <c r="E1985" s="7"/>
      <c r="F1985" s="7"/>
      <c r="G1985" s="7"/>
    </row>
    <row r="1986" spans="2:7" ht="15" x14ac:dyDescent="0.25">
      <c r="B1986" s="7"/>
      <c r="C1986" s="7"/>
      <c r="D1986" s="7"/>
      <c r="E1986" s="7"/>
      <c r="F1986" s="7"/>
      <c r="G1986" s="7"/>
    </row>
    <row r="1987" spans="2:7" ht="15" x14ac:dyDescent="0.25">
      <c r="B1987" s="7"/>
      <c r="C1987" s="7"/>
      <c r="D1987" s="7"/>
      <c r="E1987" s="7"/>
      <c r="F1987" s="7"/>
      <c r="G1987" s="7"/>
    </row>
    <row r="1988" spans="2:7" ht="15" x14ac:dyDescent="0.25">
      <c r="B1988" s="7"/>
      <c r="C1988" s="7"/>
      <c r="D1988" s="7"/>
      <c r="E1988" s="7"/>
      <c r="F1988" s="7"/>
      <c r="G1988" s="7"/>
    </row>
    <row r="1989" spans="2:7" ht="15" x14ac:dyDescent="0.25">
      <c r="B1989" s="7"/>
      <c r="C1989" s="7"/>
      <c r="D1989" s="7"/>
      <c r="E1989" s="7"/>
      <c r="F1989" s="7"/>
      <c r="G1989" s="7"/>
    </row>
    <row r="1990" spans="2:7" ht="15" x14ac:dyDescent="0.25">
      <c r="B1990" s="7"/>
      <c r="C1990" s="7"/>
      <c r="D1990" s="7"/>
      <c r="E1990" s="7"/>
      <c r="F1990" s="7"/>
      <c r="G1990" s="7"/>
    </row>
    <row r="1991" spans="2:7" ht="15" x14ac:dyDescent="0.25">
      <c r="B1991" s="7"/>
      <c r="C1991" s="7"/>
      <c r="D1991" s="7"/>
      <c r="E1991" s="7"/>
      <c r="F1991" s="7"/>
      <c r="G1991" s="7"/>
    </row>
    <row r="1992" spans="2:7" ht="15" x14ac:dyDescent="0.25">
      <c r="B1992" s="7"/>
      <c r="C1992" s="7"/>
      <c r="D1992" s="7"/>
      <c r="E1992" s="7"/>
      <c r="F1992" s="7"/>
      <c r="G1992" s="7"/>
    </row>
    <row r="1993" spans="2:7" ht="15" x14ac:dyDescent="0.25">
      <c r="B1993" s="7"/>
      <c r="C1993" s="7"/>
      <c r="D1993" s="7"/>
      <c r="E1993" s="7"/>
      <c r="F1993" s="7"/>
      <c r="G1993" s="7"/>
    </row>
    <row r="1994" spans="2:7" ht="15" x14ac:dyDescent="0.25">
      <c r="B1994" s="7"/>
      <c r="C1994" s="7"/>
      <c r="D1994" s="7"/>
      <c r="E1994" s="7"/>
      <c r="F1994" s="7"/>
      <c r="G1994" s="7"/>
    </row>
    <row r="1995" spans="2:7" ht="15" x14ac:dyDescent="0.25">
      <c r="B1995" s="7"/>
      <c r="C1995" s="7"/>
      <c r="D1995" s="7"/>
      <c r="E1995" s="7"/>
      <c r="F1995" s="7"/>
      <c r="G1995" s="7"/>
    </row>
    <row r="1996" spans="2:7" ht="15" x14ac:dyDescent="0.25">
      <c r="B1996" s="7"/>
      <c r="C1996" s="7"/>
      <c r="D1996" s="7"/>
      <c r="E1996" s="7"/>
      <c r="F1996" s="7"/>
      <c r="G1996" s="7"/>
    </row>
    <row r="1997" spans="2:7" ht="15" x14ac:dyDescent="0.25">
      <c r="B1997" s="7"/>
      <c r="C1997" s="7"/>
      <c r="D1997" s="7"/>
      <c r="E1997" s="7"/>
      <c r="F1997" s="7"/>
      <c r="G1997" s="7"/>
    </row>
    <row r="1998" spans="2:7" ht="15" x14ac:dyDescent="0.25">
      <c r="B1998" s="7"/>
      <c r="C1998" s="7"/>
      <c r="D1998" s="7"/>
      <c r="E1998" s="7"/>
      <c r="F1998" s="7"/>
      <c r="G1998" s="7"/>
    </row>
    <row r="1999" spans="2:7" ht="15" x14ac:dyDescent="0.25">
      <c r="B1999" s="7"/>
      <c r="C1999" s="7"/>
      <c r="D1999" s="7"/>
      <c r="E1999" s="7"/>
      <c r="F1999" s="7"/>
      <c r="G1999" s="7"/>
    </row>
  </sheetData>
  <sortState ref="A2:J506">
    <sortCondition ref="B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98"/>
  <sheetViews>
    <sheetView zoomScale="150" zoomScaleNormal="150" workbookViewId="0">
      <selection activeCell="E12" sqref="E12"/>
    </sheetView>
  </sheetViews>
  <sheetFormatPr defaultRowHeight="14.25" x14ac:dyDescent="0.2"/>
  <cols>
    <col min="1" max="1" width="11.85546875" style="1" customWidth="1"/>
    <col min="2" max="2" width="12.7109375" style="1" customWidth="1"/>
    <col min="3" max="3" width="15.5703125" style="1" customWidth="1"/>
    <col min="4" max="4" width="6" style="1" customWidth="1"/>
    <col min="5" max="5" width="15.85546875" style="1" customWidth="1"/>
    <col min="6" max="6" width="13.7109375" style="1" customWidth="1"/>
    <col min="7" max="7" width="2.85546875" style="1" customWidth="1"/>
    <col min="8" max="8" width="13.140625" style="1" customWidth="1"/>
    <col min="9" max="16384" width="9.140625" style="1"/>
  </cols>
  <sheetData>
    <row r="1" spans="1:11" ht="15" x14ac:dyDescent="0.25">
      <c r="A1" t="s">
        <v>11</v>
      </c>
      <c r="B1" s="4" t="s">
        <v>111</v>
      </c>
      <c r="C1" s="4" t="s">
        <v>111</v>
      </c>
      <c r="D1" s="7">
        <v>80</v>
      </c>
      <c r="E1" s="8">
        <v>-3.7731491165125499</v>
      </c>
      <c r="F1" s="8">
        <v>-38.514716985329301</v>
      </c>
      <c r="G1" s="8"/>
      <c r="H1" s="7"/>
      <c r="I1" s="7"/>
      <c r="J1" s="8"/>
      <c r="K1" s="8"/>
    </row>
    <row r="2" spans="1:11" ht="15" x14ac:dyDescent="0.25">
      <c r="A2" t="s">
        <v>15</v>
      </c>
      <c r="B2" s="4" t="s">
        <v>112</v>
      </c>
      <c r="C2" s="4" t="s">
        <v>112</v>
      </c>
      <c r="D2" s="7">
        <v>118</v>
      </c>
      <c r="E2" s="8">
        <v>-3.78328157008503</v>
      </c>
      <c r="F2" s="8">
        <v>-38.531026819607298</v>
      </c>
      <c r="G2" s="8"/>
      <c r="H2" s="7"/>
      <c r="I2" s="7"/>
      <c r="J2" s="8"/>
      <c r="K2" s="8"/>
    </row>
    <row r="3" spans="1:11" ht="15" x14ac:dyDescent="0.25">
      <c r="A3" t="s">
        <v>10</v>
      </c>
      <c r="B3" t="s">
        <v>22</v>
      </c>
      <c r="C3" t="s">
        <v>22</v>
      </c>
      <c r="D3" s="7">
        <v>1</v>
      </c>
      <c r="E3" s="8">
        <v>-3.7339856484838898</v>
      </c>
      <c r="F3" s="8">
        <v>-38.512272533062301</v>
      </c>
      <c r="G3" s="8"/>
      <c r="H3" s="7"/>
      <c r="I3" s="7"/>
      <c r="J3" s="8"/>
      <c r="K3" s="8"/>
    </row>
    <row r="4" spans="1:11" ht="15" x14ac:dyDescent="0.25">
      <c r="A4" t="s">
        <v>11</v>
      </c>
      <c r="B4" s="4" t="s">
        <v>113</v>
      </c>
      <c r="C4" s="4" t="s">
        <v>113</v>
      </c>
      <c r="D4" s="7">
        <v>80</v>
      </c>
      <c r="E4" s="8">
        <v>-3.76511099022437</v>
      </c>
      <c r="F4" s="8">
        <v>-38.514011814644199</v>
      </c>
      <c r="G4" s="8"/>
      <c r="H4" s="7"/>
      <c r="I4" s="7"/>
      <c r="J4" s="8"/>
      <c r="K4" s="8"/>
    </row>
    <row r="5" spans="1:11" ht="15" x14ac:dyDescent="0.25">
      <c r="A5" t="s">
        <v>14</v>
      </c>
      <c r="B5" t="s">
        <v>23</v>
      </c>
      <c r="C5" t="s">
        <v>23</v>
      </c>
      <c r="D5" s="7">
        <v>82</v>
      </c>
      <c r="E5" s="8">
        <v>-3.7158519544419502</v>
      </c>
      <c r="F5" s="8">
        <v>-38.572758193784402</v>
      </c>
      <c r="G5" s="8"/>
      <c r="H5" s="7"/>
      <c r="I5" s="7"/>
      <c r="J5" s="8"/>
      <c r="K5" s="8"/>
    </row>
    <row r="6" spans="1:11" ht="15" x14ac:dyDescent="0.25">
      <c r="A6" t="s">
        <v>17</v>
      </c>
      <c r="B6" t="s">
        <v>24</v>
      </c>
      <c r="C6" t="s">
        <v>24</v>
      </c>
      <c r="D6" s="7">
        <v>113</v>
      </c>
      <c r="E6" s="8">
        <v>-3.7444480859003999</v>
      </c>
      <c r="F6" s="8">
        <v>-38.557486657117401</v>
      </c>
      <c r="G6" s="8"/>
      <c r="H6" s="7"/>
      <c r="I6" s="7"/>
      <c r="J6" s="8"/>
      <c r="K6" s="8"/>
    </row>
    <row r="7" spans="1:11" ht="15" x14ac:dyDescent="0.25">
      <c r="A7" t="s">
        <v>16</v>
      </c>
      <c r="B7" t="s">
        <v>70</v>
      </c>
      <c r="C7" t="s">
        <v>70</v>
      </c>
      <c r="D7" s="7">
        <v>95</v>
      </c>
      <c r="E7" s="8">
        <v>-3.8648814584649198</v>
      </c>
      <c r="F7" s="8">
        <v>-38.5067770366255</v>
      </c>
      <c r="G7" s="8"/>
      <c r="H7" s="7"/>
      <c r="I7" s="7"/>
      <c r="J7" s="8"/>
      <c r="K7" s="8"/>
    </row>
    <row r="8" spans="1:11" ht="15" x14ac:dyDescent="0.25">
      <c r="A8" t="s">
        <v>17</v>
      </c>
      <c r="B8" t="s">
        <v>60</v>
      </c>
      <c r="C8" t="s">
        <v>60</v>
      </c>
      <c r="D8" s="7">
        <v>85</v>
      </c>
      <c r="E8" s="8">
        <v>-3.7438599910555701</v>
      </c>
      <c r="F8" s="8">
        <v>-38.594170001002098</v>
      </c>
      <c r="G8" s="8"/>
      <c r="H8" s="7"/>
      <c r="I8" s="7"/>
      <c r="J8" s="8"/>
      <c r="K8" s="8"/>
    </row>
    <row r="9" spans="1:11" ht="15" x14ac:dyDescent="0.25">
      <c r="A9" t="s">
        <v>19</v>
      </c>
      <c r="B9" t="s">
        <v>139</v>
      </c>
      <c r="C9" t="s">
        <v>139</v>
      </c>
      <c r="D9" s="7">
        <v>117</v>
      </c>
      <c r="E9" s="8">
        <v>-3.8318976001179301</v>
      </c>
      <c r="F9" s="8">
        <v>-38.586396530656202</v>
      </c>
      <c r="G9" s="8"/>
      <c r="H9" s="7"/>
      <c r="I9" s="7"/>
      <c r="J9" s="8"/>
      <c r="K9" s="8"/>
    </row>
    <row r="10" spans="1:11" ht="15" x14ac:dyDescent="0.25">
      <c r="A10" t="s">
        <v>18</v>
      </c>
      <c r="B10" t="s">
        <v>61</v>
      </c>
      <c r="C10" t="s">
        <v>61</v>
      </c>
      <c r="D10" s="7">
        <v>85</v>
      </c>
      <c r="E10" s="8">
        <v>-3.7518792027974102</v>
      </c>
      <c r="F10" s="8">
        <v>-38.596604923459601</v>
      </c>
      <c r="G10" s="8"/>
      <c r="H10" s="7"/>
      <c r="I10" s="7"/>
      <c r="J10" s="8"/>
      <c r="K10" s="8"/>
    </row>
    <row r="11" spans="1:11" ht="15" x14ac:dyDescent="0.25">
      <c r="A11" s="3" t="s">
        <v>14</v>
      </c>
      <c r="B11" s="3" t="s">
        <v>26</v>
      </c>
      <c r="C11" s="3" t="s">
        <v>26</v>
      </c>
      <c r="D11" s="7">
        <v>114</v>
      </c>
      <c r="E11" s="8">
        <v>-3.7044707668351502</v>
      </c>
      <c r="F11" s="8">
        <v>-38.577290647687001</v>
      </c>
      <c r="G11" s="8"/>
      <c r="H11" s="7"/>
      <c r="I11" s="7"/>
      <c r="J11" s="8"/>
      <c r="K11" s="8"/>
    </row>
    <row r="12" spans="1:11" ht="15" x14ac:dyDescent="0.25">
      <c r="A12" t="s">
        <v>16</v>
      </c>
      <c r="B12" t="s">
        <v>71</v>
      </c>
      <c r="C12" t="s">
        <v>71</v>
      </c>
      <c r="D12" s="7">
        <v>95</v>
      </c>
      <c r="E12" s="8">
        <v>-3.8204455093400602</v>
      </c>
      <c r="F12" s="8">
        <v>-38.512645687979401</v>
      </c>
      <c r="G12" s="8"/>
      <c r="H12" s="7"/>
      <c r="I12" s="7"/>
      <c r="J12" s="8"/>
      <c r="K12" s="8"/>
    </row>
    <row r="13" spans="1:11" ht="15" x14ac:dyDescent="0.25">
      <c r="A13" t="s">
        <v>18</v>
      </c>
      <c r="B13" s="5" t="s">
        <v>114</v>
      </c>
      <c r="C13" s="5" t="s">
        <v>114</v>
      </c>
      <c r="D13" s="7">
        <v>83</v>
      </c>
      <c r="E13" s="8">
        <v>-3.75227870449759</v>
      </c>
      <c r="F13" s="8">
        <v>-38.561010002875797</v>
      </c>
      <c r="G13" s="8"/>
      <c r="H13" s="7"/>
      <c r="I13" s="7"/>
      <c r="J13" s="8"/>
      <c r="K13" s="8"/>
    </row>
    <row r="14" spans="1:11" ht="15" x14ac:dyDescent="0.25">
      <c r="A14" t="s">
        <v>15</v>
      </c>
      <c r="B14" t="s">
        <v>27</v>
      </c>
      <c r="C14" t="s">
        <v>27</v>
      </c>
      <c r="D14" s="7">
        <v>113</v>
      </c>
      <c r="E14" s="8">
        <v>-3.7435794004401002</v>
      </c>
      <c r="F14" s="8">
        <v>-38.536164699959699</v>
      </c>
      <c r="G14" s="8"/>
      <c r="H14" s="7"/>
      <c r="I14" s="7"/>
      <c r="J14" s="8"/>
      <c r="K14" s="8"/>
    </row>
    <row r="15" spans="1:11" ht="15" x14ac:dyDescent="0.25">
      <c r="A15" t="s">
        <v>20</v>
      </c>
      <c r="B15" s="4" t="s">
        <v>140</v>
      </c>
      <c r="C15" s="4" t="s">
        <v>140</v>
      </c>
      <c r="D15" s="7">
        <v>118</v>
      </c>
      <c r="E15" s="8">
        <v>-3.7957697992767501</v>
      </c>
      <c r="F15" s="8">
        <v>-38.518971545141397</v>
      </c>
      <c r="G15" s="8"/>
      <c r="H15" s="7"/>
      <c r="I15" s="7"/>
      <c r="J15" s="8"/>
      <c r="K15" s="8"/>
    </row>
    <row r="16" spans="1:11" ht="15" x14ac:dyDescent="0.25">
      <c r="A16" t="s">
        <v>15</v>
      </c>
      <c r="B16" t="s">
        <v>28</v>
      </c>
      <c r="C16" t="s">
        <v>28</v>
      </c>
      <c r="D16" s="7">
        <v>113</v>
      </c>
      <c r="E16" s="8">
        <v>-3.7582086333092199</v>
      </c>
      <c r="F16" s="8">
        <v>-38.546481255969098</v>
      </c>
      <c r="G16" s="8"/>
      <c r="H16" s="7"/>
      <c r="I16" s="7"/>
      <c r="J16" s="8"/>
      <c r="K16" s="8"/>
    </row>
    <row r="17" spans="1:11" ht="15" x14ac:dyDescent="0.25">
      <c r="A17" t="s">
        <v>141</v>
      </c>
      <c r="B17" s="4" t="s">
        <v>92</v>
      </c>
      <c r="C17" s="4" t="s">
        <v>92</v>
      </c>
      <c r="D17" s="7">
        <v>116</v>
      </c>
      <c r="E17" s="8">
        <v>-3.78731120388623</v>
      </c>
      <c r="F17" s="8">
        <v>-38.605956606855898</v>
      </c>
      <c r="G17" s="8"/>
      <c r="H17" s="7"/>
      <c r="I17" s="7"/>
      <c r="J17" s="8"/>
      <c r="K17" s="8"/>
    </row>
    <row r="18" spans="1:11" ht="15" x14ac:dyDescent="0.25">
      <c r="A18" t="s">
        <v>141</v>
      </c>
      <c r="B18" s="4" t="s">
        <v>93</v>
      </c>
      <c r="C18" s="4" t="s">
        <v>93</v>
      </c>
      <c r="D18" s="7">
        <v>116</v>
      </c>
      <c r="E18" s="8">
        <v>-3.78040751812869</v>
      </c>
      <c r="F18" s="8">
        <v>-38.588575511233898</v>
      </c>
      <c r="G18" s="8"/>
      <c r="H18" s="7"/>
      <c r="I18" s="7"/>
      <c r="J18" s="8"/>
      <c r="K18" s="8"/>
    </row>
    <row r="19" spans="1:11" ht="15" x14ac:dyDescent="0.25">
      <c r="A19" t="s">
        <v>10</v>
      </c>
      <c r="B19" t="s">
        <v>128</v>
      </c>
      <c r="C19" t="s">
        <v>128</v>
      </c>
      <c r="D19" s="7">
        <v>1</v>
      </c>
      <c r="E19" s="8">
        <v>-3.71286380822142</v>
      </c>
      <c r="F19" s="8">
        <v>-38.466078519810999</v>
      </c>
      <c r="G19" s="8"/>
      <c r="H19" s="7"/>
      <c r="I19" s="7"/>
      <c r="J19" s="8"/>
      <c r="K19" s="8"/>
    </row>
    <row r="20" spans="1:11" ht="15" x14ac:dyDescent="0.25">
      <c r="A20" t="s">
        <v>16</v>
      </c>
      <c r="B20" t="s">
        <v>72</v>
      </c>
      <c r="C20" t="s">
        <v>72</v>
      </c>
      <c r="D20" s="7">
        <v>95</v>
      </c>
      <c r="E20" s="8">
        <v>-3.7934683304721299</v>
      </c>
      <c r="F20" s="8">
        <v>-38.508846249037099</v>
      </c>
      <c r="G20" s="8"/>
      <c r="H20" s="7"/>
      <c r="I20" s="7"/>
      <c r="J20" s="8"/>
      <c r="K20" s="8"/>
    </row>
    <row r="21" spans="1:11" ht="15" x14ac:dyDescent="0.25">
      <c r="A21" t="s">
        <v>11</v>
      </c>
      <c r="B21" t="s">
        <v>73</v>
      </c>
      <c r="C21" t="s">
        <v>73</v>
      </c>
      <c r="D21" s="7">
        <v>112</v>
      </c>
      <c r="E21" s="8">
        <v>-3.8108687886441301</v>
      </c>
      <c r="F21" s="8">
        <v>-38.4881329505724</v>
      </c>
      <c r="G21" s="8"/>
      <c r="H21" s="7"/>
      <c r="I21" s="7"/>
      <c r="J21" s="8"/>
      <c r="K21" s="8"/>
    </row>
    <row r="22" spans="1:11" ht="15" x14ac:dyDescent="0.25">
      <c r="A22" t="s">
        <v>19</v>
      </c>
      <c r="B22" s="4" t="s">
        <v>94</v>
      </c>
      <c r="C22" s="4" t="s">
        <v>94</v>
      </c>
      <c r="D22" s="7">
        <v>117</v>
      </c>
      <c r="E22" s="8">
        <v>-3.8088965401008901</v>
      </c>
      <c r="F22" s="8">
        <v>-38.604129302130701</v>
      </c>
      <c r="G22" s="8"/>
      <c r="H22" s="7"/>
      <c r="I22" s="7"/>
      <c r="J22" s="8"/>
      <c r="K22" s="8"/>
    </row>
    <row r="23" spans="1:11" ht="15" x14ac:dyDescent="0.25">
      <c r="A23" t="s">
        <v>14</v>
      </c>
      <c r="B23" t="s">
        <v>29</v>
      </c>
      <c r="C23" t="s">
        <v>29</v>
      </c>
      <c r="D23" s="7">
        <v>82</v>
      </c>
      <c r="E23" s="8">
        <v>-3.7183301235653401</v>
      </c>
      <c r="F23" s="8">
        <v>-38.554508707357897</v>
      </c>
      <c r="G23" s="8"/>
      <c r="H23" s="7"/>
      <c r="I23" s="7"/>
      <c r="J23" s="8"/>
      <c r="K23" s="8"/>
    </row>
    <row r="24" spans="1:11" ht="15" x14ac:dyDescent="0.25">
      <c r="A24" t="s">
        <v>12</v>
      </c>
      <c r="B24" t="s">
        <v>30</v>
      </c>
      <c r="C24" t="s">
        <v>30</v>
      </c>
      <c r="D24" s="7">
        <v>3</v>
      </c>
      <c r="E24" s="8">
        <v>-3.7355947723103302</v>
      </c>
      <c r="F24" s="8">
        <v>-38.5178177041252</v>
      </c>
      <c r="G24" s="8"/>
      <c r="H24" s="7"/>
      <c r="I24" s="7"/>
      <c r="J24" s="8"/>
      <c r="K24" s="8"/>
    </row>
    <row r="25" spans="1:11" ht="15" x14ac:dyDescent="0.25">
      <c r="A25" t="s">
        <v>13</v>
      </c>
      <c r="B25" t="s">
        <v>129</v>
      </c>
      <c r="C25" t="s">
        <v>129</v>
      </c>
      <c r="D25" s="7">
        <v>1</v>
      </c>
      <c r="E25" s="8">
        <v>-3.7515629494479001</v>
      </c>
      <c r="F25" s="8">
        <v>-38.473078900891103</v>
      </c>
      <c r="G25" s="8"/>
      <c r="H25" s="7"/>
      <c r="I25" s="7"/>
      <c r="J25" s="8"/>
      <c r="K25" s="8"/>
    </row>
    <row r="26" spans="1:11" ht="15" x14ac:dyDescent="0.25">
      <c r="A26" t="s">
        <v>11</v>
      </c>
      <c r="B26" s="4" t="s">
        <v>74</v>
      </c>
      <c r="C26" s="4" t="s">
        <v>74</v>
      </c>
      <c r="D26" s="7">
        <v>112</v>
      </c>
      <c r="E26" s="8">
        <v>-3.7940848688483402</v>
      </c>
      <c r="F26" s="8">
        <v>-38.499748705054301</v>
      </c>
      <c r="G26" s="8"/>
      <c r="H26" s="7"/>
      <c r="I26" s="7"/>
      <c r="J26" s="8"/>
      <c r="K26" s="8"/>
    </row>
    <row r="27" spans="1:11" ht="15" x14ac:dyDescent="0.25">
      <c r="A27" t="s">
        <v>11</v>
      </c>
      <c r="B27" s="4" t="s">
        <v>75</v>
      </c>
      <c r="C27" s="4" t="s">
        <v>75</v>
      </c>
      <c r="D27" s="7">
        <v>2</v>
      </c>
      <c r="E27" s="8">
        <v>-3.8461633464172298</v>
      </c>
      <c r="F27" s="8">
        <v>-38.474517251289797</v>
      </c>
      <c r="G27" s="8"/>
      <c r="H27" s="7"/>
      <c r="I27" s="7"/>
      <c r="J27" s="8"/>
      <c r="K27" s="8"/>
    </row>
    <row r="28" spans="1:11" ht="15" x14ac:dyDescent="0.25">
      <c r="A28" t="s">
        <v>13</v>
      </c>
      <c r="B28" t="s">
        <v>31</v>
      </c>
      <c r="C28" t="s">
        <v>31</v>
      </c>
      <c r="D28" s="7">
        <v>1</v>
      </c>
      <c r="E28" s="8">
        <v>-3.7444528516131901</v>
      </c>
      <c r="F28" s="8">
        <v>-38.4783388321841</v>
      </c>
      <c r="G28" s="8"/>
      <c r="H28" s="7"/>
      <c r="I28" s="7"/>
      <c r="J28" s="8"/>
      <c r="K28" s="8"/>
    </row>
    <row r="29" spans="1:11" ht="15" x14ac:dyDescent="0.25">
      <c r="A29" t="s">
        <v>18</v>
      </c>
      <c r="B29" t="s">
        <v>62</v>
      </c>
      <c r="C29" t="s">
        <v>62</v>
      </c>
      <c r="D29" s="7">
        <v>85</v>
      </c>
      <c r="E29" s="8">
        <v>-3.76776804633255</v>
      </c>
      <c r="F29" s="8">
        <v>-38.603027639769401</v>
      </c>
      <c r="G29" s="8"/>
      <c r="H29" s="7"/>
      <c r="I29" s="7"/>
      <c r="J29" s="8"/>
      <c r="K29" s="8"/>
    </row>
    <row r="30" spans="1:11" ht="15" x14ac:dyDescent="0.25">
      <c r="A30" t="s">
        <v>18</v>
      </c>
      <c r="B30" s="4" t="s">
        <v>95</v>
      </c>
      <c r="C30" s="4" t="s">
        <v>95</v>
      </c>
      <c r="D30" s="7">
        <v>85</v>
      </c>
      <c r="E30" s="8">
        <v>-3.772463215528</v>
      </c>
      <c r="F30" s="8">
        <v>-38.611769276788799</v>
      </c>
      <c r="G30" s="8"/>
      <c r="H30" s="7"/>
      <c r="I30" s="7"/>
      <c r="J30" s="8"/>
      <c r="K30" s="8"/>
    </row>
    <row r="31" spans="1:11" ht="15" x14ac:dyDescent="0.25">
      <c r="A31" t="s">
        <v>19</v>
      </c>
      <c r="B31" s="4" t="s">
        <v>96</v>
      </c>
      <c r="C31" s="4" t="s">
        <v>96</v>
      </c>
      <c r="D31" s="7">
        <v>117</v>
      </c>
      <c r="E31" s="8">
        <v>-3.8147710098193799</v>
      </c>
      <c r="F31" s="8">
        <v>-38.588608356705898</v>
      </c>
      <c r="G31" s="8"/>
      <c r="H31" s="7"/>
      <c r="I31" s="7"/>
      <c r="J31" s="8"/>
      <c r="K31" s="8"/>
    </row>
    <row r="32" spans="1:11" ht="15" x14ac:dyDescent="0.25">
      <c r="A32" t="s">
        <v>16</v>
      </c>
      <c r="B32" t="s">
        <v>135</v>
      </c>
      <c r="C32" t="s">
        <v>135</v>
      </c>
      <c r="D32" s="7">
        <v>95</v>
      </c>
      <c r="E32" s="8">
        <v>-3.8460425416992998</v>
      </c>
      <c r="F32" s="8">
        <v>-38.521461386696998</v>
      </c>
      <c r="G32" s="8"/>
      <c r="H32" s="7"/>
      <c r="I32" s="7"/>
      <c r="J32" s="8"/>
      <c r="K32" s="8"/>
    </row>
    <row r="33" spans="1:11" ht="15" x14ac:dyDescent="0.25">
      <c r="A33" t="s">
        <v>18</v>
      </c>
      <c r="B33" s="5" t="s">
        <v>115</v>
      </c>
      <c r="C33" s="5" t="s">
        <v>115</v>
      </c>
      <c r="D33" s="7">
        <v>83</v>
      </c>
      <c r="E33" s="8">
        <v>-3.76040480634658</v>
      </c>
      <c r="F33" s="8">
        <v>-38.5606115368834</v>
      </c>
      <c r="G33" s="8"/>
      <c r="H33" s="7"/>
      <c r="I33" s="7"/>
      <c r="J33" s="8"/>
      <c r="K33" s="8"/>
    </row>
    <row r="34" spans="1:11" ht="15" x14ac:dyDescent="0.25">
      <c r="A34" t="s">
        <v>14</v>
      </c>
      <c r="B34" t="s">
        <v>32</v>
      </c>
      <c r="C34" t="s">
        <v>32</v>
      </c>
      <c r="D34" s="7">
        <v>82</v>
      </c>
      <c r="E34" s="8">
        <v>-3.7098733835424098</v>
      </c>
      <c r="F34" s="8">
        <v>-38.5701753140916</v>
      </c>
      <c r="G34" s="8"/>
      <c r="H34" s="7"/>
      <c r="I34" s="7"/>
      <c r="J34" s="8"/>
      <c r="K34" s="8"/>
    </row>
    <row r="35" spans="1:11" ht="15" x14ac:dyDescent="0.25">
      <c r="A35" t="s">
        <v>11</v>
      </c>
      <c r="B35" s="4" t="s">
        <v>76</v>
      </c>
      <c r="C35" s="4" t="s">
        <v>76</v>
      </c>
      <c r="D35" s="7">
        <v>2</v>
      </c>
      <c r="E35" s="8">
        <v>-3.8218427466216398</v>
      </c>
      <c r="F35" s="8">
        <v>-38.476577253157402</v>
      </c>
      <c r="G35" s="8"/>
      <c r="H35" s="7"/>
      <c r="I35" s="7"/>
      <c r="J35" s="8"/>
      <c r="K35" s="8"/>
    </row>
    <row r="36" spans="1:11" ht="15" x14ac:dyDescent="0.25">
      <c r="A36" t="s">
        <v>15</v>
      </c>
      <c r="B36" t="s">
        <v>33</v>
      </c>
      <c r="C36" t="s">
        <v>33</v>
      </c>
      <c r="D36" s="7">
        <v>83</v>
      </c>
      <c r="E36" s="8">
        <v>-3.7501930615661698</v>
      </c>
      <c r="F36" s="8">
        <v>-38.545942050787801</v>
      </c>
      <c r="G36" s="8"/>
      <c r="H36" s="7"/>
      <c r="I36" s="7"/>
      <c r="J36" s="8"/>
      <c r="K36" s="8"/>
    </row>
    <row r="37" spans="1:11" ht="15" x14ac:dyDescent="0.25">
      <c r="A37" t="s">
        <v>10</v>
      </c>
      <c r="B37" t="s">
        <v>133</v>
      </c>
      <c r="C37" t="s">
        <v>133</v>
      </c>
      <c r="D37" s="7">
        <v>1</v>
      </c>
      <c r="E37" s="8">
        <v>-3.7397366628463802</v>
      </c>
      <c r="F37" s="8">
        <v>-38.463829494715299</v>
      </c>
      <c r="G37" s="8"/>
      <c r="H37" s="7"/>
      <c r="I37" s="7"/>
      <c r="J37" s="8"/>
      <c r="K37" s="8"/>
    </row>
    <row r="38" spans="1:11" ht="15" x14ac:dyDescent="0.25">
      <c r="A38" t="s">
        <v>18</v>
      </c>
      <c r="B38" s="5" t="s">
        <v>116</v>
      </c>
      <c r="C38" s="5" t="s">
        <v>116</v>
      </c>
      <c r="D38" s="7">
        <v>83</v>
      </c>
      <c r="E38" s="8">
        <v>-3.7619043448426002</v>
      </c>
      <c r="F38" s="8">
        <v>-38.564763741306301</v>
      </c>
      <c r="G38" s="8"/>
      <c r="H38" s="7"/>
      <c r="I38" s="7"/>
      <c r="J38" s="8"/>
      <c r="K38" s="8"/>
    </row>
    <row r="39" spans="1:11" ht="15" x14ac:dyDescent="0.25">
      <c r="A39" t="s">
        <v>20</v>
      </c>
      <c r="B39" s="4" t="s">
        <v>97</v>
      </c>
      <c r="C39" s="4" t="s">
        <v>97</v>
      </c>
      <c r="D39" s="7">
        <v>115</v>
      </c>
      <c r="E39" s="8">
        <v>-3.7956267721391299</v>
      </c>
      <c r="F39" s="8">
        <v>-38.554871755016002</v>
      </c>
      <c r="G39" s="8"/>
      <c r="H39" s="7"/>
      <c r="I39" s="7"/>
      <c r="J39" s="8"/>
      <c r="K39" s="8"/>
    </row>
    <row r="40" spans="1:11" ht="15" x14ac:dyDescent="0.25">
      <c r="A40" t="s">
        <v>20</v>
      </c>
      <c r="B40" s="5" t="s">
        <v>117</v>
      </c>
      <c r="C40" s="5" t="s">
        <v>117</v>
      </c>
      <c r="D40" s="7">
        <v>118</v>
      </c>
      <c r="E40" s="8">
        <v>-3.7876100124265899</v>
      </c>
      <c r="F40" s="8">
        <v>-38.527414085906003</v>
      </c>
      <c r="G40" s="8"/>
      <c r="H40" s="7"/>
      <c r="I40" s="7"/>
      <c r="J40" s="8"/>
      <c r="K40" s="8"/>
    </row>
    <row r="41" spans="1:11" ht="15" x14ac:dyDescent="0.25">
      <c r="A41" t="s">
        <v>10</v>
      </c>
      <c r="B41" t="s">
        <v>34</v>
      </c>
      <c r="C41" t="s">
        <v>34</v>
      </c>
      <c r="D41" s="7">
        <v>80</v>
      </c>
      <c r="E41" s="8">
        <v>-3.7466362407272902</v>
      </c>
      <c r="F41" s="8">
        <v>-38.501641285177101</v>
      </c>
      <c r="G41" s="8"/>
      <c r="H41" s="7"/>
      <c r="I41" s="7"/>
      <c r="J41" s="8"/>
      <c r="K41" s="8"/>
    </row>
    <row r="42" spans="1:11" ht="15" x14ac:dyDescent="0.25">
      <c r="A42" t="s">
        <v>18</v>
      </c>
      <c r="B42" t="s">
        <v>63</v>
      </c>
      <c r="C42" t="s">
        <v>63</v>
      </c>
      <c r="D42" s="7">
        <v>83</v>
      </c>
      <c r="E42" s="8">
        <v>-3.7554394732483001</v>
      </c>
      <c r="F42" s="8">
        <v>-38.589623726028101</v>
      </c>
      <c r="G42" s="8"/>
      <c r="H42" s="7"/>
      <c r="I42" s="7"/>
      <c r="J42" s="8"/>
      <c r="K42" s="8"/>
    </row>
    <row r="43" spans="1:11" ht="15" x14ac:dyDescent="0.25">
      <c r="A43" t="s">
        <v>13</v>
      </c>
      <c r="B43" s="4" t="s">
        <v>77</v>
      </c>
      <c r="C43" s="4" t="s">
        <v>77</v>
      </c>
      <c r="D43" s="7">
        <v>112</v>
      </c>
      <c r="E43" s="8">
        <v>-3.7734109847680899</v>
      </c>
      <c r="F43" s="8">
        <v>-38.476795027420103</v>
      </c>
      <c r="G43" s="8"/>
      <c r="H43" s="7"/>
      <c r="I43" s="7"/>
      <c r="J43" s="8"/>
      <c r="K43" s="8"/>
    </row>
    <row r="44" spans="1:11" ht="15" x14ac:dyDescent="0.25">
      <c r="A44" t="s">
        <v>17</v>
      </c>
      <c r="B44" t="s">
        <v>58</v>
      </c>
      <c r="C44" t="s">
        <v>58</v>
      </c>
      <c r="D44" s="7">
        <v>82</v>
      </c>
      <c r="E44" s="8">
        <v>-3.7232122164096402</v>
      </c>
      <c r="F44" s="8">
        <v>-38.558165735754699</v>
      </c>
      <c r="H44" s="7"/>
      <c r="I44" s="7"/>
      <c r="J44" s="8"/>
      <c r="K44" s="8"/>
    </row>
    <row r="45" spans="1:11" ht="15" x14ac:dyDescent="0.25">
      <c r="A45" t="s">
        <v>13</v>
      </c>
      <c r="B45" s="4" t="s">
        <v>78</v>
      </c>
      <c r="C45" s="4" t="s">
        <v>78</v>
      </c>
      <c r="D45" s="7">
        <v>112</v>
      </c>
      <c r="E45" s="8">
        <v>-3.7702613040788902</v>
      </c>
      <c r="F45" s="8">
        <v>-38.483598983838498</v>
      </c>
      <c r="H45" s="7"/>
      <c r="I45" s="7"/>
      <c r="J45" s="8"/>
      <c r="K45" s="8"/>
    </row>
    <row r="46" spans="1:11" ht="15" x14ac:dyDescent="0.25">
      <c r="A46" t="s">
        <v>17</v>
      </c>
      <c r="B46" t="s">
        <v>35</v>
      </c>
      <c r="C46" t="s">
        <v>35</v>
      </c>
      <c r="D46" s="7">
        <v>113</v>
      </c>
      <c r="E46" s="8">
        <v>-3.73209256228118</v>
      </c>
      <c r="F46" s="8">
        <v>-38.541562729521601</v>
      </c>
      <c r="H46" s="7"/>
      <c r="I46" s="7"/>
      <c r="J46" s="8"/>
      <c r="K46" s="8"/>
    </row>
    <row r="47" spans="1:11" ht="15" x14ac:dyDescent="0.25">
      <c r="A47" t="s">
        <v>15</v>
      </c>
      <c r="B47" t="s">
        <v>36</v>
      </c>
      <c r="C47" t="s">
        <v>36</v>
      </c>
      <c r="D47" s="7">
        <v>80</v>
      </c>
      <c r="E47" s="8">
        <v>-3.7515603030788198</v>
      </c>
      <c r="F47" s="8">
        <v>-38.526676301673398</v>
      </c>
      <c r="H47" s="7"/>
      <c r="I47" s="7"/>
      <c r="J47" s="8"/>
      <c r="K47" s="8"/>
    </row>
    <row r="48" spans="1:11" ht="15" x14ac:dyDescent="0.25">
      <c r="A48" t="s">
        <v>14</v>
      </c>
      <c r="B48" t="s">
        <v>37</v>
      </c>
      <c r="C48" t="s">
        <v>37</v>
      </c>
      <c r="D48" s="7">
        <v>114</v>
      </c>
      <c r="E48" s="8">
        <v>-3.72619124055575</v>
      </c>
      <c r="F48" s="8">
        <v>-38.576785296760498</v>
      </c>
      <c r="H48" s="7"/>
      <c r="I48" s="7"/>
      <c r="J48" s="8"/>
      <c r="K48" s="8"/>
    </row>
    <row r="49" spans="1:11" ht="15" x14ac:dyDescent="0.25">
      <c r="A49" t="s">
        <v>18</v>
      </c>
      <c r="B49" t="s">
        <v>64</v>
      </c>
      <c r="C49" t="s">
        <v>64</v>
      </c>
      <c r="D49" s="7">
        <v>85</v>
      </c>
      <c r="E49" s="8">
        <v>-3.7516470528074999</v>
      </c>
      <c r="F49" s="8">
        <v>-38.600969744826699</v>
      </c>
      <c r="H49" s="7"/>
      <c r="I49" s="7"/>
      <c r="J49" s="8"/>
      <c r="K49" s="8"/>
    </row>
    <row r="50" spans="1:11" ht="15" x14ac:dyDescent="0.25">
      <c r="A50" t="s">
        <v>141</v>
      </c>
      <c r="B50" s="4" t="s">
        <v>98</v>
      </c>
      <c r="C50" s="4" t="s">
        <v>98</v>
      </c>
      <c r="D50" s="7">
        <v>116</v>
      </c>
      <c r="E50" s="8">
        <v>-3.7933731956045</v>
      </c>
      <c r="F50" s="8">
        <v>-38.620273767964399</v>
      </c>
      <c r="H50" s="7"/>
      <c r="I50" s="7"/>
      <c r="J50" s="8"/>
      <c r="K50" s="8"/>
    </row>
    <row r="51" spans="1:11" ht="15" x14ac:dyDescent="0.25">
      <c r="A51" t="s">
        <v>141</v>
      </c>
      <c r="B51" s="4" t="s">
        <v>99</v>
      </c>
      <c r="C51" s="4" t="s">
        <v>99</v>
      </c>
      <c r="D51" s="7">
        <v>116</v>
      </c>
      <c r="E51" s="8">
        <v>-3.7790253278716199</v>
      </c>
      <c r="F51" s="8">
        <v>-38.601168123088698</v>
      </c>
      <c r="H51" s="7"/>
      <c r="I51" s="7"/>
      <c r="J51" s="8"/>
      <c r="K51" s="8"/>
    </row>
    <row r="52" spans="1:11" ht="15" x14ac:dyDescent="0.25">
      <c r="A52" t="s">
        <v>11</v>
      </c>
      <c r="B52" s="4" t="s">
        <v>79</v>
      </c>
      <c r="C52" s="4" t="s">
        <v>79</v>
      </c>
      <c r="D52" s="7">
        <v>2</v>
      </c>
      <c r="E52" s="8">
        <v>-3.8312931400095298</v>
      </c>
      <c r="F52" s="8">
        <v>-38.480253466418297</v>
      </c>
      <c r="H52" s="7"/>
      <c r="I52" s="7"/>
      <c r="J52" s="8"/>
      <c r="K52" s="8"/>
    </row>
    <row r="53" spans="1:11" s="2" customFormat="1" ht="15" x14ac:dyDescent="0.25">
      <c r="A53" t="s">
        <v>13</v>
      </c>
      <c r="B53" s="4" t="s">
        <v>80</v>
      </c>
      <c r="C53" s="4" t="s">
        <v>80</v>
      </c>
      <c r="D53" s="7">
        <v>112</v>
      </c>
      <c r="E53" s="8">
        <v>-3.7648339675464899</v>
      </c>
      <c r="F53" s="8">
        <v>-38.486628571489</v>
      </c>
      <c r="H53" s="7"/>
      <c r="I53" s="7"/>
      <c r="J53" s="8"/>
      <c r="K53" s="8"/>
    </row>
    <row r="54" spans="1:11" ht="15" x14ac:dyDescent="0.25">
      <c r="A54" t="s">
        <v>18</v>
      </c>
      <c r="B54" t="s">
        <v>65</v>
      </c>
      <c r="C54" t="s">
        <v>65</v>
      </c>
      <c r="D54" s="7">
        <v>83</v>
      </c>
      <c r="E54" s="8">
        <v>-3.7650871411326698</v>
      </c>
      <c r="F54" s="8">
        <v>-38.584909699442299</v>
      </c>
      <c r="H54" s="7"/>
      <c r="I54" s="7"/>
      <c r="J54" s="8"/>
      <c r="K54" s="8"/>
    </row>
    <row r="55" spans="1:11" ht="15" x14ac:dyDescent="0.25">
      <c r="A55" t="s">
        <v>15</v>
      </c>
      <c r="B55" s="5" t="s">
        <v>118</v>
      </c>
      <c r="C55" s="5" t="s">
        <v>118</v>
      </c>
      <c r="D55" s="7">
        <v>83</v>
      </c>
      <c r="E55" s="8">
        <v>-3.7712477296372899</v>
      </c>
      <c r="F55" s="8">
        <v>-38.5562904842132</v>
      </c>
      <c r="H55" s="7"/>
      <c r="I55" s="7"/>
      <c r="J55" s="8"/>
      <c r="K55" s="8"/>
    </row>
    <row r="56" spans="1:11" ht="15" x14ac:dyDescent="0.25">
      <c r="A56" t="s">
        <v>20</v>
      </c>
      <c r="B56" s="5" t="s">
        <v>119</v>
      </c>
      <c r="C56" s="5" t="s">
        <v>119</v>
      </c>
      <c r="D56" s="7">
        <v>115</v>
      </c>
      <c r="E56" s="8">
        <v>-3.7866840241715898</v>
      </c>
      <c r="F56" s="8">
        <v>-38.553120544833398</v>
      </c>
      <c r="H56" s="7"/>
      <c r="I56" s="7"/>
      <c r="J56" s="8"/>
      <c r="K56" s="8"/>
    </row>
    <row r="57" spans="1:11" ht="15" x14ac:dyDescent="0.25">
      <c r="A57" t="s">
        <v>14</v>
      </c>
      <c r="B57" t="s">
        <v>38</v>
      </c>
      <c r="C57" t="s">
        <v>38</v>
      </c>
      <c r="D57" s="7">
        <v>3</v>
      </c>
      <c r="E57" s="8">
        <v>-3.7233636491008499</v>
      </c>
      <c r="F57" s="8">
        <v>-38.543071831764003</v>
      </c>
      <c r="H57" s="7"/>
      <c r="I57" s="7"/>
      <c r="J57" s="8"/>
      <c r="K57" s="8"/>
    </row>
    <row r="58" spans="1:11" ht="15" x14ac:dyDescent="0.25">
      <c r="A58" t="s">
        <v>16</v>
      </c>
      <c r="B58" s="4" t="s">
        <v>81</v>
      </c>
      <c r="C58" s="4" t="s">
        <v>81</v>
      </c>
      <c r="D58" s="7">
        <v>95</v>
      </c>
      <c r="E58" s="8">
        <v>-3.8293916315480598</v>
      </c>
      <c r="F58" s="8">
        <v>-38.521109009752102</v>
      </c>
      <c r="H58" s="7"/>
      <c r="I58" s="7"/>
      <c r="J58" s="8"/>
      <c r="K58" s="8"/>
    </row>
    <row r="59" spans="1:11" ht="15" x14ac:dyDescent="0.25">
      <c r="A59" t="s">
        <v>15</v>
      </c>
      <c r="B59" t="s">
        <v>39</v>
      </c>
      <c r="C59" t="s">
        <v>39</v>
      </c>
      <c r="D59" s="7">
        <v>113</v>
      </c>
      <c r="E59" s="8">
        <v>-3.7518452293694602</v>
      </c>
      <c r="F59" s="8">
        <v>-38.539152524464903</v>
      </c>
      <c r="H59" s="7"/>
      <c r="I59" s="7"/>
      <c r="J59" s="8"/>
      <c r="K59" s="8"/>
    </row>
    <row r="60" spans="1:11" ht="15" x14ac:dyDescent="0.25">
      <c r="A60" t="s">
        <v>19</v>
      </c>
      <c r="B60" s="4" t="s">
        <v>100</v>
      </c>
      <c r="C60" s="4" t="s">
        <v>100</v>
      </c>
      <c r="D60" s="7">
        <v>115</v>
      </c>
      <c r="E60" s="8">
        <v>-3.80031139104018</v>
      </c>
      <c r="F60" s="8">
        <v>-38.566177251244802</v>
      </c>
      <c r="H60" s="7"/>
      <c r="I60" s="7"/>
      <c r="J60" s="8"/>
      <c r="K60" s="8"/>
    </row>
    <row r="61" spans="1:11" ht="15" x14ac:dyDescent="0.25">
      <c r="A61" t="s">
        <v>11</v>
      </c>
      <c r="B61" s="4" t="s">
        <v>82</v>
      </c>
      <c r="C61" s="4" t="s">
        <v>82</v>
      </c>
      <c r="D61" s="7">
        <v>112</v>
      </c>
      <c r="E61" s="8">
        <v>-3.7767846486459402</v>
      </c>
      <c r="F61" s="8">
        <v>-38.5007040130306</v>
      </c>
      <c r="H61" s="7"/>
      <c r="I61" s="7"/>
      <c r="J61" s="8"/>
      <c r="K61" s="8"/>
    </row>
    <row r="62" spans="1:11" ht="15" x14ac:dyDescent="0.25">
      <c r="A62" t="s">
        <v>14</v>
      </c>
      <c r="B62" t="s">
        <v>40</v>
      </c>
      <c r="C62" t="s">
        <v>40</v>
      </c>
      <c r="D62" s="7">
        <v>94</v>
      </c>
      <c r="E62" s="8">
        <v>-3.7239391281284799</v>
      </c>
      <c r="F62" s="8">
        <v>-38.589812341226803</v>
      </c>
      <c r="H62" s="7"/>
      <c r="I62" s="7"/>
      <c r="J62" s="8"/>
      <c r="K62" s="8"/>
    </row>
    <row r="63" spans="1:11" ht="15" x14ac:dyDescent="0.25">
      <c r="A63" t="s">
        <v>14</v>
      </c>
      <c r="B63" t="s">
        <v>41</v>
      </c>
      <c r="C63" t="s">
        <v>41</v>
      </c>
      <c r="D63" s="7">
        <v>94</v>
      </c>
      <c r="E63" s="8">
        <v>-3.7222030360943399</v>
      </c>
      <c r="F63" s="8">
        <v>-38.5836486181475</v>
      </c>
      <c r="H63" s="7"/>
      <c r="I63" s="7"/>
      <c r="J63" s="8"/>
      <c r="K63" s="8"/>
    </row>
    <row r="64" spans="1:11" ht="15" x14ac:dyDescent="0.25">
      <c r="A64" t="s">
        <v>18</v>
      </c>
      <c r="B64" t="s">
        <v>66</v>
      </c>
      <c r="C64" t="s">
        <v>66</v>
      </c>
      <c r="D64" s="7">
        <v>83</v>
      </c>
      <c r="E64" s="8">
        <v>-3.7680084807697298</v>
      </c>
      <c r="F64" s="8">
        <v>-38.5904359970529</v>
      </c>
      <c r="H64" s="7"/>
      <c r="I64" s="7"/>
      <c r="J64" s="8"/>
      <c r="K64" s="8"/>
    </row>
    <row r="65" spans="1:11" ht="15" x14ac:dyDescent="0.25">
      <c r="A65" t="s">
        <v>10</v>
      </c>
      <c r="B65" t="s">
        <v>42</v>
      </c>
      <c r="C65" t="s">
        <v>42</v>
      </c>
      <c r="D65" s="7">
        <v>80</v>
      </c>
      <c r="E65" s="8">
        <v>-3.74778232790861</v>
      </c>
      <c r="F65" s="8">
        <v>-38.518867248309697</v>
      </c>
      <c r="H65" s="7"/>
      <c r="I65" s="7"/>
      <c r="J65" s="8"/>
      <c r="K65" s="8"/>
    </row>
    <row r="66" spans="1:11" ht="15" x14ac:dyDescent="0.25">
      <c r="A66" t="s">
        <v>18</v>
      </c>
      <c r="B66" s="5" t="s">
        <v>120</v>
      </c>
      <c r="C66" s="5" t="s">
        <v>120</v>
      </c>
      <c r="D66" s="7">
        <v>83</v>
      </c>
      <c r="E66" s="8">
        <v>-3.7625262833534698</v>
      </c>
      <c r="F66" s="8">
        <v>-38.574086651965402</v>
      </c>
      <c r="H66" s="7"/>
      <c r="I66" s="7"/>
      <c r="J66" s="8"/>
      <c r="K66" s="8"/>
    </row>
    <row r="67" spans="1:11" ht="15" x14ac:dyDescent="0.25">
      <c r="A67" t="s">
        <v>15</v>
      </c>
      <c r="B67" t="s">
        <v>43</v>
      </c>
      <c r="C67" t="s">
        <v>43</v>
      </c>
      <c r="D67" s="7">
        <v>80</v>
      </c>
      <c r="E67" s="8">
        <v>-3.7389948930849402</v>
      </c>
      <c r="F67" s="8">
        <v>-38.523995594970302</v>
      </c>
      <c r="H67" s="7"/>
      <c r="I67" s="7"/>
      <c r="J67" s="8"/>
      <c r="K67" s="8"/>
    </row>
    <row r="68" spans="1:11" ht="15" x14ac:dyDescent="0.25">
      <c r="A68" t="s">
        <v>11</v>
      </c>
      <c r="B68" t="s">
        <v>69</v>
      </c>
      <c r="C68" t="s">
        <v>69</v>
      </c>
      <c r="D68" s="7">
        <v>2</v>
      </c>
      <c r="E68" s="8">
        <v>-3.8057596847658401</v>
      </c>
      <c r="F68" s="8">
        <v>-38.471245681105501</v>
      </c>
      <c r="H68" s="7"/>
      <c r="I68" s="7"/>
      <c r="J68" s="8"/>
      <c r="K68" s="8"/>
    </row>
    <row r="69" spans="1:11" ht="15" x14ac:dyDescent="0.25">
      <c r="A69" t="s">
        <v>20</v>
      </c>
      <c r="B69" s="4" t="s">
        <v>109</v>
      </c>
      <c r="C69" s="4" t="s">
        <v>109</v>
      </c>
      <c r="D69" s="7">
        <v>93</v>
      </c>
      <c r="E69" s="8">
        <v>-3.8328047835560102</v>
      </c>
      <c r="F69" s="8">
        <v>-38.558117479880401</v>
      </c>
      <c r="H69" s="7"/>
      <c r="I69" s="7"/>
      <c r="J69" s="8"/>
      <c r="K69" s="8"/>
    </row>
    <row r="70" spans="1:11" ht="15" x14ac:dyDescent="0.25">
      <c r="A70" t="s">
        <v>11</v>
      </c>
      <c r="B70" s="4" t="s">
        <v>83</v>
      </c>
      <c r="C70" s="4" t="s">
        <v>83</v>
      </c>
      <c r="D70" s="7">
        <v>2</v>
      </c>
      <c r="E70" s="8">
        <v>-3.8138564978180498</v>
      </c>
      <c r="F70" s="8">
        <v>-38.466000188963399</v>
      </c>
      <c r="H70" s="7"/>
      <c r="I70" s="7"/>
      <c r="J70" s="8"/>
      <c r="K70" s="8"/>
    </row>
    <row r="71" spans="1:11" ht="15" x14ac:dyDescent="0.25">
      <c r="A71" t="s">
        <v>19</v>
      </c>
      <c r="B71" s="4" t="s">
        <v>101</v>
      </c>
      <c r="C71" s="4" t="s">
        <v>101</v>
      </c>
      <c r="D71" s="7">
        <v>117</v>
      </c>
      <c r="E71" s="8">
        <v>-3.7975320259768401</v>
      </c>
      <c r="F71" s="8">
        <v>-38.580770879845801</v>
      </c>
      <c r="H71" s="7"/>
      <c r="I71" s="7"/>
      <c r="J71" s="8"/>
      <c r="K71" s="8"/>
    </row>
    <row r="72" spans="1:11" ht="15" x14ac:dyDescent="0.25">
      <c r="A72" t="s">
        <v>13</v>
      </c>
      <c r="B72" t="s">
        <v>130</v>
      </c>
      <c r="C72" t="s">
        <v>130</v>
      </c>
      <c r="D72" s="7">
        <v>115</v>
      </c>
      <c r="E72" s="8">
        <v>-3.75642777859143</v>
      </c>
      <c r="F72" s="8">
        <v>-38.456780907749</v>
      </c>
      <c r="H72" s="7"/>
      <c r="I72" s="7"/>
      <c r="J72" s="8"/>
      <c r="K72" s="8"/>
    </row>
    <row r="73" spans="1:11" ht="15" x14ac:dyDescent="0.25">
      <c r="A73" t="s">
        <v>19</v>
      </c>
      <c r="B73" s="4" t="s">
        <v>102</v>
      </c>
      <c r="C73" s="4" t="s">
        <v>102</v>
      </c>
      <c r="D73" s="7">
        <v>115</v>
      </c>
      <c r="E73" s="8">
        <v>-3.8001163536715401</v>
      </c>
      <c r="F73" s="8">
        <v>-38.572654338560803</v>
      </c>
      <c r="H73" s="7"/>
      <c r="I73" s="7"/>
      <c r="J73" s="8"/>
      <c r="K73" s="8"/>
    </row>
    <row r="74" spans="1:11" ht="15" x14ac:dyDescent="0.25">
      <c r="A74" t="s">
        <v>10</v>
      </c>
      <c r="B74" t="s">
        <v>44</v>
      </c>
      <c r="C74" t="s">
        <v>44</v>
      </c>
      <c r="D74" s="7">
        <v>1</v>
      </c>
      <c r="E74" s="8">
        <v>-3.7269179692477898</v>
      </c>
      <c r="F74" s="8">
        <v>-38.5046842194972</v>
      </c>
      <c r="H74" s="7"/>
      <c r="I74" s="7"/>
      <c r="J74" s="8"/>
      <c r="K74" s="8"/>
    </row>
    <row r="75" spans="1:11" ht="15" x14ac:dyDescent="0.25">
      <c r="A75" t="s">
        <v>11</v>
      </c>
      <c r="B75" s="4" t="s">
        <v>85</v>
      </c>
      <c r="C75" s="4" t="s">
        <v>85</v>
      </c>
      <c r="D75" s="7">
        <v>2</v>
      </c>
      <c r="E75" s="8">
        <v>-3.8215893626984299</v>
      </c>
      <c r="F75" s="8">
        <v>-38.481614036021597</v>
      </c>
      <c r="H75" s="7"/>
      <c r="I75" s="7"/>
      <c r="J75" s="8"/>
      <c r="K75" s="8"/>
    </row>
    <row r="76" spans="1:11" ht="15" x14ac:dyDescent="0.25">
      <c r="A76" t="s">
        <v>19</v>
      </c>
      <c r="B76" s="4" t="s">
        <v>103</v>
      </c>
      <c r="C76" s="4" t="s">
        <v>103</v>
      </c>
      <c r="D76" s="7">
        <v>93</v>
      </c>
      <c r="E76" s="8">
        <v>-3.8125792178685902</v>
      </c>
      <c r="F76" s="8">
        <v>-38.569573265927303</v>
      </c>
      <c r="H76" s="7"/>
      <c r="I76" s="7"/>
      <c r="J76" s="8"/>
      <c r="K76" s="8"/>
    </row>
    <row r="77" spans="1:11" ht="15" x14ac:dyDescent="0.25">
      <c r="A77" t="s">
        <v>17</v>
      </c>
      <c r="B77" t="s">
        <v>45</v>
      </c>
      <c r="C77" t="s">
        <v>45</v>
      </c>
      <c r="D77" s="7">
        <v>82</v>
      </c>
      <c r="E77" s="8">
        <v>-3.7271800547323499</v>
      </c>
      <c r="F77" s="8">
        <v>-38.547194970918603</v>
      </c>
      <c r="H77" s="7"/>
      <c r="I77" s="7"/>
      <c r="J77" s="8"/>
      <c r="K77" s="8"/>
    </row>
    <row r="78" spans="1:11" ht="15" x14ac:dyDescent="0.25">
      <c r="A78" t="s">
        <v>15</v>
      </c>
      <c r="B78" s="5" t="s">
        <v>121</v>
      </c>
      <c r="C78" s="5" t="s">
        <v>121</v>
      </c>
      <c r="D78" s="7">
        <v>83</v>
      </c>
      <c r="E78" s="8">
        <v>-3.75917775823928</v>
      </c>
      <c r="F78" s="8">
        <v>-38.556057834356501</v>
      </c>
      <c r="H78" s="7"/>
      <c r="I78" s="7"/>
      <c r="J78" s="8"/>
      <c r="K78" s="8"/>
    </row>
    <row r="79" spans="1:11" ht="15" x14ac:dyDescent="0.25">
      <c r="A79" t="s">
        <v>12</v>
      </c>
      <c r="B79" t="s">
        <v>25</v>
      </c>
      <c r="C79" t="s">
        <v>25</v>
      </c>
      <c r="D79" s="7">
        <v>3</v>
      </c>
      <c r="E79" s="8">
        <v>-3.7184777140240799</v>
      </c>
      <c r="F79" s="8">
        <v>-38.532559596432002</v>
      </c>
      <c r="H79" s="7"/>
      <c r="I79" s="7"/>
      <c r="J79" s="8"/>
      <c r="K79" s="8"/>
    </row>
    <row r="80" spans="1:11" ht="15" x14ac:dyDescent="0.25">
      <c r="A80" t="s">
        <v>10</v>
      </c>
      <c r="B80" t="s">
        <v>46</v>
      </c>
      <c r="C80" t="s">
        <v>46</v>
      </c>
      <c r="D80" s="7">
        <v>1</v>
      </c>
      <c r="E80" s="8">
        <v>-3.7254466302023399</v>
      </c>
      <c r="F80" s="8">
        <v>-38.4838066068139</v>
      </c>
      <c r="H80" s="7"/>
      <c r="I80" s="7"/>
      <c r="J80" s="8"/>
      <c r="K80" s="8"/>
    </row>
    <row r="81" spans="1:11" ht="15" x14ac:dyDescent="0.25">
      <c r="A81" s="6" t="s">
        <v>19</v>
      </c>
      <c r="B81" s="6" t="s">
        <v>137</v>
      </c>
      <c r="C81" s="6" t="s">
        <v>137</v>
      </c>
      <c r="D81" s="7">
        <v>93</v>
      </c>
      <c r="E81" s="8">
        <v>-3.8131898120131198</v>
      </c>
      <c r="F81" s="8">
        <v>-38.586563691754797</v>
      </c>
      <c r="H81" s="7"/>
      <c r="I81" s="7"/>
      <c r="J81" s="8"/>
      <c r="K81" s="8"/>
    </row>
    <row r="82" spans="1:11" ht="15" x14ac:dyDescent="0.25">
      <c r="A82" t="s">
        <v>17</v>
      </c>
      <c r="B82" t="s">
        <v>138</v>
      </c>
      <c r="C82" t="s">
        <v>138</v>
      </c>
      <c r="D82" s="7">
        <v>94</v>
      </c>
      <c r="E82" s="8">
        <v>-3.7291007990209999</v>
      </c>
      <c r="F82" s="8">
        <v>-38.589731419797097</v>
      </c>
      <c r="H82" s="7"/>
      <c r="I82" s="7"/>
      <c r="J82" s="8"/>
      <c r="K82" s="8"/>
    </row>
    <row r="83" spans="1:11" ht="15" x14ac:dyDescent="0.25">
      <c r="A83" t="s">
        <v>17</v>
      </c>
      <c r="B83" t="s">
        <v>67</v>
      </c>
      <c r="C83" t="s">
        <v>67</v>
      </c>
      <c r="D83" s="7">
        <v>94</v>
      </c>
      <c r="E83" s="8">
        <v>-3.7315025216373301</v>
      </c>
      <c r="F83" s="8">
        <v>-38.580920308954497</v>
      </c>
      <c r="H83" s="7"/>
      <c r="I83" s="7"/>
      <c r="J83" s="8"/>
      <c r="K83" s="8"/>
    </row>
    <row r="84" spans="1:11" ht="15" x14ac:dyDescent="0.25">
      <c r="A84" t="s">
        <v>18</v>
      </c>
      <c r="B84" s="4" t="s">
        <v>122</v>
      </c>
      <c r="C84" s="4" t="s">
        <v>122</v>
      </c>
      <c r="D84" s="7">
        <v>83</v>
      </c>
      <c r="E84" s="8">
        <v>-3.7573760474097702</v>
      </c>
      <c r="F84" s="8">
        <v>-38.565319377017701</v>
      </c>
      <c r="H84" s="7"/>
      <c r="I84" s="7"/>
      <c r="J84" s="8"/>
      <c r="K84" s="8"/>
    </row>
    <row r="85" spans="1:11" ht="15" x14ac:dyDescent="0.25">
      <c r="A85" t="s">
        <v>10</v>
      </c>
      <c r="B85" t="s">
        <v>47</v>
      </c>
      <c r="C85" t="s">
        <v>47</v>
      </c>
      <c r="D85" s="7">
        <v>1</v>
      </c>
      <c r="E85" s="8">
        <v>-3.7427354585609498</v>
      </c>
      <c r="F85" s="8">
        <v>-38.468499998558499</v>
      </c>
      <c r="H85" s="7"/>
      <c r="I85" s="7"/>
      <c r="J85" s="8"/>
      <c r="K85" s="8"/>
    </row>
    <row r="86" spans="1:11" ht="15" x14ac:dyDescent="0.25">
      <c r="A86" t="s">
        <v>15</v>
      </c>
      <c r="B86" t="s">
        <v>123</v>
      </c>
      <c r="C86" t="s">
        <v>123</v>
      </c>
      <c r="D86" s="7">
        <v>115</v>
      </c>
      <c r="E86" s="8">
        <v>-3.76812127559056</v>
      </c>
      <c r="F86" s="8">
        <v>-38.560748431647703</v>
      </c>
      <c r="H86" s="7"/>
      <c r="I86" s="7"/>
      <c r="J86" s="8"/>
      <c r="K86" s="8"/>
    </row>
    <row r="87" spans="1:11" ht="15" x14ac:dyDescent="0.25">
      <c r="A87" t="s">
        <v>17</v>
      </c>
      <c r="B87" t="s">
        <v>48</v>
      </c>
      <c r="C87" t="s">
        <v>48</v>
      </c>
      <c r="D87" s="7">
        <v>113</v>
      </c>
      <c r="E87" s="8">
        <v>-3.7318430325170402</v>
      </c>
      <c r="F87" s="8">
        <v>-38.545285153576103</v>
      </c>
      <c r="H87" s="7"/>
      <c r="I87" s="7"/>
      <c r="J87" s="8"/>
      <c r="K87" s="8"/>
    </row>
    <row r="88" spans="1:11" ht="15" x14ac:dyDescent="0.25">
      <c r="A88" t="s">
        <v>20</v>
      </c>
      <c r="B88" s="4" t="s">
        <v>104</v>
      </c>
      <c r="C88" s="4" t="s">
        <v>104</v>
      </c>
      <c r="D88" s="7">
        <v>118</v>
      </c>
      <c r="E88" s="8">
        <v>-3.80317693812944</v>
      </c>
      <c r="F88" s="8">
        <v>-38.551264647704897</v>
      </c>
      <c r="H88" s="7"/>
      <c r="I88" s="7"/>
      <c r="J88" s="8"/>
      <c r="K88" s="8"/>
    </row>
    <row r="89" spans="1:11" ht="15" x14ac:dyDescent="0.25">
      <c r="A89" t="s">
        <v>11</v>
      </c>
      <c r="B89" s="4" t="s">
        <v>86</v>
      </c>
      <c r="C89" s="4" t="s">
        <v>86</v>
      </c>
      <c r="D89" s="7">
        <v>112</v>
      </c>
      <c r="E89" s="8">
        <v>-3.8004820224838798</v>
      </c>
      <c r="F89" s="8">
        <v>-38.497777334654103</v>
      </c>
      <c r="H89" s="7"/>
      <c r="I89" s="7"/>
      <c r="J89" s="8"/>
      <c r="K89" s="8"/>
    </row>
    <row r="90" spans="1:11" ht="15" x14ac:dyDescent="0.25">
      <c r="A90" t="s">
        <v>11</v>
      </c>
      <c r="B90" s="4" t="s">
        <v>87</v>
      </c>
      <c r="C90" s="4" t="s">
        <v>87</v>
      </c>
      <c r="D90" s="7">
        <v>112</v>
      </c>
      <c r="E90" s="8">
        <v>-3.7881357501423598</v>
      </c>
      <c r="F90" s="8">
        <v>-38.4797857719646</v>
      </c>
      <c r="H90" s="7"/>
      <c r="I90" s="7"/>
      <c r="J90" s="8"/>
      <c r="K90" s="8"/>
    </row>
    <row r="91" spans="1:11" ht="15" x14ac:dyDescent="0.25">
      <c r="A91" t="s">
        <v>16</v>
      </c>
      <c r="B91" s="4" t="s">
        <v>142</v>
      </c>
      <c r="C91" s="4" t="s">
        <v>142</v>
      </c>
      <c r="D91" s="7">
        <v>95</v>
      </c>
      <c r="E91" s="8">
        <v>-3.8515016361285799</v>
      </c>
      <c r="F91" s="8">
        <v>-38.501747907480699</v>
      </c>
      <c r="H91" s="7"/>
      <c r="I91" s="7"/>
      <c r="J91" s="8"/>
      <c r="K91" s="8"/>
    </row>
    <row r="92" spans="1:11" ht="15" x14ac:dyDescent="0.25">
      <c r="A92" t="s">
        <v>19</v>
      </c>
      <c r="B92" s="4" t="s">
        <v>107</v>
      </c>
      <c r="C92" s="4" t="s">
        <v>107</v>
      </c>
      <c r="D92" s="7">
        <v>117</v>
      </c>
      <c r="E92" s="8">
        <v>-3.8223671671801198</v>
      </c>
      <c r="F92" s="8">
        <v>-38.594584402390701</v>
      </c>
      <c r="H92" s="7"/>
      <c r="I92" s="7"/>
      <c r="J92" s="8"/>
      <c r="K92" s="8"/>
    </row>
    <row r="93" spans="1:11" ht="15" x14ac:dyDescent="0.25">
      <c r="A93" t="s">
        <v>19</v>
      </c>
      <c r="B93" s="4" t="s">
        <v>106</v>
      </c>
      <c r="C93" s="4" t="s">
        <v>106</v>
      </c>
      <c r="D93" s="7">
        <v>117</v>
      </c>
      <c r="E93" s="8">
        <v>-3.79783072329964</v>
      </c>
      <c r="F93" s="8">
        <v>-38.590598041131202</v>
      </c>
      <c r="H93" s="7"/>
      <c r="I93" s="7"/>
      <c r="J93" s="8"/>
      <c r="K93" s="8"/>
    </row>
    <row r="94" spans="1:11" ht="15" x14ac:dyDescent="0.25">
      <c r="A94" t="s">
        <v>17</v>
      </c>
      <c r="B94" t="s">
        <v>49</v>
      </c>
      <c r="C94" t="s">
        <v>49</v>
      </c>
      <c r="D94" s="7">
        <v>113</v>
      </c>
      <c r="E94" s="8">
        <v>-3.7347275762507501</v>
      </c>
      <c r="F94" s="8">
        <v>-38.555990528856903</v>
      </c>
      <c r="H94" s="7"/>
      <c r="I94" s="7"/>
      <c r="J94" s="8"/>
      <c r="K94" s="8"/>
    </row>
    <row r="95" spans="1:11" ht="15" x14ac:dyDescent="0.25">
      <c r="A95" t="s">
        <v>15</v>
      </c>
      <c r="B95" t="s">
        <v>50</v>
      </c>
      <c r="C95" t="s">
        <v>50</v>
      </c>
      <c r="D95" s="7">
        <v>115</v>
      </c>
      <c r="E95" s="8">
        <v>-3.7558570492956802</v>
      </c>
      <c r="F95" s="8">
        <v>-38.535462921719599</v>
      </c>
      <c r="H95" s="7"/>
      <c r="I95" s="7"/>
      <c r="J95" s="8"/>
      <c r="K95" s="8"/>
    </row>
    <row r="96" spans="1:11" ht="15" x14ac:dyDescent="0.25">
      <c r="A96" t="s">
        <v>20</v>
      </c>
      <c r="B96" s="4" t="s">
        <v>108</v>
      </c>
      <c r="C96" s="4" t="s">
        <v>108</v>
      </c>
      <c r="D96" s="7">
        <v>118</v>
      </c>
      <c r="E96" s="8">
        <v>-3.80941285034221</v>
      </c>
      <c r="F96" s="8">
        <v>-38.533537673745897</v>
      </c>
      <c r="H96" s="7"/>
      <c r="I96" s="7"/>
      <c r="J96" s="8"/>
      <c r="K96" s="8"/>
    </row>
    <row r="97" spans="1:11" ht="15" x14ac:dyDescent="0.25">
      <c r="A97" t="s">
        <v>11</v>
      </c>
      <c r="B97" s="4" t="s">
        <v>88</v>
      </c>
      <c r="C97" s="4" t="s">
        <v>88</v>
      </c>
      <c r="D97" s="7">
        <v>2</v>
      </c>
      <c r="E97" s="8">
        <v>-3.8415735059676401</v>
      </c>
      <c r="F97" s="8">
        <v>-38.486575454319798</v>
      </c>
      <c r="H97" s="7"/>
      <c r="I97" s="7"/>
      <c r="J97" s="8"/>
      <c r="K97" s="8"/>
    </row>
    <row r="98" spans="1:11" ht="15" x14ac:dyDescent="0.25">
      <c r="A98" t="s">
        <v>16</v>
      </c>
      <c r="B98" s="4" t="s">
        <v>89</v>
      </c>
      <c r="C98" s="4" t="s">
        <v>89</v>
      </c>
      <c r="D98" s="7">
        <v>95</v>
      </c>
      <c r="E98" s="8">
        <v>-3.8776924642431698</v>
      </c>
      <c r="F98" s="8">
        <v>-38.514859109158003</v>
      </c>
      <c r="H98" s="7"/>
      <c r="I98" s="7"/>
      <c r="J98" s="8"/>
      <c r="K98" s="8"/>
    </row>
    <row r="99" spans="1:11" ht="15" x14ac:dyDescent="0.25">
      <c r="A99" t="s">
        <v>18</v>
      </c>
      <c r="B99" s="4" t="s">
        <v>124</v>
      </c>
      <c r="C99" s="4" t="s">
        <v>124</v>
      </c>
      <c r="D99" s="7">
        <v>83</v>
      </c>
      <c r="E99" s="8">
        <v>-3.7448876903495401</v>
      </c>
      <c r="F99" s="8">
        <v>-38.573751950840801</v>
      </c>
      <c r="H99" s="7"/>
      <c r="I99" s="7"/>
      <c r="J99" s="8"/>
      <c r="K99" s="8"/>
    </row>
    <row r="100" spans="1:11" ht="15" x14ac:dyDescent="0.25">
      <c r="A100" t="s">
        <v>14</v>
      </c>
      <c r="B100" t="s">
        <v>51</v>
      </c>
      <c r="C100" t="s">
        <v>51</v>
      </c>
      <c r="D100" s="7">
        <v>3</v>
      </c>
      <c r="E100" s="8">
        <v>-3.7124091028720398</v>
      </c>
      <c r="F100" s="8">
        <v>-38.551287597929999</v>
      </c>
      <c r="H100" s="7"/>
      <c r="I100" s="7"/>
      <c r="J100" s="8"/>
      <c r="K100" s="8"/>
    </row>
    <row r="101" spans="1:11" ht="15" x14ac:dyDescent="0.25">
      <c r="A101" t="s">
        <v>20</v>
      </c>
      <c r="B101" t="s">
        <v>134</v>
      </c>
      <c r="C101" t="s">
        <v>134</v>
      </c>
      <c r="D101" s="7">
        <v>93</v>
      </c>
      <c r="E101" s="8">
        <v>-3.8320958197683002</v>
      </c>
      <c r="F101" s="8">
        <v>-38.569799806885698</v>
      </c>
      <c r="H101" s="7"/>
      <c r="I101" s="7"/>
      <c r="J101" s="8"/>
      <c r="K101" s="8"/>
    </row>
    <row r="102" spans="1:11" ht="15" x14ac:dyDescent="0.25">
      <c r="A102" t="s">
        <v>19</v>
      </c>
      <c r="B102" s="4" t="s">
        <v>105</v>
      </c>
      <c r="C102" s="4" t="s">
        <v>105</v>
      </c>
      <c r="D102" s="7">
        <v>117</v>
      </c>
      <c r="E102" s="8">
        <v>-3.8213894948300702</v>
      </c>
      <c r="F102" s="8">
        <v>-38.599709975632898</v>
      </c>
      <c r="H102" s="7"/>
      <c r="I102" s="7"/>
      <c r="J102" s="8"/>
      <c r="K102" s="8"/>
    </row>
    <row r="103" spans="1:11" ht="15" x14ac:dyDescent="0.25">
      <c r="A103" t="s">
        <v>12</v>
      </c>
      <c r="B103" t="s">
        <v>52</v>
      </c>
      <c r="C103" t="s">
        <v>52</v>
      </c>
      <c r="D103" s="7">
        <v>3</v>
      </c>
      <c r="E103" s="8">
        <v>-3.7200552037859902</v>
      </c>
      <c r="F103" s="8">
        <v>-38.519751439686502</v>
      </c>
      <c r="H103" s="7"/>
      <c r="I103" s="7"/>
      <c r="J103" s="8"/>
      <c r="K103" s="8"/>
    </row>
    <row r="104" spans="1:11" ht="15" x14ac:dyDescent="0.25">
      <c r="A104" t="s">
        <v>13</v>
      </c>
      <c r="B104" t="s">
        <v>131</v>
      </c>
      <c r="C104" t="s">
        <v>131</v>
      </c>
      <c r="D104" s="7">
        <v>1</v>
      </c>
      <c r="E104" s="8">
        <v>-3.73118536223354</v>
      </c>
      <c r="F104" s="8">
        <v>-38.4619773055717</v>
      </c>
      <c r="H104" s="7"/>
      <c r="I104" s="7"/>
      <c r="J104" s="8"/>
      <c r="K104" s="8"/>
    </row>
    <row r="105" spans="1:11" ht="15" x14ac:dyDescent="0.25">
      <c r="A105" t="s">
        <v>13</v>
      </c>
      <c r="B105" t="s">
        <v>132</v>
      </c>
      <c r="C105" t="s">
        <v>132</v>
      </c>
      <c r="D105" s="7">
        <v>1</v>
      </c>
      <c r="E105" s="8">
        <v>-3.7633037355366801</v>
      </c>
      <c r="F105" s="8">
        <v>-38.442526558033101</v>
      </c>
      <c r="H105" s="7"/>
      <c r="I105" s="7"/>
      <c r="J105" s="8"/>
      <c r="K105" s="8"/>
    </row>
    <row r="106" spans="1:11" ht="15" x14ac:dyDescent="0.25">
      <c r="A106" t="s">
        <v>17</v>
      </c>
      <c r="B106" t="s">
        <v>53</v>
      </c>
      <c r="C106" t="s">
        <v>53</v>
      </c>
      <c r="D106" s="7">
        <v>114</v>
      </c>
      <c r="E106" s="8">
        <v>-3.7305802901855598</v>
      </c>
      <c r="F106" s="8">
        <v>-38.5707410062736</v>
      </c>
      <c r="H106" s="7"/>
      <c r="I106" s="7"/>
      <c r="J106" s="8"/>
      <c r="K106" s="8"/>
    </row>
    <row r="107" spans="1:11" ht="15" x14ac:dyDescent="0.25">
      <c r="A107" t="s">
        <v>17</v>
      </c>
      <c r="B107" t="s">
        <v>68</v>
      </c>
      <c r="C107" t="s">
        <v>68</v>
      </c>
      <c r="D107" s="7">
        <v>94</v>
      </c>
      <c r="E107" s="8">
        <v>-3.73185551606004</v>
      </c>
      <c r="F107" s="8">
        <v>-38.5979520737068</v>
      </c>
      <c r="H107" s="7"/>
      <c r="I107" s="7"/>
      <c r="J107" s="8"/>
      <c r="K107" s="8"/>
    </row>
    <row r="108" spans="1:11" ht="15" x14ac:dyDescent="0.25">
      <c r="A108" t="s">
        <v>17</v>
      </c>
      <c r="B108" t="s">
        <v>54</v>
      </c>
      <c r="C108" t="s">
        <v>54</v>
      </c>
      <c r="D108" s="7">
        <v>113</v>
      </c>
      <c r="E108" s="8">
        <v>-3.7397021591668298</v>
      </c>
      <c r="F108" s="8">
        <v>-38.547278854358801</v>
      </c>
      <c r="H108" s="7"/>
      <c r="I108" s="7"/>
      <c r="J108" s="8"/>
      <c r="K108" s="8"/>
    </row>
    <row r="109" spans="1:11" ht="15" x14ac:dyDescent="0.25">
      <c r="A109" t="s">
        <v>13</v>
      </c>
      <c r="B109" s="4" t="s">
        <v>90</v>
      </c>
      <c r="C109" s="4" t="s">
        <v>90</v>
      </c>
      <c r="D109" s="7">
        <v>2</v>
      </c>
      <c r="E109" s="7">
        <v>-3.8066835937607602</v>
      </c>
      <c r="F109" s="7">
        <v>-38.430875729977899</v>
      </c>
      <c r="H109" s="7"/>
      <c r="I109" s="7"/>
      <c r="J109" s="8"/>
      <c r="K109" s="8"/>
    </row>
    <row r="110" spans="1:11" ht="15" x14ac:dyDescent="0.25">
      <c r="A110" t="s">
        <v>13</v>
      </c>
      <c r="B110" s="4" t="s">
        <v>91</v>
      </c>
      <c r="C110" s="4" t="s">
        <v>91</v>
      </c>
      <c r="D110" s="7">
        <v>112</v>
      </c>
      <c r="E110" s="8">
        <v>-3.7676015324571699</v>
      </c>
      <c r="F110" s="8">
        <v>-38.496229971678297</v>
      </c>
      <c r="H110" s="7"/>
      <c r="I110" s="7"/>
      <c r="J110" s="8"/>
      <c r="K110" s="8"/>
    </row>
    <row r="111" spans="1:11" ht="15" x14ac:dyDescent="0.25">
      <c r="A111" t="s">
        <v>11</v>
      </c>
      <c r="B111" t="s">
        <v>136</v>
      </c>
      <c r="C111" t="s">
        <v>136</v>
      </c>
      <c r="D111" s="7">
        <v>2</v>
      </c>
      <c r="E111" s="8">
        <v>-3.8525791316810198</v>
      </c>
      <c r="F111" s="8">
        <v>-38.479775892303003</v>
      </c>
      <c r="H111" s="7"/>
      <c r="I111" s="7"/>
      <c r="J111" s="8"/>
      <c r="K111" s="8"/>
    </row>
    <row r="112" spans="1:11" ht="15" x14ac:dyDescent="0.25">
      <c r="A112" t="s">
        <v>17</v>
      </c>
      <c r="B112" t="s">
        <v>21</v>
      </c>
      <c r="C112" t="s">
        <v>21</v>
      </c>
      <c r="D112" s="7">
        <v>82</v>
      </c>
      <c r="E112" s="8">
        <v>-3.7324552353017002</v>
      </c>
      <c r="F112" s="8">
        <v>-38.558090896065302</v>
      </c>
      <c r="H112" s="7"/>
      <c r="I112" s="7"/>
      <c r="J112" s="8"/>
      <c r="K112" s="8"/>
    </row>
    <row r="113" spans="1:11" ht="15" x14ac:dyDescent="0.25">
      <c r="A113" t="s">
        <v>13</v>
      </c>
      <c r="B113" s="4" t="s">
        <v>84</v>
      </c>
      <c r="C113" s="4" t="s">
        <v>84</v>
      </c>
      <c r="D113" s="7">
        <v>112</v>
      </c>
      <c r="E113" s="8">
        <v>-3.7936789105161002</v>
      </c>
      <c r="F113" s="8">
        <v>-38.475588701150201</v>
      </c>
      <c r="H113" s="7"/>
      <c r="I113" s="7"/>
      <c r="J113" s="8"/>
      <c r="K113" s="8"/>
    </row>
    <row r="114" spans="1:11" ht="15" x14ac:dyDescent="0.25">
      <c r="A114" t="s">
        <v>20</v>
      </c>
      <c r="B114" t="s">
        <v>125</v>
      </c>
      <c r="C114" t="s">
        <v>125</v>
      </c>
      <c r="D114" s="7">
        <v>115</v>
      </c>
      <c r="E114" s="8">
        <v>-3.78941196710687</v>
      </c>
      <c r="F114" s="8">
        <v>-38.538973370180202</v>
      </c>
      <c r="H114" s="7"/>
      <c r="I114" s="7"/>
      <c r="J114" s="8"/>
      <c r="K114" s="8"/>
    </row>
    <row r="115" spans="1:11" ht="15" x14ac:dyDescent="0.25">
      <c r="A115" t="s">
        <v>141</v>
      </c>
      <c r="B115" s="4" t="s">
        <v>110</v>
      </c>
      <c r="C115" s="4" t="s">
        <v>110</v>
      </c>
      <c r="D115" s="7">
        <v>117</v>
      </c>
      <c r="E115" s="8">
        <v>-3.8044344811027799</v>
      </c>
      <c r="F115" s="8">
        <v>-38.611497241120503</v>
      </c>
      <c r="H115" s="7"/>
      <c r="I115" s="7"/>
      <c r="J115" s="8"/>
      <c r="K115" s="8"/>
    </row>
    <row r="116" spans="1:11" ht="15" x14ac:dyDescent="0.25">
      <c r="A116" t="s">
        <v>10</v>
      </c>
      <c r="B116" t="s">
        <v>55</v>
      </c>
      <c r="C116" t="s">
        <v>55</v>
      </c>
      <c r="D116" s="7">
        <v>80</v>
      </c>
      <c r="E116" s="8">
        <v>-3.75511796482381</v>
      </c>
      <c r="F116" s="8">
        <v>-38.506144550304597</v>
      </c>
      <c r="H116" s="7"/>
      <c r="I116" s="7"/>
      <c r="J116" s="8"/>
      <c r="K116" s="8"/>
    </row>
    <row r="117" spans="1:11" ht="15" x14ac:dyDescent="0.25">
      <c r="A117" t="s">
        <v>10</v>
      </c>
      <c r="B117" t="s">
        <v>56</v>
      </c>
      <c r="C117" t="s">
        <v>56</v>
      </c>
      <c r="D117" s="7">
        <v>1</v>
      </c>
      <c r="E117" s="8">
        <v>-3.73624865960333</v>
      </c>
      <c r="F117" s="8">
        <v>-38.486586712344597</v>
      </c>
      <c r="H117" s="7"/>
      <c r="I117" s="7"/>
      <c r="J117" s="8"/>
      <c r="K117" s="8"/>
    </row>
    <row r="118" spans="1:11" ht="15" x14ac:dyDescent="0.25">
      <c r="A118" t="s">
        <v>10</v>
      </c>
      <c r="B118" t="s">
        <v>57</v>
      </c>
      <c r="C118" t="s">
        <v>57</v>
      </c>
      <c r="D118" s="7">
        <v>1</v>
      </c>
      <c r="E118" s="8">
        <v>-3.72744451567607</v>
      </c>
      <c r="F118" s="8">
        <v>-38.474579864932501</v>
      </c>
      <c r="H118" s="7"/>
      <c r="I118" s="7"/>
      <c r="J118" s="7"/>
      <c r="K118" s="7"/>
    </row>
    <row r="119" spans="1:11" ht="15" x14ac:dyDescent="0.25">
      <c r="A119" t="s">
        <v>15</v>
      </c>
      <c r="B119" t="s">
        <v>126</v>
      </c>
      <c r="C119" t="s">
        <v>126</v>
      </c>
      <c r="D119" s="7">
        <v>115</v>
      </c>
      <c r="E119" s="8">
        <v>-3.7881361536089702</v>
      </c>
      <c r="F119" s="8">
        <v>-38.577604447924003</v>
      </c>
      <c r="H119" s="7"/>
      <c r="I119" s="7"/>
      <c r="J119" s="8"/>
      <c r="K119" s="8"/>
    </row>
    <row r="120" spans="1:11" ht="15" x14ac:dyDescent="0.25">
      <c r="A120" t="s">
        <v>15</v>
      </c>
      <c r="B120" t="s">
        <v>127</v>
      </c>
      <c r="C120" t="s">
        <v>127</v>
      </c>
      <c r="D120" s="7">
        <v>80</v>
      </c>
      <c r="E120" s="8">
        <v>-3.7712911189301299</v>
      </c>
      <c r="F120" s="8">
        <v>-38.539225010023202</v>
      </c>
      <c r="H120" s="7"/>
      <c r="I120" s="7"/>
      <c r="J120" s="8"/>
      <c r="K120" s="8"/>
    </row>
    <row r="121" spans="1:11" ht="15" x14ac:dyDescent="0.25">
      <c r="A121" t="s">
        <v>14</v>
      </c>
      <c r="B121" t="s">
        <v>59</v>
      </c>
      <c r="C121" t="s">
        <v>59</v>
      </c>
      <c r="D121" s="7">
        <v>94</v>
      </c>
      <c r="E121" s="8">
        <v>-3.7194783884337999</v>
      </c>
      <c r="F121" s="8">
        <v>-38.606361694072497</v>
      </c>
      <c r="H121" s="7"/>
      <c r="I121" s="7"/>
      <c r="J121" s="8"/>
      <c r="K121" s="8"/>
    </row>
    <row r="122" spans="1:11" ht="15" x14ac:dyDescent="0.25">
      <c r="A122" s="2"/>
      <c r="B122"/>
      <c r="C122"/>
      <c r="D122"/>
      <c r="E122"/>
      <c r="F122"/>
      <c r="H122" s="7"/>
      <c r="I122" s="7"/>
      <c r="J122" s="8"/>
      <c r="K122" s="8"/>
    </row>
    <row r="123" spans="1:11" ht="15" x14ac:dyDescent="0.25">
      <c r="A123" s="2"/>
      <c r="B123"/>
      <c r="C123"/>
      <c r="D123"/>
      <c r="E123"/>
      <c r="F123"/>
      <c r="H123" s="7"/>
      <c r="I123" s="7"/>
      <c r="J123" s="8"/>
      <c r="K123" s="8"/>
    </row>
    <row r="124" spans="1:11" ht="15" x14ac:dyDescent="0.25">
      <c r="A124" s="2"/>
      <c r="B124"/>
      <c r="C124"/>
      <c r="D124"/>
      <c r="E124"/>
      <c r="F124"/>
      <c r="H124" s="7"/>
      <c r="I124" s="7"/>
      <c r="J124" s="8"/>
      <c r="K124" s="8"/>
    </row>
    <row r="125" spans="1:11" ht="15" x14ac:dyDescent="0.25">
      <c r="A125" s="2"/>
      <c r="B125"/>
      <c r="C125"/>
      <c r="D125"/>
      <c r="E125"/>
      <c r="F125"/>
      <c r="H125" s="7"/>
      <c r="I125" s="7"/>
      <c r="J125" s="8"/>
      <c r="K125" s="8"/>
    </row>
    <row r="126" spans="1:11" ht="15" x14ac:dyDescent="0.25">
      <c r="A126" s="2"/>
      <c r="B126"/>
      <c r="C126"/>
      <c r="D126"/>
      <c r="E126"/>
      <c r="F126"/>
      <c r="H126" s="7"/>
      <c r="I126" s="7"/>
      <c r="J126" s="8"/>
      <c r="K126" s="8"/>
    </row>
    <row r="127" spans="1:11" ht="15" x14ac:dyDescent="0.25">
      <c r="A127" s="2"/>
      <c r="B127"/>
      <c r="C127"/>
      <c r="D127"/>
      <c r="E127"/>
      <c r="F127"/>
      <c r="H127" s="7"/>
      <c r="I127" s="7"/>
      <c r="J127" s="8"/>
      <c r="K127" s="8"/>
    </row>
    <row r="128" spans="1:11" ht="15" x14ac:dyDescent="0.25">
      <c r="A128" s="2"/>
      <c r="B128"/>
      <c r="C128"/>
      <c r="D128"/>
      <c r="E128"/>
      <c r="F128"/>
      <c r="H128" s="7"/>
      <c r="I128" s="7"/>
      <c r="J128" s="8"/>
      <c r="K128" s="8"/>
    </row>
    <row r="129" spans="2:11" ht="15" x14ac:dyDescent="0.25">
      <c r="B129"/>
      <c r="C129"/>
      <c r="D129"/>
      <c r="E129"/>
      <c r="F129"/>
      <c r="H129" s="7"/>
      <c r="I129" s="7"/>
      <c r="J129" s="8"/>
      <c r="K129" s="8"/>
    </row>
    <row r="130" spans="2:11" ht="15" x14ac:dyDescent="0.25">
      <c r="B130"/>
      <c r="C130"/>
      <c r="D130"/>
      <c r="E130"/>
      <c r="F130"/>
      <c r="H130" s="7"/>
      <c r="I130" s="7"/>
      <c r="J130" s="8"/>
      <c r="K130" s="8"/>
    </row>
    <row r="131" spans="2:11" ht="15" x14ac:dyDescent="0.25">
      <c r="B131"/>
      <c r="C131"/>
      <c r="D131"/>
      <c r="E131"/>
      <c r="F131"/>
    </row>
    <row r="132" spans="2:11" ht="15" x14ac:dyDescent="0.25">
      <c r="B132"/>
      <c r="C132"/>
      <c r="D132"/>
      <c r="E132"/>
      <c r="F132"/>
    </row>
    <row r="133" spans="2:11" ht="15" x14ac:dyDescent="0.25">
      <c r="B133"/>
      <c r="C133"/>
      <c r="D133"/>
      <c r="E133"/>
      <c r="F133"/>
    </row>
    <row r="134" spans="2:11" ht="15" x14ac:dyDescent="0.25">
      <c r="B134"/>
      <c r="C134"/>
      <c r="D134"/>
      <c r="E134"/>
      <c r="F134"/>
    </row>
    <row r="135" spans="2:11" ht="15" x14ac:dyDescent="0.25">
      <c r="B135"/>
      <c r="C135"/>
      <c r="D135"/>
      <c r="E135"/>
      <c r="F135"/>
    </row>
    <row r="136" spans="2:11" ht="15" x14ac:dyDescent="0.25">
      <c r="B136"/>
      <c r="C136"/>
      <c r="D136"/>
      <c r="E136"/>
      <c r="F136"/>
    </row>
    <row r="137" spans="2:11" ht="15" x14ac:dyDescent="0.25">
      <c r="B137"/>
      <c r="C137"/>
      <c r="D137"/>
      <c r="E137"/>
      <c r="F137"/>
    </row>
    <row r="138" spans="2:11" ht="15" x14ac:dyDescent="0.25">
      <c r="B138"/>
      <c r="C138"/>
      <c r="D138"/>
      <c r="E138"/>
      <c r="F138"/>
    </row>
    <row r="139" spans="2:11" ht="15" x14ac:dyDescent="0.25">
      <c r="B139"/>
      <c r="C139"/>
      <c r="D139"/>
      <c r="E139"/>
      <c r="F139"/>
    </row>
    <row r="140" spans="2:11" ht="15" x14ac:dyDescent="0.25">
      <c r="B140"/>
      <c r="C140"/>
      <c r="D140"/>
      <c r="E140"/>
      <c r="F140"/>
    </row>
    <row r="141" spans="2:11" ht="15" x14ac:dyDescent="0.25">
      <c r="B141"/>
      <c r="C141"/>
      <c r="D141"/>
      <c r="E141"/>
      <c r="F141"/>
    </row>
    <row r="142" spans="2:11" ht="15" x14ac:dyDescent="0.25">
      <c r="B142"/>
      <c r="C142"/>
      <c r="D142"/>
      <c r="E142"/>
      <c r="F142"/>
    </row>
    <row r="143" spans="2:11" ht="15" x14ac:dyDescent="0.25">
      <c r="B143"/>
      <c r="C143"/>
      <c r="D143"/>
      <c r="E143"/>
      <c r="F143"/>
    </row>
    <row r="144" spans="2:11" ht="15" x14ac:dyDescent="0.25">
      <c r="B144"/>
      <c r="C144"/>
      <c r="D144"/>
      <c r="E144"/>
      <c r="F144"/>
    </row>
    <row r="145" spans="1:6" ht="15" x14ac:dyDescent="0.25">
      <c r="B145"/>
      <c r="C145"/>
      <c r="D145"/>
      <c r="E145"/>
      <c r="F145"/>
    </row>
    <row r="146" spans="1:6" ht="15" x14ac:dyDescent="0.25">
      <c r="B146"/>
      <c r="C146"/>
      <c r="D146"/>
      <c r="E146"/>
      <c r="F146"/>
    </row>
    <row r="147" spans="1:6" ht="15" x14ac:dyDescent="0.25">
      <c r="B147"/>
      <c r="C147"/>
      <c r="D147"/>
      <c r="E147"/>
      <c r="F147"/>
    </row>
    <row r="148" spans="1:6" ht="15" x14ac:dyDescent="0.25">
      <c r="B148"/>
      <c r="C148"/>
      <c r="D148"/>
      <c r="E148"/>
      <c r="F148"/>
    </row>
    <row r="149" spans="1:6" ht="15" x14ac:dyDescent="0.25">
      <c r="B149"/>
      <c r="C149"/>
      <c r="D149"/>
      <c r="E149"/>
      <c r="F149"/>
    </row>
    <row r="150" spans="1:6" ht="15" x14ac:dyDescent="0.25">
      <c r="B150"/>
      <c r="C150"/>
      <c r="D150"/>
      <c r="E150"/>
      <c r="F150"/>
    </row>
    <row r="151" spans="1:6" ht="15" x14ac:dyDescent="0.25">
      <c r="B151"/>
      <c r="C151"/>
      <c r="D151"/>
      <c r="E151"/>
      <c r="F151"/>
    </row>
    <row r="152" spans="1:6" ht="15" x14ac:dyDescent="0.25">
      <c r="B152"/>
      <c r="C152"/>
      <c r="D152"/>
      <c r="E152"/>
      <c r="F152"/>
    </row>
    <row r="153" spans="1:6" ht="15" x14ac:dyDescent="0.25">
      <c r="B153"/>
      <c r="C153"/>
      <c r="D153"/>
      <c r="E153"/>
      <c r="F153"/>
    </row>
    <row r="154" spans="1:6" ht="15" x14ac:dyDescent="0.25">
      <c r="B154"/>
      <c r="C154"/>
      <c r="D154"/>
      <c r="E154"/>
      <c r="F154"/>
    </row>
    <row r="155" spans="1:6" ht="15" x14ac:dyDescent="0.25">
      <c r="B155"/>
      <c r="C155"/>
      <c r="D155"/>
      <c r="E155"/>
      <c r="F155"/>
    </row>
    <row r="156" spans="1:6" ht="15" x14ac:dyDescent="0.25">
      <c r="A156" s="2"/>
      <c r="B156"/>
      <c r="C156"/>
      <c r="D156"/>
      <c r="E156"/>
      <c r="F156"/>
    </row>
    <row r="157" spans="1:6" ht="15" x14ac:dyDescent="0.25">
      <c r="A157" s="2"/>
      <c r="B157"/>
      <c r="C157"/>
      <c r="D157"/>
      <c r="E157"/>
      <c r="F157"/>
    </row>
    <row r="158" spans="1:6" ht="15" x14ac:dyDescent="0.25">
      <c r="A158" s="2"/>
      <c r="B158"/>
      <c r="C158"/>
      <c r="D158"/>
      <c r="E158"/>
      <c r="F158"/>
    </row>
    <row r="159" spans="1:6" ht="15" x14ac:dyDescent="0.25">
      <c r="A159" s="2"/>
      <c r="B159"/>
      <c r="C159"/>
      <c r="D159"/>
      <c r="E159"/>
      <c r="F159"/>
    </row>
    <row r="160" spans="1:6" ht="15" x14ac:dyDescent="0.25">
      <c r="A160" s="2"/>
      <c r="B160"/>
      <c r="C160"/>
      <c r="D160"/>
      <c r="E160"/>
      <c r="F160"/>
    </row>
    <row r="161" spans="1:6" ht="15" x14ac:dyDescent="0.25">
      <c r="A161" s="2"/>
      <c r="B161"/>
      <c r="C161"/>
      <c r="D161"/>
      <c r="E161"/>
      <c r="F161"/>
    </row>
    <row r="162" spans="1:6" ht="15" x14ac:dyDescent="0.25">
      <c r="B162"/>
      <c r="C162"/>
      <c r="D162"/>
      <c r="E162"/>
      <c r="F162"/>
    </row>
    <row r="163" spans="1:6" ht="15" x14ac:dyDescent="0.25">
      <c r="B163"/>
      <c r="C163"/>
      <c r="D163"/>
      <c r="E163"/>
      <c r="F163"/>
    </row>
    <row r="164" spans="1:6" ht="15" x14ac:dyDescent="0.25">
      <c r="A164" s="2"/>
      <c r="B164"/>
      <c r="C164"/>
      <c r="D164"/>
      <c r="E164"/>
      <c r="F164"/>
    </row>
    <row r="165" spans="1:6" ht="15" x14ac:dyDescent="0.25">
      <c r="A165" s="2"/>
      <c r="B165"/>
      <c r="C165"/>
      <c r="D165"/>
      <c r="E165"/>
      <c r="F165"/>
    </row>
    <row r="166" spans="1:6" ht="15" x14ac:dyDescent="0.25">
      <c r="A166" s="2"/>
      <c r="B166"/>
      <c r="C166"/>
      <c r="D166"/>
      <c r="E166"/>
      <c r="F166"/>
    </row>
    <row r="167" spans="1:6" ht="15" x14ac:dyDescent="0.25">
      <c r="A167" s="2"/>
      <c r="B167"/>
      <c r="C167"/>
      <c r="D167"/>
      <c r="E167"/>
      <c r="F167"/>
    </row>
    <row r="168" spans="1:6" ht="15" x14ac:dyDescent="0.25">
      <c r="A168" s="2"/>
      <c r="B168"/>
      <c r="C168"/>
      <c r="D168"/>
      <c r="E168"/>
      <c r="F168"/>
    </row>
    <row r="169" spans="1:6" ht="15" x14ac:dyDescent="0.25">
      <c r="A169" s="2"/>
      <c r="B169"/>
      <c r="C169"/>
      <c r="D169"/>
      <c r="E169"/>
      <c r="F169"/>
    </row>
    <row r="170" spans="1:6" ht="15" x14ac:dyDescent="0.25">
      <c r="B170"/>
      <c r="C170"/>
      <c r="D170"/>
      <c r="E170"/>
      <c r="F170"/>
    </row>
    <row r="171" spans="1:6" ht="15" x14ac:dyDescent="0.25">
      <c r="B171"/>
      <c r="C171"/>
      <c r="D171"/>
      <c r="E171"/>
      <c r="F171"/>
    </row>
    <row r="172" spans="1:6" ht="15" x14ac:dyDescent="0.25">
      <c r="B172"/>
      <c r="C172"/>
      <c r="D172"/>
      <c r="E172"/>
      <c r="F172"/>
    </row>
    <row r="173" spans="1:6" ht="15" x14ac:dyDescent="0.25">
      <c r="B173"/>
      <c r="C173"/>
      <c r="D173"/>
      <c r="E173"/>
      <c r="F173"/>
    </row>
    <row r="174" spans="1:6" ht="15" x14ac:dyDescent="0.25">
      <c r="A174" s="2"/>
      <c r="B174"/>
      <c r="C174"/>
      <c r="D174"/>
      <c r="E174"/>
      <c r="F174"/>
    </row>
    <row r="175" spans="1:6" ht="15" x14ac:dyDescent="0.25">
      <c r="A175" s="2"/>
      <c r="B175"/>
      <c r="C175"/>
      <c r="D175"/>
      <c r="E175"/>
      <c r="F175"/>
    </row>
    <row r="176" spans="1:6" ht="15" x14ac:dyDescent="0.25">
      <c r="A176" s="2"/>
      <c r="B176"/>
      <c r="C176"/>
      <c r="D176"/>
      <c r="E176"/>
      <c r="F176"/>
    </row>
    <row r="177" spans="1:6" ht="15" x14ac:dyDescent="0.25">
      <c r="A177" s="2"/>
      <c r="B177"/>
      <c r="C177"/>
      <c r="D177"/>
      <c r="E177"/>
      <c r="F177"/>
    </row>
    <row r="178" spans="1:6" ht="15" x14ac:dyDescent="0.25">
      <c r="A178" s="2"/>
      <c r="B178"/>
      <c r="C178"/>
      <c r="D178"/>
      <c r="E178"/>
      <c r="F178"/>
    </row>
    <row r="179" spans="1:6" ht="15" x14ac:dyDescent="0.25">
      <c r="A179" s="2"/>
      <c r="B179"/>
      <c r="C179"/>
      <c r="D179"/>
      <c r="E179"/>
      <c r="F179"/>
    </row>
    <row r="180" spans="1:6" ht="15" x14ac:dyDescent="0.25">
      <c r="B180"/>
      <c r="C180"/>
      <c r="D180"/>
      <c r="E180"/>
      <c r="F180"/>
    </row>
    <row r="181" spans="1:6" ht="15" x14ac:dyDescent="0.25">
      <c r="B181"/>
      <c r="C181"/>
      <c r="D181"/>
      <c r="E181"/>
      <c r="F181"/>
    </row>
    <row r="182" spans="1:6" ht="15" x14ac:dyDescent="0.25">
      <c r="B182"/>
      <c r="C182"/>
      <c r="D182"/>
      <c r="E182"/>
      <c r="F182"/>
    </row>
    <row r="183" spans="1:6" ht="15" x14ac:dyDescent="0.25">
      <c r="B183"/>
      <c r="C183"/>
      <c r="D183"/>
      <c r="E183"/>
      <c r="F183"/>
    </row>
    <row r="184" spans="1:6" ht="15" x14ac:dyDescent="0.25">
      <c r="B184"/>
      <c r="C184"/>
      <c r="D184"/>
      <c r="E184"/>
      <c r="F184"/>
    </row>
    <row r="185" spans="1:6" ht="15" x14ac:dyDescent="0.25">
      <c r="B185"/>
      <c r="C185"/>
      <c r="D185"/>
      <c r="E185"/>
      <c r="F185"/>
    </row>
    <row r="186" spans="1:6" ht="15" x14ac:dyDescent="0.25">
      <c r="B186"/>
      <c r="C186"/>
      <c r="D186"/>
      <c r="E186"/>
      <c r="F186"/>
    </row>
    <row r="187" spans="1:6" ht="15" x14ac:dyDescent="0.25">
      <c r="B187"/>
      <c r="C187"/>
      <c r="D187"/>
      <c r="E187"/>
      <c r="F187"/>
    </row>
    <row r="188" spans="1:6" ht="15" x14ac:dyDescent="0.25">
      <c r="B188"/>
      <c r="C188"/>
      <c r="D188"/>
      <c r="E188"/>
      <c r="F188"/>
    </row>
    <row r="189" spans="1:6" ht="15" x14ac:dyDescent="0.25">
      <c r="B189"/>
      <c r="C189"/>
      <c r="D189"/>
      <c r="E189"/>
      <c r="F189"/>
    </row>
    <row r="190" spans="1:6" ht="15" x14ac:dyDescent="0.25">
      <c r="B190"/>
      <c r="C190"/>
      <c r="D190"/>
      <c r="E190"/>
      <c r="F190"/>
    </row>
    <row r="191" spans="1:6" ht="15" x14ac:dyDescent="0.25">
      <c r="B191"/>
      <c r="C191"/>
      <c r="D191"/>
      <c r="E191"/>
      <c r="F191"/>
    </row>
    <row r="192" spans="1:6" ht="15" x14ac:dyDescent="0.25">
      <c r="B192"/>
      <c r="C192"/>
      <c r="D192"/>
      <c r="E192"/>
      <c r="F192"/>
    </row>
    <row r="193" spans="1:6" ht="15" x14ac:dyDescent="0.25">
      <c r="B193"/>
      <c r="C193"/>
      <c r="D193"/>
      <c r="E193"/>
      <c r="F193"/>
    </row>
    <row r="194" spans="1:6" ht="15" x14ac:dyDescent="0.25">
      <c r="B194"/>
      <c r="C194"/>
      <c r="D194"/>
      <c r="E194"/>
      <c r="F194"/>
    </row>
    <row r="195" spans="1:6" ht="15" x14ac:dyDescent="0.25">
      <c r="B195"/>
      <c r="C195"/>
      <c r="D195"/>
      <c r="E195"/>
      <c r="F195"/>
    </row>
    <row r="196" spans="1:6" ht="15" x14ac:dyDescent="0.25">
      <c r="B196"/>
      <c r="C196"/>
      <c r="D196"/>
      <c r="E196"/>
      <c r="F196"/>
    </row>
    <row r="197" spans="1:6" ht="15" x14ac:dyDescent="0.25">
      <c r="B197"/>
      <c r="C197"/>
      <c r="D197"/>
      <c r="E197"/>
      <c r="F197"/>
    </row>
    <row r="198" spans="1:6" ht="15" x14ac:dyDescent="0.25">
      <c r="B198"/>
      <c r="C198"/>
      <c r="D198"/>
      <c r="E198"/>
      <c r="F198"/>
    </row>
    <row r="199" spans="1:6" ht="15" x14ac:dyDescent="0.25">
      <c r="B199"/>
      <c r="C199"/>
      <c r="D199"/>
      <c r="E199"/>
      <c r="F199"/>
    </row>
    <row r="200" spans="1:6" ht="15" x14ac:dyDescent="0.25">
      <c r="B200"/>
      <c r="C200"/>
      <c r="D200"/>
      <c r="E200"/>
      <c r="F200"/>
    </row>
    <row r="201" spans="1:6" ht="15" x14ac:dyDescent="0.25">
      <c r="B201"/>
      <c r="C201"/>
      <c r="D201"/>
      <c r="E201"/>
      <c r="F201"/>
    </row>
    <row r="202" spans="1:6" ht="15" x14ac:dyDescent="0.25">
      <c r="B202"/>
      <c r="C202"/>
      <c r="D202"/>
      <c r="E202"/>
      <c r="F202"/>
    </row>
    <row r="203" spans="1:6" ht="15" x14ac:dyDescent="0.25">
      <c r="B203"/>
      <c r="C203"/>
      <c r="D203"/>
      <c r="E203"/>
      <c r="F203"/>
    </row>
    <row r="204" spans="1:6" ht="15" x14ac:dyDescent="0.25">
      <c r="A204" s="2"/>
      <c r="B204"/>
      <c r="C204"/>
      <c r="D204"/>
      <c r="E204"/>
      <c r="F204"/>
    </row>
    <row r="205" spans="1:6" ht="15" x14ac:dyDescent="0.25">
      <c r="A205" s="2"/>
      <c r="B205"/>
      <c r="C205"/>
      <c r="D205"/>
      <c r="E205"/>
      <c r="F205"/>
    </row>
    <row r="206" spans="1:6" ht="15" x14ac:dyDescent="0.25">
      <c r="A206" s="2"/>
      <c r="B206"/>
      <c r="C206"/>
      <c r="D206"/>
      <c r="E206"/>
      <c r="F206"/>
    </row>
    <row r="207" spans="1:6" ht="15" x14ac:dyDescent="0.25">
      <c r="B207"/>
      <c r="C207"/>
      <c r="D207"/>
      <c r="E207"/>
      <c r="F207"/>
    </row>
    <row r="208" spans="1:6" ht="15" x14ac:dyDescent="0.25">
      <c r="B208"/>
      <c r="C208"/>
      <c r="D208"/>
      <c r="E208"/>
      <c r="F208"/>
    </row>
    <row r="209" spans="1:6" ht="15" x14ac:dyDescent="0.25">
      <c r="A209" s="2"/>
      <c r="B209"/>
      <c r="C209"/>
      <c r="D209"/>
      <c r="E209"/>
      <c r="F209"/>
    </row>
    <row r="210" spans="1:6" ht="15" x14ac:dyDescent="0.25">
      <c r="A210" s="2"/>
      <c r="B210"/>
      <c r="C210"/>
      <c r="D210"/>
      <c r="E210"/>
      <c r="F210"/>
    </row>
    <row r="211" spans="1:6" ht="15" x14ac:dyDescent="0.25">
      <c r="A211" s="2"/>
      <c r="B211"/>
      <c r="C211"/>
      <c r="D211"/>
      <c r="E211"/>
      <c r="F211"/>
    </row>
    <row r="212" spans="1:6" ht="15" x14ac:dyDescent="0.25">
      <c r="B212"/>
      <c r="C212"/>
      <c r="D212"/>
      <c r="E212"/>
      <c r="F212"/>
    </row>
    <row r="213" spans="1:6" ht="15" x14ac:dyDescent="0.25">
      <c r="B213"/>
      <c r="C213"/>
      <c r="D213"/>
      <c r="E213"/>
      <c r="F213"/>
    </row>
    <row r="214" spans="1:6" ht="15" x14ac:dyDescent="0.25">
      <c r="A214" s="2"/>
      <c r="B214"/>
      <c r="C214"/>
      <c r="D214"/>
      <c r="E214"/>
      <c r="F214"/>
    </row>
    <row r="215" spans="1:6" ht="15" x14ac:dyDescent="0.25">
      <c r="A215" s="2"/>
      <c r="B215"/>
      <c r="C215"/>
      <c r="D215"/>
      <c r="E215"/>
      <c r="F215"/>
    </row>
    <row r="216" spans="1:6" ht="15" x14ac:dyDescent="0.25">
      <c r="A216" s="2"/>
      <c r="B216"/>
      <c r="C216"/>
      <c r="D216"/>
      <c r="E216"/>
      <c r="F216"/>
    </row>
    <row r="217" spans="1:6" ht="15" x14ac:dyDescent="0.25">
      <c r="B217"/>
      <c r="C217"/>
      <c r="D217"/>
      <c r="E217"/>
      <c r="F217"/>
    </row>
    <row r="218" spans="1:6" ht="15" x14ac:dyDescent="0.25">
      <c r="B218"/>
      <c r="C218"/>
      <c r="D218"/>
      <c r="E218"/>
      <c r="F218"/>
    </row>
    <row r="219" spans="1:6" ht="15" x14ac:dyDescent="0.25">
      <c r="A219" s="2"/>
      <c r="B219"/>
      <c r="C219"/>
      <c r="D219"/>
      <c r="E219"/>
      <c r="F219"/>
    </row>
    <row r="220" spans="1:6" ht="15" x14ac:dyDescent="0.25">
      <c r="A220" s="2"/>
      <c r="B220"/>
      <c r="C220"/>
      <c r="D220"/>
      <c r="E220"/>
      <c r="F220"/>
    </row>
    <row r="221" spans="1:6" ht="15" x14ac:dyDescent="0.25">
      <c r="A221" s="2"/>
      <c r="B221"/>
      <c r="C221"/>
      <c r="D221"/>
      <c r="E221"/>
      <c r="F221"/>
    </row>
    <row r="222" spans="1:6" ht="15" x14ac:dyDescent="0.25">
      <c r="B222"/>
      <c r="C222"/>
      <c r="D222"/>
      <c r="E222"/>
      <c r="F222"/>
    </row>
    <row r="223" spans="1:6" ht="15" x14ac:dyDescent="0.25">
      <c r="B223"/>
      <c r="C223"/>
      <c r="D223"/>
      <c r="E223"/>
      <c r="F223"/>
    </row>
    <row r="224" spans="1:6" ht="15" x14ac:dyDescent="0.25">
      <c r="B224"/>
      <c r="C224"/>
      <c r="D224"/>
      <c r="E224"/>
      <c r="F224"/>
    </row>
    <row r="225" spans="2:6" ht="15" x14ac:dyDescent="0.25">
      <c r="B225"/>
      <c r="C225"/>
      <c r="D225"/>
      <c r="E225"/>
      <c r="F225"/>
    </row>
    <row r="226" spans="2:6" ht="15" x14ac:dyDescent="0.25">
      <c r="B226"/>
      <c r="C226"/>
      <c r="D226"/>
      <c r="E226"/>
      <c r="F226"/>
    </row>
    <row r="227" spans="2:6" ht="15" x14ac:dyDescent="0.25">
      <c r="B227"/>
      <c r="C227"/>
      <c r="D227"/>
      <c r="E227"/>
      <c r="F227"/>
    </row>
    <row r="228" spans="2:6" ht="15" x14ac:dyDescent="0.25">
      <c r="B228"/>
      <c r="C228"/>
      <c r="D228"/>
      <c r="E228"/>
      <c r="F228"/>
    </row>
    <row r="229" spans="2:6" ht="15" x14ac:dyDescent="0.25">
      <c r="B229"/>
      <c r="C229"/>
      <c r="D229"/>
      <c r="E229"/>
      <c r="F229"/>
    </row>
    <row r="230" spans="2:6" ht="15" x14ac:dyDescent="0.25">
      <c r="B230"/>
      <c r="C230"/>
      <c r="D230"/>
      <c r="E230"/>
      <c r="F230"/>
    </row>
    <row r="231" spans="2:6" ht="15" x14ac:dyDescent="0.25">
      <c r="B231"/>
      <c r="C231"/>
      <c r="D231"/>
      <c r="E231"/>
      <c r="F231"/>
    </row>
    <row r="232" spans="2:6" ht="15" x14ac:dyDescent="0.25">
      <c r="B232"/>
      <c r="C232"/>
      <c r="D232"/>
      <c r="E232"/>
      <c r="F232"/>
    </row>
    <row r="233" spans="2:6" ht="15" x14ac:dyDescent="0.25">
      <c r="B233"/>
      <c r="C233"/>
      <c r="D233"/>
      <c r="E233"/>
      <c r="F233"/>
    </row>
    <row r="234" spans="2:6" ht="15" x14ac:dyDescent="0.25">
      <c r="B234"/>
      <c r="C234"/>
      <c r="D234"/>
      <c r="E234"/>
      <c r="F234"/>
    </row>
    <row r="235" spans="2:6" ht="15" x14ac:dyDescent="0.25">
      <c r="B235"/>
      <c r="C235"/>
      <c r="D235"/>
      <c r="E235"/>
      <c r="F235"/>
    </row>
    <row r="236" spans="2:6" ht="15" x14ac:dyDescent="0.25">
      <c r="B236"/>
      <c r="C236"/>
      <c r="D236"/>
      <c r="E236"/>
      <c r="F236"/>
    </row>
    <row r="237" spans="2:6" ht="15" x14ac:dyDescent="0.25">
      <c r="B237"/>
      <c r="C237"/>
      <c r="D237"/>
      <c r="E237"/>
      <c r="F237"/>
    </row>
    <row r="238" spans="2:6" ht="15" x14ac:dyDescent="0.25">
      <c r="B238"/>
      <c r="C238"/>
      <c r="D238"/>
      <c r="E238"/>
      <c r="F238"/>
    </row>
    <row r="239" spans="2:6" ht="15" x14ac:dyDescent="0.25">
      <c r="B239"/>
      <c r="C239"/>
      <c r="D239"/>
      <c r="E239"/>
      <c r="F239"/>
    </row>
    <row r="240" spans="2:6" ht="15" x14ac:dyDescent="0.25">
      <c r="B240"/>
      <c r="C240"/>
      <c r="D240"/>
      <c r="E240"/>
      <c r="F240"/>
    </row>
    <row r="241" spans="2:6" ht="15" x14ac:dyDescent="0.25">
      <c r="B241"/>
      <c r="C241"/>
      <c r="D241"/>
      <c r="E241"/>
      <c r="F241"/>
    </row>
    <row r="242" spans="2:6" ht="15" x14ac:dyDescent="0.25">
      <c r="B242"/>
      <c r="C242"/>
      <c r="D242"/>
      <c r="E242"/>
      <c r="F242"/>
    </row>
    <row r="243" spans="2:6" ht="15" x14ac:dyDescent="0.25">
      <c r="B243"/>
      <c r="C243"/>
      <c r="D243"/>
      <c r="E243"/>
      <c r="F243"/>
    </row>
    <row r="244" spans="2:6" ht="15" x14ac:dyDescent="0.25">
      <c r="B244"/>
      <c r="C244"/>
      <c r="D244"/>
      <c r="E244"/>
      <c r="F244"/>
    </row>
    <row r="245" spans="2:6" ht="15" x14ac:dyDescent="0.25">
      <c r="B245"/>
      <c r="C245"/>
      <c r="D245"/>
      <c r="E245"/>
      <c r="F245"/>
    </row>
    <row r="246" spans="2:6" ht="15" x14ac:dyDescent="0.25">
      <c r="B246"/>
      <c r="C246"/>
      <c r="D246"/>
      <c r="E246"/>
      <c r="F246"/>
    </row>
    <row r="247" spans="2:6" ht="15" x14ac:dyDescent="0.25">
      <c r="B247"/>
      <c r="C247"/>
      <c r="D247"/>
      <c r="E247"/>
      <c r="F247"/>
    </row>
    <row r="248" spans="2:6" ht="15" x14ac:dyDescent="0.25">
      <c r="B248"/>
      <c r="C248"/>
      <c r="D248"/>
      <c r="E248"/>
      <c r="F248"/>
    </row>
    <row r="249" spans="2:6" ht="15" x14ac:dyDescent="0.25">
      <c r="B249"/>
      <c r="C249"/>
      <c r="D249"/>
      <c r="E249"/>
      <c r="F249"/>
    </row>
    <row r="250" spans="2:6" ht="15" x14ac:dyDescent="0.25">
      <c r="B250"/>
      <c r="C250"/>
      <c r="D250"/>
      <c r="E250"/>
      <c r="F250"/>
    </row>
    <row r="251" spans="2:6" ht="15" x14ac:dyDescent="0.25">
      <c r="B251"/>
      <c r="C251"/>
      <c r="D251"/>
      <c r="E251"/>
      <c r="F251"/>
    </row>
    <row r="252" spans="2:6" ht="15" x14ac:dyDescent="0.25">
      <c r="B252"/>
      <c r="C252"/>
      <c r="D252"/>
      <c r="E252"/>
      <c r="F252"/>
    </row>
    <row r="253" spans="2:6" ht="15" x14ac:dyDescent="0.25">
      <c r="B253"/>
      <c r="C253"/>
      <c r="D253"/>
      <c r="E253"/>
      <c r="F253"/>
    </row>
    <row r="254" spans="2:6" ht="15" x14ac:dyDescent="0.25">
      <c r="B254"/>
      <c r="C254"/>
      <c r="D254"/>
      <c r="E254"/>
      <c r="F254"/>
    </row>
    <row r="255" spans="2:6" ht="15" x14ac:dyDescent="0.25">
      <c r="B255"/>
      <c r="C255"/>
      <c r="D255"/>
      <c r="E255"/>
      <c r="F255"/>
    </row>
    <row r="256" spans="2:6" ht="15" x14ac:dyDescent="0.25">
      <c r="B256"/>
      <c r="C256"/>
      <c r="D256"/>
      <c r="E256"/>
      <c r="F256"/>
    </row>
    <row r="257" spans="2:6" ht="15" x14ac:dyDescent="0.25">
      <c r="B257"/>
      <c r="C257"/>
      <c r="D257"/>
      <c r="E257"/>
      <c r="F257"/>
    </row>
    <row r="258" spans="2:6" ht="15" x14ac:dyDescent="0.25">
      <c r="B258"/>
      <c r="C258"/>
      <c r="D258"/>
      <c r="E258"/>
      <c r="F258"/>
    </row>
    <row r="259" spans="2:6" ht="15" x14ac:dyDescent="0.25">
      <c r="B259"/>
      <c r="C259"/>
      <c r="D259"/>
      <c r="E259"/>
      <c r="F259"/>
    </row>
    <row r="260" spans="2:6" ht="15" x14ac:dyDescent="0.25">
      <c r="B260"/>
      <c r="C260"/>
      <c r="D260"/>
      <c r="E260"/>
      <c r="F260"/>
    </row>
    <row r="261" spans="2:6" ht="15" x14ac:dyDescent="0.25">
      <c r="B261"/>
      <c r="C261"/>
      <c r="D261"/>
      <c r="E261"/>
      <c r="F261"/>
    </row>
    <row r="262" spans="2:6" ht="15" x14ac:dyDescent="0.25">
      <c r="B262"/>
      <c r="C262"/>
      <c r="D262"/>
      <c r="E262"/>
      <c r="F262"/>
    </row>
    <row r="263" spans="2:6" ht="15" x14ac:dyDescent="0.25">
      <c r="B263"/>
      <c r="C263"/>
      <c r="D263"/>
      <c r="E263"/>
      <c r="F263"/>
    </row>
    <row r="264" spans="2:6" ht="15" x14ac:dyDescent="0.25">
      <c r="B264"/>
      <c r="C264"/>
      <c r="D264"/>
      <c r="E264"/>
      <c r="F264"/>
    </row>
    <row r="265" spans="2:6" ht="15" x14ac:dyDescent="0.25">
      <c r="B265"/>
      <c r="C265"/>
      <c r="D265"/>
      <c r="E265"/>
      <c r="F265"/>
    </row>
    <row r="266" spans="2:6" ht="15" x14ac:dyDescent="0.25">
      <c r="B266"/>
      <c r="C266"/>
      <c r="D266"/>
      <c r="E266"/>
      <c r="F266"/>
    </row>
    <row r="267" spans="2:6" ht="15" x14ac:dyDescent="0.25">
      <c r="B267"/>
      <c r="C267"/>
      <c r="D267"/>
      <c r="E267"/>
      <c r="F267"/>
    </row>
    <row r="268" spans="2:6" ht="15" x14ac:dyDescent="0.25">
      <c r="B268"/>
      <c r="C268"/>
      <c r="D268"/>
      <c r="E268"/>
      <c r="F268"/>
    </row>
    <row r="269" spans="2:6" ht="15" x14ac:dyDescent="0.25">
      <c r="B269"/>
      <c r="C269"/>
      <c r="D269"/>
      <c r="E269"/>
      <c r="F269"/>
    </row>
    <row r="270" spans="2:6" ht="15" x14ac:dyDescent="0.25">
      <c r="B270"/>
      <c r="C270"/>
      <c r="D270"/>
      <c r="E270"/>
      <c r="F270"/>
    </row>
    <row r="271" spans="2:6" ht="15" x14ac:dyDescent="0.25">
      <c r="B271"/>
      <c r="C271"/>
      <c r="D271"/>
      <c r="E271"/>
      <c r="F271"/>
    </row>
    <row r="272" spans="2:6" ht="15" x14ac:dyDescent="0.25">
      <c r="B272"/>
      <c r="C272"/>
      <c r="D272"/>
      <c r="E272"/>
      <c r="F272"/>
    </row>
    <row r="273" spans="2:6" ht="15" x14ac:dyDescent="0.25">
      <c r="B273"/>
      <c r="C273"/>
      <c r="D273"/>
      <c r="E273"/>
      <c r="F273"/>
    </row>
    <row r="274" spans="2:6" ht="15" x14ac:dyDescent="0.25">
      <c r="B274"/>
      <c r="C274"/>
      <c r="D274"/>
      <c r="E274"/>
      <c r="F274"/>
    </row>
    <row r="275" spans="2:6" ht="15" x14ac:dyDescent="0.25">
      <c r="B275"/>
      <c r="C275"/>
      <c r="D275"/>
      <c r="E275"/>
      <c r="F275"/>
    </row>
    <row r="276" spans="2:6" ht="15" x14ac:dyDescent="0.25">
      <c r="B276"/>
      <c r="C276"/>
      <c r="D276"/>
      <c r="E276"/>
      <c r="F276"/>
    </row>
    <row r="277" spans="2:6" ht="15" x14ac:dyDescent="0.25">
      <c r="B277"/>
      <c r="C277"/>
      <c r="D277"/>
      <c r="E277"/>
      <c r="F277"/>
    </row>
    <row r="278" spans="2:6" ht="15" x14ac:dyDescent="0.25">
      <c r="B278"/>
      <c r="C278"/>
      <c r="D278"/>
      <c r="E278"/>
      <c r="F278"/>
    </row>
    <row r="279" spans="2:6" ht="15" x14ac:dyDescent="0.25">
      <c r="B279"/>
      <c r="C279"/>
      <c r="D279"/>
      <c r="E279"/>
      <c r="F279"/>
    </row>
    <row r="280" spans="2:6" ht="15" x14ac:dyDescent="0.25">
      <c r="B280"/>
      <c r="C280"/>
      <c r="D280"/>
      <c r="E280"/>
      <c r="F280"/>
    </row>
    <row r="281" spans="2:6" ht="15" x14ac:dyDescent="0.25">
      <c r="B281"/>
      <c r="C281"/>
      <c r="D281"/>
      <c r="E281"/>
      <c r="F281"/>
    </row>
    <row r="282" spans="2:6" ht="15" x14ac:dyDescent="0.25">
      <c r="B282"/>
      <c r="C282"/>
      <c r="D282"/>
      <c r="E282"/>
      <c r="F282"/>
    </row>
    <row r="283" spans="2:6" ht="15" x14ac:dyDescent="0.25">
      <c r="B283"/>
      <c r="C283"/>
      <c r="D283"/>
      <c r="E283"/>
      <c r="F283"/>
    </row>
    <row r="284" spans="2:6" ht="15" x14ac:dyDescent="0.25">
      <c r="B284"/>
      <c r="C284"/>
      <c r="D284"/>
      <c r="E284"/>
      <c r="F284"/>
    </row>
    <row r="285" spans="2:6" ht="15" x14ac:dyDescent="0.25">
      <c r="B285"/>
      <c r="C285"/>
      <c r="D285"/>
      <c r="E285"/>
      <c r="F285"/>
    </row>
    <row r="286" spans="2:6" ht="15" x14ac:dyDescent="0.25">
      <c r="B286"/>
      <c r="C286"/>
      <c r="D286"/>
      <c r="E286"/>
      <c r="F286"/>
    </row>
    <row r="287" spans="2:6" ht="15" x14ac:dyDescent="0.25">
      <c r="B287"/>
      <c r="C287"/>
      <c r="D287"/>
      <c r="E287"/>
      <c r="F287"/>
    </row>
    <row r="288" spans="2:6" ht="15" x14ac:dyDescent="0.25">
      <c r="B288"/>
      <c r="C288"/>
      <c r="D288"/>
      <c r="E288"/>
      <c r="F288"/>
    </row>
    <row r="289" spans="2:6" ht="15" x14ac:dyDescent="0.25">
      <c r="B289"/>
      <c r="C289"/>
      <c r="D289"/>
      <c r="E289"/>
      <c r="F289"/>
    </row>
    <row r="290" spans="2:6" ht="15" x14ac:dyDescent="0.25">
      <c r="B290"/>
      <c r="C290"/>
      <c r="D290"/>
      <c r="E290"/>
      <c r="F290"/>
    </row>
    <row r="291" spans="2:6" ht="15" x14ac:dyDescent="0.25">
      <c r="B291"/>
      <c r="C291"/>
      <c r="D291"/>
      <c r="E291"/>
      <c r="F291"/>
    </row>
    <row r="292" spans="2:6" ht="15" x14ac:dyDescent="0.25">
      <c r="B292"/>
      <c r="C292"/>
      <c r="D292"/>
      <c r="E292"/>
      <c r="F292"/>
    </row>
    <row r="293" spans="2:6" ht="15" x14ac:dyDescent="0.25">
      <c r="B293"/>
      <c r="C293"/>
      <c r="D293"/>
      <c r="E293"/>
      <c r="F293"/>
    </row>
    <row r="294" spans="2:6" ht="15" x14ac:dyDescent="0.25">
      <c r="B294"/>
      <c r="C294"/>
      <c r="D294"/>
      <c r="E294"/>
      <c r="F294"/>
    </row>
    <row r="295" spans="2:6" ht="15" x14ac:dyDescent="0.25">
      <c r="B295"/>
      <c r="C295"/>
      <c r="D295"/>
      <c r="E295"/>
      <c r="F295"/>
    </row>
    <row r="296" spans="2:6" ht="15" x14ac:dyDescent="0.25">
      <c r="B296"/>
      <c r="C296"/>
      <c r="D296"/>
      <c r="E296"/>
      <c r="F296"/>
    </row>
    <row r="297" spans="2:6" ht="15" x14ac:dyDescent="0.25">
      <c r="B297"/>
      <c r="C297"/>
      <c r="D297"/>
      <c r="E297"/>
      <c r="F297"/>
    </row>
    <row r="298" spans="2:6" ht="15" x14ac:dyDescent="0.25">
      <c r="B298"/>
      <c r="C298"/>
      <c r="D298"/>
      <c r="E298"/>
      <c r="F298"/>
    </row>
    <row r="299" spans="2:6" ht="15" x14ac:dyDescent="0.25">
      <c r="B299"/>
      <c r="C299"/>
      <c r="D299"/>
      <c r="E299"/>
      <c r="F299"/>
    </row>
    <row r="300" spans="2:6" ht="15" x14ac:dyDescent="0.25">
      <c r="B300"/>
      <c r="C300"/>
      <c r="D300"/>
      <c r="E300"/>
      <c r="F300"/>
    </row>
    <row r="301" spans="2:6" ht="15" x14ac:dyDescent="0.25">
      <c r="B301"/>
      <c r="C301"/>
      <c r="D301"/>
      <c r="E301"/>
      <c r="F301"/>
    </row>
    <row r="302" spans="2:6" ht="15" x14ac:dyDescent="0.25">
      <c r="B302"/>
      <c r="C302"/>
      <c r="D302"/>
      <c r="E302"/>
      <c r="F302"/>
    </row>
    <row r="303" spans="2:6" ht="15" x14ac:dyDescent="0.25">
      <c r="B303"/>
      <c r="C303"/>
      <c r="D303"/>
      <c r="E303"/>
      <c r="F303"/>
    </row>
    <row r="304" spans="2:6" ht="15" x14ac:dyDescent="0.25">
      <c r="B304"/>
      <c r="C304"/>
      <c r="D304"/>
      <c r="E304"/>
      <c r="F304"/>
    </row>
    <row r="305" spans="2:6" ht="15" x14ac:dyDescent="0.25">
      <c r="B305"/>
      <c r="C305"/>
      <c r="D305"/>
      <c r="E305"/>
      <c r="F305"/>
    </row>
    <row r="306" spans="2:6" ht="15" x14ac:dyDescent="0.25">
      <c r="B306"/>
      <c r="C306"/>
      <c r="D306"/>
      <c r="E306"/>
      <c r="F306"/>
    </row>
    <row r="307" spans="2:6" ht="15" x14ac:dyDescent="0.25">
      <c r="B307"/>
      <c r="C307"/>
      <c r="D307"/>
      <c r="E307"/>
      <c r="F307"/>
    </row>
    <row r="308" spans="2:6" ht="15" x14ac:dyDescent="0.25">
      <c r="B308"/>
      <c r="C308"/>
      <c r="D308"/>
      <c r="E308"/>
      <c r="F308"/>
    </row>
    <row r="309" spans="2:6" ht="15" x14ac:dyDescent="0.25">
      <c r="B309"/>
      <c r="C309"/>
      <c r="D309"/>
      <c r="E309"/>
      <c r="F309"/>
    </row>
    <row r="310" spans="2:6" ht="15" x14ac:dyDescent="0.25">
      <c r="B310"/>
      <c r="C310"/>
      <c r="D310"/>
      <c r="E310"/>
      <c r="F310"/>
    </row>
    <row r="311" spans="2:6" ht="15" x14ac:dyDescent="0.25">
      <c r="B311"/>
      <c r="C311"/>
      <c r="D311"/>
      <c r="E311"/>
      <c r="F311"/>
    </row>
    <row r="312" spans="2:6" ht="15" x14ac:dyDescent="0.25">
      <c r="B312"/>
      <c r="C312"/>
      <c r="D312"/>
      <c r="E312"/>
      <c r="F312"/>
    </row>
    <row r="313" spans="2:6" ht="15" x14ac:dyDescent="0.25">
      <c r="B313"/>
      <c r="C313"/>
      <c r="D313"/>
      <c r="E313"/>
      <c r="F313"/>
    </row>
    <row r="314" spans="2:6" ht="15" x14ac:dyDescent="0.25">
      <c r="B314"/>
      <c r="C314"/>
      <c r="D314"/>
      <c r="E314"/>
      <c r="F314"/>
    </row>
    <row r="315" spans="2:6" ht="15" x14ac:dyDescent="0.25">
      <c r="B315"/>
      <c r="C315"/>
      <c r="D315"/>
      <c r="E315"/>
      <c r="F315"/>
    </row>
    <row r="316" spans="2:6" ht="15" x14ac:dyDescent="0.25">
      <c r="B316"/>
      <c r="C316"/>
      <c r="D316"/>
      <c r="E316"/>
      <c r="F316"/>
    </row>
    <row r="317" spans="2:6" ht="15" x14ac:dyDescent="0.25">
      <c r="B317"/>
      <c r="C317"/>
      <c r="D317"/>
      <c r="E317"/>
      <c r="F317"/>
    </row>
    <row r="318" spans="2:6" ht="15" x14ac:dyDescent="0.25">
      <c r="B318"/>
      <c r="C318"/>
      <c r="D318"/>
      <c r="E318"/>
      <c r="F318"/>
    </row>
    <row r="319" spans="2:6" ht="15" x14ac:dyDescent="0.25">
      <c r="B319"/>
      <c r="C319"/>
      <c r="D319"/>
      <c r="E319"/>
      <c r="F319"/>
    </row>
    <row r="320" spans="2:6" ht="15" x14ac:dyDescent="0.25">
      <c r="B320"/>
      <c r="C320"/>
      <c r="D320"/>
      <c r="E320"/>
      <c r="F320"/>
    </row>
    <row r="321" spans="2:6" ht="15" x14ac:dyDescent="0.25">
      <c r="B321"/>
      <c r="C321"/>
      <c r="D321"/>
      <c r="E321"/>
      <c r="F321"/>
    </row>
    <row r="322" spans="2:6" ht="15" x14ac:dyDescent="0.25">
      <c r="B322"/>
      <c r="C322"/>
      <c r="D322"/>
      <c r="E322"/>
      <c r="F322"/>
    </row>
    <row r="323" spans="2:6" ht="15" x14ac:dyDescent="0.25">
      <c r="B323"/>
      <c r="C323"/>
      <c r="D323"/>
      <c r="E323"/>
      <c r="F323"/>
    </row>
    <row r="324" spans="2:6" ht="15" x14ac:dyDescent="0.25">
      <c r="B324"/>
      <c r="C324"/>
      <c r="D324"/>
      <c r="E324"/>
      <c r="F324"/>
    </row>
    <row r="325" spans="2:6" ht="15" x14ac:dyDescent="0.25">
      <c r="B325"/>
      <c r="C325"/>
      <c r="D325"/>
      <c r="E325"/>
      <c r="F325"/>
    </row>
    <row r="326" spans="2:6" ht="15" x14ac:dyDescent="0.25">
      <c r="B326"/>
      <c r="C326"/>
      <c r="D326"/>
      <c r="E326"/>
      <c r="F326"/>
    </row>
    <row r="327" spans="2:6" ht="15" x14ac:dyDescent="0.25">
      <c r="B327"/>
      <c r="C327"/>
      <c r="D327"/>
      <c r="E327"/>
      <c r="F327"/>
    </row>
    <row r="328" spans="2:6" ht="15" x14ac:dyDescent="0.25">
      <c r="B328"/>
      <c r="C328"/>
      <c r="D328"/>
      <c r="E328"/>
      <c r="F328"/>
    </row>
    <row r="329" spans="2:6" ht="15" x14ac:dyDescent="0.25">
      <c r="B329"/>
      <c r="C329"/>
      <c r="D329"/>
      <c r="E329"/>
      <c r="F329"/>
    </row>
    <row r="330" spans="2:6" ht="15" x14ac:dyDescent="0.25">
      <c r="B330"/>
      <c r="C330"/>
      <c r="D330"/>
      <c r="E330"/>
      <c r="F330"/>
    </row>
    <row r="331" spans="2:6" ht="15" x14ac:dyDescent="0.25">
      <c r="B331"/>
      <c r="C331"/>
      <c r="D331"/>
      <c r="E331"/>
      <c r="F331"/>
    </row>
    <row r="332" spans="2:6" ht="15" x14ac:dyDescent="0.25">
      <c r="B332"/>
      <c r="C332"/>
      <c r="D332"/>
      <c r="E332"/>
      <c r="F332"/>
    </row>
    <row r="333" spans="2:6" ht="15" x14ac:dyDescent="0.25">
      <c r="B333"/>
      <c r="C333"/>
      <c r="D333"/>
      <c r="E333"/>
      <c r="F333"/>
    </row>
    <row r="334" spans="2:6" ht="15" x14ac:dyDescent="0.25">
      <c r="B334"/>
      <c r="C334"/>
      <c r="D334"/>
      <c r="E334"/>
      <c r="F334"/>
    </row>
    <row r="335" spans="2:6" ht="15" x14ac:dyDescent="0.25">
      <c r="B335"/>
      <c r="C335"/>
      <c r="D335"/>
      <c r="E335"/>
      <c r="F335"/>
    </row>
    <row r="336" spans="2:6" ht="15" x14ac:dyDescent="0.25">
      <c r="B336"/>
      <c r="C336"/>
      <c r="D336"/>
      <c r="E336"/>
      <c r="F336"/>
    </row>
    <row r="337" spans="2:6" ht="15" x14ac:dyDescent="0.25">
      <c r="B337"/>
      <c r="C337"/>
      <c r="D337"/>
      <c r="E337"/>
      <c r="F337"/>
    </row>
    <row r="338" spans="2:6" ht="15" x14ac:dyDescent="0.25">
      <c r="B338"/>
      <c r="C338"/>
      <c r="D338"/>
      <c r="E338"/>
      <c r="F338"/>
    </row>
    <row r="339" spans="2:6" ht="15" x14ac:dyDescent="0.25">
      <c r="B339"/>
      <c r="C339"/>
      <c r="D339"/>
      <c r="E339"/>
      <c r="F339"/>
    </row>
    <row r="340" spans="2:6" ht="15" x14ac:dyDescent="0.25">
      <c r="B340"/>
      <c r="C340"/>
      <c r="D340"/>
      <c r="E340"/>
      <c r="F340"/>
    </row>
    <row r="341" spans="2:6" ht="15" x14ac:dyDescent="0.25">
      <c r="B341"/>
      <c r="C341"/>
      <c r="D341"/>
      <c r="E341"/>
      <c r="F341"/>
    </row>
    <row r="342" spans="2:6" ht="15" x14ac:dyDescent="0.25">
      <c r="B342"/>
      <c r="C342"/>
      <c r="D342"/>
      <c r="E342"/>
      <c r="F342"/>
    </row>
    <row r="343" spans="2:6" ht="15" x14ac:dyDescent="0.25">
      <c r="B343"/>
      <c r="C343"/>
      <c r="D343"/>
      <c r="E343"/>
      <c r="F343"/>
    </row>
    <row r="344" spans="2:6" ht="15" x14ac:dyDescent="0.25">
      <c r="B344"/>
      <c r="C344"/>
      <c r="D344"/>
      <c r="E344"/>
      <c r="F344"/>
    </row>
    <row r="345" spans="2:6" ht="15" x14ac:dyDescent="0.25">
      <c r="B345"/>
      <c r="C345"/>
      <c r="D345"/>
      <c r="E345"/>
      <c r="F345"/>
    </row>
    <row r="346" spans="2:6" ht="15" x14ac:dyDescent="0.25">
      <c r="B346"/>
      <c r="C346"/>
      <c r="D346"/>
      <c r="E346"/>
      <c r="F346"/>
    </row>
    <row r="347" spans="2:6" ht="15" x14ac:dyDescent="0.25">
      <c r="B347"/>
      <c r="C347"/>
      <c r="D347"/>
      <c r="E347"/>
      <c r="F347"/>
    </row>
    <row r="348" spans="2:6" ht="15" x14ac:dyDescent="0.25">
      <c r="B348"/>
      <c r="C348"/>
      <c r="D348"/>
      <c r="E348"/>
      <c r="F348"/>
    </row>
    <row r="349" spans="2:6" ht="15" x14ac:dyDescent="0.25">
      <c r="B349"/>
      <c r="C349"/>
      <c r="D349"/>
      <c r="E349"/>
      <c r="F349"/>
    </row>
    <row r="350" spans="2:6" ht="15" x14ac:dyDescent="0.25">
      <c r="B350"/>
      <c r="C350"/>
      <c r="D350"/>
      <c r="E350"/>
      <c r="F350"/>
    </row>
    <row r="351" spans="2:6" ht="15" x14ac:dyDescent="0.25">
      <c r="B351"/>
      <c r="C351"/>
      <c r="D351"/>
      <c r="E351"/>
      <c r="F351"/>
    </row>
    <row r="352" spans="2:6" ht="15" x14ac:dyDescent="0.25">
      <c r="B352"/>
      <c r="C352"/>
      <c r="D352"/>
      <c r="E352"/>
      <c r="F352"/>
    </row>
    <row r="353" spans="2:6" ht="15" x14ac:dyDescent="0.25">
      <c r="B353"/>
      <c r="C353"/>
      <c r="D353"/>
      <c r="E353"/>
      <c r="F353"/>
    </row>
    <row r="354" spans="2:6" ht="15" x14ac:dyDescent="0.25">
      <c r="B354"/>
      <c r="C354"/>
      <c r="D354"/>
      <c r="E354"/>
      <c r="F354"/>
    </row>
    <row r="355" spans="2:6" ht="15" x14ac:dyDescent="0.25">
      <c r="B355"/>
      <c r="C355"/>
      <c r="D355"/>
      <c r="E355"/>
      <c r="F355"/>
    </row>
    <row r="356" spans="2:6" ht="15" x14ac:dyDescent="0.25">
      <c r="B356"/>
      <c r="C356"/>
      <c r="D356"/>
      <c r="E356"/>
      <c r="F356"/>
    </row>
    <row r="357" spans="2:6" ht="15" x14ac:dyDescent="0.25">
      <c r="B357"/>
      <c r="C357"/>
      <c r="D357"/>
      <c r="E357"/>
      <c r="F357"/>
    </row>
    <row r="358" spans="2:6" ht="15" x14ac:dyDescent="0.25">
      <c r="B358"/>
      <c r="C358"/>
      <c r="D358"/>
      <c r="E358"/>
      <c r="F358"/>
    </row>
    <row r="359" spans="2:6" ht="15" x14ac:dyDescent="0.25">
      <c r="B359"/>
      <c r="C359"/>
      <c r="D359"/>
      <c r="E359"/>
      <c r="F359"/>
    </row>
    <row r="360" spans="2:6" ht="15" x14ac:dyDescent="0.25">
      <c r="B360"/>
      <c r="C360"/>
      <c r="D360"/>
      <c r="E360"/>
      <c r="F360"/>
    </row>
    <row r="361" spans="2:6" ht="15" x14ac:dyDescent="0.25">
      <c r="B361"/>
      <c r="C361"/>
      <c r="D361"/>
      <c r="E361"/>
      <c r="F361"/>
    </row>
    <row r="362" spans="2:6" ht="15" x14ac:dyDescent="0.25">
      <c r="B362"/>
      <c r="C362"/>
      <c r="D362"/>
      <c r="E362"/>
      <c r="F362"/>
    </row>
    <row r="363" spans="2:6" ht="15" x14ac:dyDescent="0.25">
      <c r="B363"/>
      <c r="C363"/>
      <c r="D363"/>
      <c r="E363"/>
      <c r="F363"/>
    </row>
    <row r="364" spans="2:6" ht="15" x14ac:dyDescent="0.25">
      <c r="B364"/>
      <c r="C364"/>
      <c r="D364"/>
      <c r="E364"/>
      <c r="F364"/>
    </row>
    <row r="365" spans="2:6" ht="15" x14ac:dyDescent="0.25">
      <c r="B365"/>
      <c r="C365"/>
      <c r="D365"/>
      <c r="E365"/>
      <c r="F365"/>
    </row>
    <row r="366" spans="2:6" ht="15" x14ac:dyDescent="0.25">
      <c r="B366"/>
      <c r="C366"/>
      <c r="D366"/>
      <c r="E366"/>
      <c r="F366"/>
    </row>
    <row r="367" spans="2:6" ht="15" x14ac:dyDescent="0.25">
      <c r="B367"/>
      <c r="C367"/>
      <c r="D367"/>
      <c r="E367"/>
      <c r="F367"/>
    </row>
    <row r="368" spans="2:6" ht="15" x14ac:dyDescent="0.25">
      <c r="B368"/>
      <c r="C368"/>
      <c r="D368"/>
      <c r="E368"/>
      <c r="F368"/>
    </row>
    <row r="369" spans="2:6" ht="15" x14ac:dyDescent="0.25">
      <c r="B369"/>
      <c r="C369"/>
      <c r="D369"/>
      <c r="E369"/>
      <c r="F369"/>
    </row>
    <row r="370" spans="2:6" ht="15" x14ac:dyDescent="0.25">
      <c r="B370"/>
      <c r="C370"/>
      <c r="D370"/>
      <c r="E370"/>
      <c r="F370"/>
    </row>
    <row r="371" spans="2:6" ht="15" x14ac:dyDescent="0.25">
      <c r="B371"/>
      <c r="C371"/>
      <c r="D371"/>
      <c r="E371"/>
      <c r="F371"/>
    </row>
    <row r="372" spans="2:6" ht="15" x14ac:dyDescent="0.25">
      <c r="B372"/>
      <c r="C372"/>
      <c r="D372"/>
      <c r="E372"/>
      <c r="F372"/>
    </row>
    <row r="373" spans="2:6" ht="15" x14ac:dyDescent="0.25">
      <c r="B373"/>
      <c r="C373"/>
      <c r="D373"/>
      <c r="E373"/>
      <c r="F373"/>
    </row>
    <row r="374" spans="2:6" ht="15" x14ac:dyDescent="0.25">
      <c r="B374"/>
      <c r="C374"/>
      <c r="D374"/>
      <c r="E374"/>
      <c r="F374"/>
    </row>
    <row r="375" spans="2:6" ht="15" x14ac:dyDescent="0.25">
      <c r="B375"/>
      <c r="C375"/>
      <c r="D375"/>
      <c r="E375"/>
      <c r="F375"/>
    </row>
    <row r="376" spans="2:6" ht="15" x14ac:dyDescent="0.25">
      <c r="B376"/>
      <c r="C376"/>
      <c r="D376"/>
      <c r="E376"/>
      <c r="F376"/>
    </row>
    <row r="377" spans="2:6" ht="15" x14ac:dyDescent="0.25">
      <c r="B377"/>
      <c r="C377"/>
      <c r="D377"/>
      <c r="E377"/>
      <c r="F377"/>
    </row>
    <row r="378" spans="2:6" ht="15" x14ac:dyDescent="0.25">
      <c r="B378"/>
      <c r="C378"/>
      <c r="D378"/>
      <c r="E378"/>
      <c r="F378"/>
    </row>
    <row r="379" spans="2:6" ht="15" x14ac:dyDescent="0.25">
      <c r="B379"/>
      <c r="C379"/>
      <c r="D379"/>
      <c r="E379"/>
      <c r="F379"/>
    </row>
    <row r="380" spans="2:6" ht="15" x14ac:dyDescent="0.25">
      <c r="B380"/>
      <c r="C380"/>
      <c r="D380"/>
      <c r="E380"/>
      <c r="F380"/>
    </row>
    <row r="381" spans="2:6" ht="15" x14ac:dyDescent="0.25">
      <c r="B381"/>
      <c r="C381"/>
      <c r="D381"/>
      <c r="E381"/>
      <c r="F381"/>
    </row>
    <row r="382" spans="2:6" ht="15" x14ac:dyDescent="0.25">
      <c r="B382"/>
      <c r="C382"/>
      <c r="D382"/>
      <c r="E382"/>
      <c r="F382"/>
    </row>
    <row r="383" spans="2:6" ht="15" x14ac:dyDescent="0.25">
      <c r="B383"/>
      <c r="C383"/>
      <c r="D383"/>
      <c r="E383"/>
      <c r="F383"/>
    </row>
    <row r="384" spans="2:6" ht="15" x14ac:dyDescent="0.25">
      <c r="B384"/>
      <c r="C384"/>
      <c r="D384"/>
      <c r="E384"/>
      <c r="F384"/>
    </row>
    <row r="385" spans="2:6" ht="15" x14ac:dyDescent="0.25">
      <c r="B385"/>
      <c r="C385"/>
      <c r="D385"/>
      <c r="E385"/>
      <c r="F385"/>
    </row>
    <row r="386" spans="2:6" ht="15" x14ac:dyDescent="0.25">
      <c r="B386"/>
      <c r="C386"/>
      <c r="D386"/>
      <c r="E386"/>
      <c r="F386"/>
    </row>
    <row r="387" spans="2:6" ht="15" x14ac:dyDescent="0.25">
      <c r="B387"/>
      <c r="C387"/>
      <c r="D387"/>
      <c r="E387"/>
      <c r="F387"/>
    </row>
    <row r="388" spans="2:6" ht="15" x14ac:dyDescent="0.25">
      <c r="B388"/>
      <c r="C388"/>
      <c r="D388"/>
      <c r="E388"/>
      <c r="F388"/>
    </row>
    <row r="389" spans="2:6" ht="15" x14ac:dyDescent="0.25">
      <c r="B389"/>
      <c r="C389"/>
      <c r="D389"/>
      <c r="E389"/>
      <c r="F389"/>
    </row>
    <row r="390" spans="2:6" ht="15" x14ac:dyDescent="0.25">
      <c r="B390"/>
      <c r="C390"/>
      <c r="D390"/>
      <c r="E390"/>
      <c r="F390"/>
    </row>
    <row r="391" spans="2:6" ht="15" x14ac:dyDescent="0.25">
      <c r="B391"/>
      <c r="C391"/>
      <c r="D391"/>
      <c r="E391"/>
      <c r="F391"/>
    </row>
    <row r="392" spans="2:6" ht="15" x14ac:dyDescent="0.25">
      <c r="B392"/>
      <c r="C392"/>
      <c r="D392"/>
      <c r="E392"/>
      <c r="F392"/>
    </row>
    <row r="393" spans="2:6" ht="15" x14ac:dyDescent="0.25">
      <c r="B393"/>
      <c r="C393"/>
      <c r="D393"/>
      <c r="E393"/>
      <c r="F393"/>
    </row>
    <row r="394" spans="2:6" ht="15" x14ac:dyDescent="0.25">
      <c r="B394"/>
      <c r="C394"/>
      <c r="D394"/>
      <c r="E394"/>
      <c r="F394"/>
    </row>
    <row r="395" spans="2:6" ht="15" x14ac:dyDescent="0.25">
      <c r="B395"/>
      <c r="C395"/>
      <c r="D395"/>
      <c r="E395"/>
      <c r="F395"/>
    </row>
    <row r="396" spans="2:6" ht="15" x14ac:dyDescent="0.25">
      <c r="B396"/>
      <c r="C396"/>
      <c r="D396"/>
      <c r="E396"/>
      <c r="F396"/>
    </row>
    <row r="397" spans="2:6" ht="15" x14ac:dyDescent="0.25">
      <c r="B397"/>
      <c r="C397"/>
      <c r="D397"/>
      <c r="E397"/>
      <c r="F397"/>
    </row>
    <row r="398" spans="2:6" ht="15" x14ac:dyDescent="0.25">
      <c r="B398"/>
      <c r="C398"/>
      <c r="D398"/>
      <c r="E398"/>
      <c r="F398"/>
    </row>
    <row r="399" spans="2:6" ht="15" x14ac:dyDescent="0.25">
      <c r="B399"/>
      <c r="C399"/>
      <c r="D399"/>
      <c r="E399"/>
      <c r="F399"/>
    </row>
    <row r="400" spans="2:6" ht="15" x14ac:dyDescent="0.25">
      <c r="B400"/>
      <c r="C400"/>
      <c r="D400"/>
      <c r="E400"/>
      <c r="F400"/>
    </row>
    <row r="401" spans="2:6" ht="15" x14ac:dyDescent="0.25">
      <c r="B401"/>
      <c r="C401"/>
      <c r="D401"/>
      <c r="E401"/>
      <c r="F401"/>
    </row>
    <row r="402" spans="2:6" ht="15" x14ac:dyDescent="0.25">
      <c r="B402"/>
      <c r="C402"/>
      <c r="D402"/>
      <c r="E402"/>
      <c r="F402"/>
    </row>
    <row r="403" spans="2:6" ht="15" x14ac:dyDescent="0.25">
      <c r="B403"/>
      <c r="C403"/>
      <c r="D403"/>
      <c r="E403"/>
      <c r="F403"/>
    </row>
    <row r="404" spans="2:6" ht="15" x14ac:dyDescent="0.25">
      <c r="B404"/>
      <c r="C404"/>
      <c r="D404"/>
      <c r="E404"/>
      <c r="F404"/>
    </row>
    <row r="405" spans="2:6" ht="15" x14ac:dyDescent="0.25">
      <c r="B405"/>
      <c r="C405"/>
      <c r="D405"/>
      <c r="E405"/>
      <c r="F405"/>
    </row>
    <row r="406" spans="2:6" ht="15" x14ac:dyDescent="0.25">
      <c r="B406"/>
      <c r="C406"/>
      <c r="D406"/>
      <c r="E406"/>
      <c r="F406"/>
    </row>
    <row r="407" spans="2:6" ht="15" x14ac:dyDescent="0.25">
      <c r="B407"/>
      <c r="C407"/>
      <c r="D407"/>
      <c r="E407"/>
      <c r="F407"/>
    </row>
    <row r="408" spans="2:6" ht="15" x14ac:dyDescent="0.25">
      <c r="B408"/>
      <c r="C408"/>
      <c r="D408"/>
      <c r="E408"/>
      <c r="F408"/>
    </row>
    <row r="409" spans="2:6" ht="15" x14ac:dyDescent="0.25">
      <c r="B409"/>
      <c r="C409"/>
      <c r="D409"/>
      <c r="E409"/>
      <c r="F409"/>
    </row>
    <row r="410" spans="2:6" ht="15" x14ac:dyDescent="0.25">
      <c r="B410"/>
      <c r="C410"/>
      <c r="D410"/>
      <c r="E410"/>
      <c r="F410"/>
    </row>
    <row r="411" spans="2:6" ht="15" x14ac:dyDescent="0.25">
      <c r="B411"/>
      <c r="C411"/>
      <c r="D411"/>
      <c r="E411"/>
      <c r="F411"/>
    </row>
    <row r="412" spans="2:6" ht="15" x14ac:dyDescent="0.25">
      <c r="B412"/>
      <c r="C412"/>
      <c r="D412"/>
      <c r="E412"/>
      <c r="F412"/>
    </row>
    <row r="413" spans="2:6" ht="15" x14ac:dyDescent="0.25">
      <c r="B413"/>
      <c r="C413"/>
      <c r="D413"/>
      <c r="E413"/>
      <c r="F413"/>
    </row>
    <row r="414" spans="2:6" ht="15" x14ac:dyDescent="0.25">
      <c r="B414"/>
      <c r="C414"/>
      <c r="D414"/>
      <c r="E414"/>
      <c r="F414"/>
    </row>
    <row r="415" spans="2:6" ht="15" x14ac:dyDescent="0.25">
      <c r="B415"/>
      <c r="C415"/>
      <c r="D415"/>
      <c r="E415"/>
      <c r="F415"/>
    </row>
    <row r="416" spans="2:6" ht="15" x14ac:dyDescent="0.25">
      <c r="B416"/>
      <c r="C416"/>
      <c r="D416"/>
      <c r="E416"/>
      <c r="F416"/>
    </row>
    <row r="417" spans="2:6" ht="15" x14ac:dyDescent="0.25">
      <c r="B417"/>
      <c r="C417"/>
      <c r="D417"/>
      <c r="E417"/>
      <c r="F417"/>
    </row>
    <row r="418" spans="2:6" ht="15" x14ac:dyDescent="0.25">
      <c r="B418"/>
      <c r="C418"/>
      <c r="D418"/>
      <c r="E418"/>
      <c r="F418"/>
    </row>
    <row r="419" spans="2:6" ht="15" x14ac:dyDescent="0.25">
      <c r="B419"/>
      <c r="C419"/>
      <c r="D419"/>
      <c r="E419"/>
      <c r="F419"/>
    </row>
    <row r="420" spans="2:6" ht="15" x14ac:dyDescent="0.25">
      <c r="B420"/>
      <c r="C420"/>
      <c r="D420"/>
      <c r="E420"/>
      <c r="F420"/>
    </row>
    <row r="421" spans="2:6" ht="15" x14ac:dyDescent="0.25">
      <c r="B421"/>
      <c r="C421"/>
      <c r="D421"/>
      <c r="E421"/>
      <c r="F421"/>
    </row>
    <row r="422" spans="2:6" ht="15" x14ac:dyDescent="0.25">
      <c r="B422"/>
      <c r="C422"/>
      <c r="D422"/>
      <c r="E422"/>
      <c r="F422"/>
    </row>
    <row r="423" spans="2:6" ht="15" x14ac:dyDescent="0.25">
      <c r="B423"/>
      <c r="C423"/>
      <c r="D423"/>
      <c r="E423"/>
      <c r="F423"/>
    </row>
    <row r="424" spans="2:6" ht="15" x14ac:dyDescent="0.25">
      <c r="B424"/>
      <c r="C424"/>
      <c r="D424"/>
      <c r="E424"/>
      <c r="F424"/>
    </row>
    <row r="425" spans="2:6" ht="15" x14ac:dyDescent="0.25">
      <c r="B425"/>
      <c r="C425"/>
      <c r="D425"/>
      <c r="E425"/>
      <c r="F425"/>
    </row>
    <row r="426" spans="2:6" ht="15" x14ac:dyDescent="0.25">
      <c r="B426"/>
      <c r="C426"/>
      <c r="D426"/>
      <c r="E426"/>
      <c r="F426"/>
    </row>
    <row r="427" spans="2:6" ht="15" x14ac:dyDescent="0.25">
      <c r="B427"/>
      <c r="C427"/>
      <c r="D427"/>
      <c r="E427"/>
      <c r="F427"/>
    </row>
    <row r="428" spans="2:6" ht="15" x14ac:dyDescent="0.25">
      <c r="B428"/>
      <c r="C428"/>
      <c r="D428"/>
      <c r="E428"/>
      <c r="F428"/>
    </row>
    <row r="429" spans="2:6" ht="15" x14ac:dyDescent="0.25">
      <c r="B429"/>
      <c r="C429"/>
      <c r="D429"/>
      <c r="E429"/>
      <c r="F429"/>
    </row>
    <row r="430" spans="2:6" ht="15" x14ac:dyDescent="0.25">
      <c r="B430"/>
      <c r="C430"/>
      <c r="D430"/>
      <c r="E430"/>
      <c r="F430"/>
    </row>
    <row r="431" spans="2:6" ht="15" x14ac:dyDescent="0.25">
      <c r="B431"/>
      <c r="C431"/>
      <c r="D431"/>
      <c r="E431"/>
      <c r="F431"/>
    </row>
    <row r="432" spans="2:6" ht="15" x14ac:dyDescent="0.25">
      <c r="B432"/>
      <c r="C432"/>
      <c r="D432"/>
      <c r="E432"/>
      <c r="F432"/>
    </row>
    <row r="433" spans="2:6" ht="15" x14ac:dyDescent="0.25">
      <c r="B433"/>
      <c r="C433"/>
      <c r="D433"/>
      <c r="E433"/>
      <c r="F433"/>
    </row>
    <row r="434" spans="2:6" ht="15" x14ac:dyDescent="0.25">
      <c r="B434"/>
      <c r="C434"/>
      <c r="D434"/>
      <c r="E434"/>
      <c r="F434"/>
    </row>
    <row r="435" spans="2:6" ht="15" x14ac:dyDescent="0.25">
      <c r="B435"/>
      <c r="C435"/>
      <c r="D435"/>
      <c r="E435"/>
      <c r="F435"/>
    </row>
    <row r="436" spans="2:6" ht="15" x14ac:dyDescent="0.25">
      <c r="B436"/>
      <c r="C436"/>
      <c r="D436"/>
      <c r="E436"/>
      <c r="F436"/>
    </row>
    <row r="437" spans="2:6" ht="15" x14ac:dyDescent="0.25">
      <c r="B437"/>
      <c r="C437"/>
      <c r="D437"/>
      <c r="E437"/>
      <c r="F437"/>
    </row>
    <row r="438" spans="2:6" ht="15" x14ac:dyDescent="0.25">
      <c r="B438"/>
      <c r="C438"/>
      <c r="D438"/>
      <c r="E438"/>
      <c r="F438"/>
    </row>
    <row r="439" spans="2:6" ht="15" x14ac:dyDescent="0.25">
      <c r="B439"/>
      <c r="C439"/>
      <c r="D439"/>
      <c r="E439"/>
      <c r="F439"/>
    </row>
    <row r="440" spans="2:6" ht="15" x14ac:dyDescent="0.25">
      <c r="B440"/>
      <c r="C440"/>
      <c r="D440"/>
      <c r="E440"/>
      <c r="F440"/>
    </row>
    <row r="441" spans="2:6" ht="15" x14ac:dyDescent="0.25">
      <c r="B441"/>
      <c r="C441"/>
      <c r="D441"/>
      <c r="E441"/>
      <c r="F441"/>
    </row>
    <row r="442" spans="2:6" ht="15" x14ac:dyDescent="0.25">
      <c r="B442"/>
      <c r="C442"/>
      <c r="D442"/>
      <c r="E442"/>
      <c r="F442"/>
    </row>
    <row r="443" spans="2:6" ht="15" x14ac:dyDescent="0.25">
      <c r="B443"/>
      <c r="C443"/>
      <c r="D443"/>
      <c r="E443"/>
      <c r="F443"/>
    </row>
    <row r="444" spans="2:6" ht="15" x14ac:dyDescent="0.25">
      <c r="B444"/>
      <c r="C444"/>
      <c r="D444"/>
      <c r="E444"/>
      <c r="F444"/>
    </row>
    <row r="445" spans="2:6" ht="15" x14ac:dyDescent="0.25">
      <c r="B445"/>
      <c r="C445"/>
      <c r="D445"/>
      <c r="E445"/>
      <c r="F445"/>
    </row>
    <row r="446" spans="2:6" ht="15" x14ac:dyDescent="0.25">
      <c r="B446"/>
      <c r="C446"/>
      <c r="D446"/>
      <c r="E446"/>
      <c r="F446"/>
    </row>
    <row r="447" spans="2:6" ht="15" x14ac:dyDescent="0.25">
      <c r="B447"/>
      <c r="C447"/>
      <c r="D447"/>
      <c r="E447"/>
      <c r="F447"/>
    </row>
    <row r="448" spans="2:6" ht="15" x14ac:dyDescent="0.25">
      <c r="B448"/>
      <c r="C448"/>
      <c r="D448"/>
      <c r="E448"/>
      <c r="F448"/>
    </row>
    <row r="449" spans="2:6" ht="15" x14ac:dyDescent="0.25">
      <c r="B449"/>
      <c r="C449"/>
      <c r="D449"/>
      <c r="E449"/>
      <c r="F449"/>
    </row>
    <row r="450" spans="2:6" ht="15" x14ac:dyDescent="0.25">
      <c r="B450"/>
      <c r="C450"/>
      <c r="D450"/>
      <c r="E450"/>
      <c r="F450"/>
    </row>
    <row r="451" spans="2:6" ht="15" x14ac:dyDescent="0.25">
      <c r="B451"/>
      <c r="C451"/>
      <c r="D451"/>
      <c r="E451"/>
      <c r="F451"/>
    </row>
    <row r="452" spans="2:6" ht="15" x14ac:dyDescent="0.25">
      <c r="B452"/>
      <c r="C452"/>
      <c r="D452"/>
      <c r="E452"/>
      <c r="F452"/>
    </row>
    <row r="453" spans="2:6" ht="15" x14ac:dyDescent="0.25">
      <c r="B453"/>
      <c r="C453"/>
      <c r="D453"/>
      <c r="E453"/>
      <c r="F453"/>
    </row>
    <row r="454" spans="2:6" ht="15" x14ac:dyDescent="0.25">
      <c r="B454"/>
      <c r="C454"/>
      <c r="D454"/>
      <c r="E454"/>
      <c r="F454"/>
    </row>
    <row r="455" spans="2:6" ht="15" x14ac:dyDescent="0.25">
      <c r="B455"/>
      <c r="C455"/>
      <c r="D455"/>
      <c r="E455"/>
      <c r="F455"/>
    </row>
    <row r="456" spans="2:6" ht="15" x14ac:dyDescent="0.25">
      <c r="B456"/>
      <c r="C456"/>
      <c r="D456"/>
      <c r="E456"/>
      <c r="F456"/>
    </row>
    <row r="457" spans="2:6" ht="15" x14ac:dyDescent="0.25">
      <c r="B457"/>
      <c r="C457"/>
      <c r="D457"/>
      <c r="E457"/>
      <c r="F457"/>
    </row>
    <row r="458" spans="2:6" ht="15" x14ac:dyDescent="0.25">
      <c r="B458"/>
      <c r="C458"/>
      <c r="D458"/>
      <c r="E458"/>
      <c r="F458"/>
    </row>
    <row r="459" spans="2:6" ht="15" x14ac:dyDescent="0.25">
      <c r="B459"/>
      <c r="C459"/>
      <c r="D459"/>
      <c r="E459"/>
      <c r="F459"/>
    </row>
    <row r="460" spans="2:6" ht="15" x14ac:dyDescent="0.25">
      <c r="B460"/>
      <c r="C460"/>
      <c r="D460"/>
      <c r="E460"/>
      <c r="F460"/>
    </row>
    <row r="461" spans="2:6" ht="15" x14ac:dyDescent="0.25">
      <c r="B461"/>
      <c r="C461"/>
      <c r="D461"/>
      <c r="E461"/>
      <c r="F461"/>
    </row>
    <row r="462" spans="2:6" ht="15" x14ac:dyDescent="0.25">
      <c r="B462"/>
      <c r="C462"/>
      <c r="D462"/>
      <c r="E462"/>
      <c r="F462"/>
    </row>
    <row r="463" spans="2:6" ht="15" x14ac:dyDescent="0.25">
      <c r="B463"/>
      <c r="C463"/>
      <c r="D463"/>
      <c r="E463"/>
      <c r="F463"/>
    </row>
    <row r="464" spans="2:6" ht="15" x14ac:dyDescent="0.25">
      <c r="B464"/>
      <c r="C464"/>
      <c r="D464"/>
      <c r="E464"/>
      <c r="F464"/>
    </row>
    <row r="465" spans="2:6" ht="15" x14ac:dyDescent="0.25">
      <c r="B465"/>
      <c r="C465"/>
      <c r="D465"/>
      <c r="E465"/>
      <c r="F465"/>
    </row>
    <row r="466" spans="2:6" ht="15" x14ac:dyDescent="0.25">
      <c r="B466"/>
      <c r="C466"/>
      <c r="D466"/>
      <c r="E466"/>
      <c r="F466"/>
    </row>
    <row r="467" spans="2:6" ht="15" x14ac:dyDescent="0.25">
      <c r="B467"/>
      <c r="C467"/>
      <c r="D467"/>
      <c r="E467"/>
      <c r="F467"/>
    </row>
    <row r="468" spans="2:6" ht="15" x14ac:dyDescent="0.25">
      <c r="B468"/>
      <c r="C468"/>
      <c r="D468"/>
      <c r="E468"/>
      <c r="F468"/>
    </row>
    <row r="469" spans="2:6" ht="15" x14ac:dyDescent="0.25">
      <c r="B469"/>
      <c r="C469"/>
      <c r="D469"/>
      <c r="E469"/>
      <c r="F469"/>
    </row>
    <row r="470" spans="2:6" ht="15" x14ac:dyDescent="0.25">
      <c r="B470"/>
      <c r="C470"/>
      <c r="D470"/>
      <c r="E470"/>
      <c r="F470"/>
    </row>
    <row r="471" spans="2:6" ht="15" x14ac:dyDescent="0.25">
      <c r="B471"/>
      <c r="C471"/>
      <c r="D471"/>
      <c r="E471"/>
      <c r="F471"/>
    </row>
    <row r="472" spans="2:6" ht="15" x14ac:dyDescent="0.25">
      <c r="B472"/>
      <c r="C472"/>
      <c r="D472"/>
      <c r="E472"/>
      <c r="F472"/>
    </row>
    <row r="473" spans="2:6" ht="15" x14ac:dyDescent="0.25">
      <c r="B473"/>
      <c r="C473"/>
      <c r="D473"/>
      <c r="E473"/>
      <c r="F473"/>
    </row>
    <row r="474" spans="2:6" ht="15" x14ac:dyDescent="0.25">
      <c r="B474"/>
      <c r="C474"/>
      <c r="D474"/>
      <c r="E474"/>
      <c r="F474"/>
    </row>
    <row r="475" spans="2:6" ht="15" x14ac:dyDescent="0.25">
      <c r="B475"/>
      <c r="C475"/>
      <c r="D475"/>
      <c r="E475"/>
      <c r="F475"/>
    </row>
    <row r="476" spans="2:6" ht="15" x14ac:dyDescent="0.25">
      <c r="B476"/>
      <c r="C476"/>
      <c r="D476"/>
      <c r="E476"/>
      <c r="F476"/>
    </row>
    <row r="477" spans="2:6" ht="15" x14ac:dyDescent="0.25">
      <c r="B477"/>
      <c r="C477"/>
      <c r="D477"/>
      <c r="E477"/>
      <c r="F477"/>
    </row>
    <row r="478" spans="2:6" ht="15" x14ac:dyDescent="0.25">
      <c r="B478"/>
      <c r="C478"/>
      <c r="D478"/>
      <c r="E478"/>
      <c r="F478"/>
    </row>
    <row r="479" spans="2:6" ht="15" x14ac:dyDescent="0.25">
      <c r="B479"/>
      <c r="C479"/>
      <c r="D479"/>
      <c r="E479"/>
      <c r="F479"/>
    </row>
    <row r="480" spans="2:6" ht="15" x14ac:dyDescent="0.25">
      <c r="B480"/>
      <c r="C480"/>
      <c r="D480"/>
      <c r="E480"/>
      <c r="F480"/>
    </row>
    <row r="481" spans="2:6" ht="15" x14ac:dyDescent="0.25">
      <c r="B481"/>
      <c r="C481"/>
      <c r="D481"/>
      <c r="E481"/>
      <c r="F481"/>
    </row>
    <row r="482" spans="2:6" ht="15" x14ac:dyDescent="0.25">
      <c r="B482"/>
      <c r="C482"/>
      <c r="D482"/>
      <c r="E482"/>
      <c r="F482"/>
    </row>
    <row r="483" spans="2:6" ht="15" x14ac:dyDescent="0.25">
      <c r="B483"/>
      <c r="C483"/>
      <c r="D483"/>
      <c r="E483"/>
      <c r="F483"/>
    </row>
    <row r="484" spans="2:6" ht="15" x14ac:dyDescent="0.25">
      <c r="B484"/>
      <c r="C484"/>
      <c r="D484"/>
      <c r="E484"/>
      <c r="F484"/>
    </row>
    <row r="485" spans="2:6" ht="15" x14ac:dyDescent="0.25">
      <c r="B485"/>
      <c r="C485"/>
      <c r="D485"/>
      <c r="E485"/>
      <c r="F485"/>
    </row>
    <row r="486" spans="2:6" ht="15" x14ac:dyDescent="0.25">
      <c r="B486"/>
      <c r="C486"/>
      <c r="D486"/>
      <c r="E486"/>
      <c r="F486"/>
    </row>
    <row r="487" spans="2:6" ht="15" x14ac:dyDescent="0.25">
      <c r="B487"/>
      <c r="C487"/>
      <c r="D487"/>
      <c r="E487"/>
      <c r="F487"/>
    </row>
    <row r="488" spans="2:6" ht="15" x14ac:dyDescent="0.25">
      <c r="B488"/>
      <c r="C488"/>
      <c r="D488"/>
      <c r="E488"/>
      <c r="F488"/>
    </row>
    <row r="489" spans="2:6" ht="15" x14ac:dyDescent="0.25">
      <c r="B489"/>
      <c r="C489"/>
      <c r="D489"/>
      <c r="E489"/>
      <c r="F489"/>
    </row>
    <row r="490" spans="2:6" ht="15" x14ac:dyDescent="0.25">
      <c r="B490"/>
      <c r="C490"/>
      <c r="D490"/>
      <c r="E490"/>
      <c r="F490"/>
    </row>
    <row r="491" spans="2:6" ht="15" x14ac:dyDescent="0.25">
      <c r="B491"/>
      <c r="C491"/>
      <c r="D491"/>
      <c r="E491"/>
      <c r="F491"/>
    </row>
    <row r="492" spans="2:6" ht="15" x14ac:dyDescent="0.25">
      <c r="B492"/>
      <c r="C492"/>
      <c r="D492"/>
      <c r="E492"/>
      <c r="F492"/>
    </row>
    <row r="493" spans="2:6" ht="15" x14ac:dyDescent="0.25">
      <c r="B493"/>
      <c r="C493"/>
      <c r="D493"/>
      <c r="E493"/>
      <c r="F493"/>
    </row>
    <row r="494" spans="2:6" ht="15" x14ac:dyDescent="0.25">
      <c r="B494"/>
      <c r="C494"/>
      <c r="D494"/>
      <c r="E494"/>
      <c r="F494"/>
    </row>
    <row r="495" spans="2:6" ht="15" x14ac:dyDescent="0.25">
      <c r="B495"/>
      <c r="C495"/>
      <c r="D495"/>
      <c r="E495"/>
      <c r="F495"/>
    </row>
    <row r="496" spans="2:6" ht="15" x14ac:dyDescent="0.25">
      <c r="B496"/>
      <c r="C496"/>
      <c r="D496"/>
      <c r="E496"/>
      <c r="F496"/>
    </row>
    <row r="497" spans="1:6" ht="15" x14ac:dyDescent="0.25">
      <c r="B497"/>
      <c r="C497"/>
      <c r="D497"/>
      <c r="E497"/>
      <c r="F497"/>
    </row>
    <row r="498" spans="1:6" ht="15" x14ac:dyDescent="0.25">
      <c r="B498"/>
      <c r="C498"/>
      <c r="D498"/>
      <c r="E498"/>
      <c r="F498"/>
    </row>
    <row r="499" spans="1:6" ht="15" x14ac:dyDescent="0.25">
      <c r="A499"/>
      <c r="B499"/>
      <c r="C499"/>
      <c r="D499"/>
      <c r="E499"/>
      <c r="F499"/>
    </row>
    <row r="500" spans="1:6" ht="15" x14ac:dyDescent="0.25">
      <c r="A500"/>
      <c r="B500"/>
      <c r="C500"/>
      <c r="D500"/>
      <c r="E500"/>
      <c r="F500"/>
    </row>
    <row r="501" spans="1:6" ht="15" x14ac:dyDescent="0.25">
      <c r="A501"/>
      <c r="B501"/>
      <c r="C501"/>
      <c r="D501"/>
      <c r="E501"/>
      <c r="F501"/>
    </row>
    <row r="502" spans="1:6" ht="15" x14ac:dyDescent="0.25">
      <c r="A502"/>
      <c r="B502"/>
      <c r="C502"/>
      <c r="D502"/>
      <c r="E502"/>
      <c r="F502"/>
    </row>
    <row r="503" spans="1:6" ht="15" x14ac:dyDescent="0.25">
      <c r="A503"/>
      <c r="B503"/>
      <c r="C503"/>
      <c r="D503"/>
      <c r="E503"/>
      <c r="F503"/>
    </row>
    <row r="504" spans="1:6" ht="15" x14ac:dyDescent="0.25">
      <c r="A504"/>
      <c r="B504"/>
      <c r="C504"/>
      <c r="D504"/>
      <c r="E504"/>
      <c r="F504"/>
    </row>
    <row r="505" spans="1:6" ht="15" x14ac:dyDescent="0.25">
      <c r="A505"/>
      <c r="B505"/>
      <c r="C505"/>
      <c r="D505"/>
      <c r="E505"/>
      <c r="F505"/>
    </row>
    <row r="506" spans="1:6" ht="15" x14ac:dyDescent="0.25">
      <c r="A506"/>
      <c r="B506"/>
      <c r="C506"/>
      <c r="D506"/>
      <c r="E506"/>
      <c r="F506"/>
    </row>
    <row r="507" spans="1:6" ht="15" x14ac:dyDescent="0.25">
      <c r="A507"/>
      <c r="B507"/>
      <c r="C507"/>
      <c r="D507"/>
      <c r="E507"/>
      <c r="F507"/>
    </row>
    <row r="508" spans="1:6" ht="15" x14ac:dyDescent="0.25">
      <c r="A508"/>
      <c r="B508"/>
      <c r="C508"/>
      <c r="D508"/>
      <c r="E508"/>
      <c r="F508"/>
    </row>
    <row r="509" spans="1:6" ht="15" x14ac:dyDescent="0.25">
      <c r="A509"/>
      <c r="B509"/>
      <c r="C509"/>
      <c r="D509"/>
      <c r="E509"/>
      <c r="F509"/>
    </row>
    <row r="510" spans="1:6" ht="15" x14ac:dyDescent="0.25">
      <c r="A510"/>
      <c r="B510"/>
      <c r="C510"/>
      <c r="D510"/>
      <c r="E510"/>
      <c r="F510"/>
    </row>
    <row r="511" spans="1:6" ht="15" x14ac:dyDescent="0.25">
      <c r="A511"/>
      <c r="B511"/>
      <c r="C511"/>
      <c r="D511"/>
      <c r="E511"/>
      <c r="F511"/>
    </row>
    <row r="512" spans="1:6" ht="15" x14ac:dyDescent="0.25">
      <c r="A512"/>
      <c r="B512"/>
      <c r="C512"/>
      <c r="D512"/>
      <c r="E512"/>
      <c r="F512"/>
    </row>
    <row r="513" spans="1:6" ht="15" x14ac:dyDescent="0.25">
      <c r="A513"/>
      <c r="B513"/>
      <c r="C513"/>
      <c r="D513"/>
      <c r="E513"/>
      <c r="F513"/>
    </row>
    <row r="514" spans="1:6" ht="15" x14ac:dyDescent="0.25">
      <c r="A514"/>
      <c r="B514"/>
      <c r="C514"/>
      <c r="D514"/>
      <c r="E514"/>
      <c r="F514"/>
    </row>
    <row r="515" spans="1:6" ht="15" x14ac:dyDescent="0.25">
      <c r="A515"/>
      <c r="B515"/>
      <c r="C515"/>
      <c r="D515"/>
      <c r="E515"/>
      <c r="F515"/>
    </row>
    <row r="516" spans="1:6" ht="15" x14ac:dyDescent="0.25">
      <c r="A516"/>
      <c r="B516"/>
      <c r="C516"/>
      <c r="D516"/>
      <c r="E516"/>
      <c r="F516"/>
    </row>
    <row r="517" spans="1:6" ht="15" x14ac:dyDescent="0.25">
      <c r="A517"/>
      <c r="B517"/>
      <c r="C517"/>
      <c r="D517"/>
      <c r="E517"/>
      <c r="F517"/>
    </row>
    <row r="518" spans="1:6" ht="15" x14ac:dyDescent="0.25">
      <c r="A518"/>
      <c r="B518"/>
      <c r="C518"/>
      <c r="D518"/>
      <c r="E518"/>
      <c r="F518"/>
    </row>
    <row r="519" spans="1:6" ht="15" x14ac:dyDescent="0.25">
      <c r="A519"/>
      <c r="B519"/>
      <c r="C519"/>
      <c r="D519"/>
      <c r="E519"/>
      <c r="F519"/>
    </row>
    <row r="520" spans="1:6" ht="15" x14ac:dyDescent="0.25">
      <c r="A520"/>
      <c r="B520"/>
      <c r="C520"/>
      <c r="D520"/>
      <c r="E520"/>
      <c r="F520"/>
    </row>
    <row r="521" spans="1:6" ht="15" x14ac:dyDescent="0.25">
      <c r="A521"/>
      <c r="B521"/>
      <c r="C521"/>
      <c r="D521"/>
      <c r="E521"/>
      <c r="F521"/>
    </row>
    <row r="522" spans="1:6" ht="15" x14ac:dyDescent="0.25">
      <c r="A522"/>
      <c r="B522"/>
      <c r="C522"/>
      <c r="D522"/>
      <c r="E522"/>
      <c r="F522"/>
    </row>
    <row r="523" spans="1:6" ht="15" x14ac:dyDescent="0.25">
      <c r="A523"/>
      <c r="B523"/>
      <c r="C523"/>
      <c r="D523"/>
      <c r="E523"/>
      <c r="F523"/>
    </row>
    <row r="524" spans="1:6" ht="15" x14ac:dyDescent="0.25">
      <c r="A524"/>
      <c r="B524"/>
      <c r="C524"/>
      <c r="D524"/>
      <c r="E524"/>
      <c r="F524"/>
    </row>
    <row r="525" spans="1:6" ht="15" x14ac:dyDescent="0.25">
      <c r="A525"/>
      <c r="B525"/>
      <c r="C525"/>
      <c r="D525"/>
      <c r="E525"/>
      <c r="F525"/>
    </row>
    <row r="526" spans="1:6" ht="15" x14ac:dyDescent="0.25">
      <c r="A526"/>
      <c r="B526"/>
      <c r="C526"/>
      <c r="D526"/>
      <c r="E526"/>
      <c r="F526"/>
    </row>
    <row r="527" spans="1:6" ht="15" x14ac:dyDescent="0.25">
      <c r="A527"/>
      <c r="B527"/>
      <c r="C527"/>
      <c r="D527"/>
      <c r="E527"/>
      <c r="F527"/>
    </row>
    <row r="528" spans="1:6" ht="15" x14ac:dyDescent="0.25">
      <c r="A528"/>
      <c r="B528"/>
      <c r="C528"/>
      <c r="D528"/>
      <c r="E528"/>
      <c r="F528"/>
    </row>
    <row r="529" spans="1:6" ht="15" x14ac:dyDescent="0.25">
      <c r="A529"/>
      <c r="B529"/>
      <c r="C529"/>
      <c r="D529"/>
      <c r="E529"/>
      <c r="F529"/>
    </row>
    <row r="530" spans="1:6" ht="15" x14ac:dyDescent="0.25">
      <c r="A530"/>
      <c r="B530"/>
      <c r="C530"/>
      <c r="D530"/>
      <c r="E530"/>
      <c r="F530"/>
    </row>
    <row r="531" spans="1:6" ht="15" x14ac:dyDescent="0.25">
      <c r="A531"/>
      <c r="B531"/>
      <c r="C531"/>
      <c r="D531"/>
      <c r="E531"/>
      <c r="F531"/>
    </row>
    <row r="532" spans="1:6" ht="15" x14ac:dyDescent="0.25">
      <c r="A532"/>
      <c r="B532"/>
      <c r="C532"/>
      <c r="D532"/>
      <c r="E532"/>
      <c r="F532"/>
    </row>
    <row r="533" spans="1:6" ht="15" x14ac:dyDescent="0.25">
      <c r="A533"/>
      <c r="B533"/>
      <c r="C533"/>
      <c r="D533"/>
      <c r="E533"/>
      <c r="F533"/>
    </row>
    <row r="534" spans="1:6" ht="15" x14ac:dyDescent="0.25">
      <c r="A534"/>
      <c r="B534"/>
      <c r="C534"/>
      <c r="D534"/>
      <c r="E534"/>
      <c r="F534"/>
    </row>
    <row r="535" spans="1:6" ht="15" x14ac:dyDescent="0.25">
      <c r="A535"/>
      <c r="B535"/>
      <c r="C535"/>
      <c r="D535"/>
      <c r="E535"/>
      <c r="F535"/>
    </row>
    <row r="536" spans="1:6" ht="15" x14ac:dyDescent="0.25">
      <c r="A536"/>
      <c r="B536"/>
      <c r="C536"/>
      <c r="D536"/>
      <c r="E536"/>
      <c r="F536"/>
    </row>
    <row r="537" spans="1:6" ht="15" x14ac:dyDescent="0.25">
      <c r="A537"/>
      <c r="B537"/>
      <c r="C537"/>
      <c r="D537"/>
      <c r="E537"/>
      <c r="F537"/>
    </row>
    <row r="538" spans="1:6" ht="15" x14ac:dyDescent="0.25">
      <c r="A538"/>
      <c r="B538"/>
      <c r="C538"/>
      <c r="D538"/>
      <c r="E538"/>
      <c r="F538"/>
    </row>
    <row r="539" spans="1:6" ht="15" x14ac:dyDescent="0.25">
      <c r="A539"/>
      <c r="B539"/>
      <c r="C539"/>
      <c r="D539"/>
      <c r="E539"/>
      <c r="F539"/>
    </row>
    <row r="540" spans="1:6" ht="15" x14ac:dyDescent="0.25">
      <c r="A540"/>
      <c r="B540" s="3"/>
      <c r="C540" s="3"/>
      <c r="D540" s="3"/>
      <c r="E540" s="3"/>
      <c r="F540" s="3"/>
    </row>
    <row r="541" spans="1:6" ht="15" x14ac:dyDescent="0.25">
      <c r="A541"/>
      <c r="B541"/>
      <c r="C541"/>
      <c r="D541"/>
      <c r="E541"/>
      <c r="F541"/>
    </row>
    <row r="542" spans="1:6" ht="15" x14ac:dyDescent="0.25">
      <c r="A542"/>
      <c r="B542"/>
      <c r="C542"/>
      <c r="D542"/>
      <c r="E542"/>
      <c r="F542"/>
    </row>
    <row r="543" spans="1:6" ht="15" x14ac:dyDescent="0.25">
      <c r="A543"/>
      <c r="B543"/>
      <c r="C543"/>
      <c r="D543"/>
      <c r="E543"/>
      <c r="F543"/>
    </row>
    <row r="544" spans="1:6" ht="15" x14ac:dyDescent="0.25">
      <c r="A544"/>
      <c r="B544"/>
      <c r="C544"/>
      <c r="D544"/>
      <c r="E544"/>
      <c r="F544"/>
    </row>
    <row r="545" spans="1:6" ht="15" x14ac:dyDescent="0.25">
      <c r="A545"/>
      <c r="B545"/>
      <c r="C545"/>
      <c r="D545"/>
      <c r="E545"/>
      <c r="F545"/>
    </row>
    <row r="546" spans="1:6" ht="15" x14ac:dyDescent="0.25">
      <c r="A546"/>
      <c r="B546"/>
      <c r="C546"/>
      <c r="D546"/>
      <c r="E546"/>
      <c r="F546"/>
    </row>
    <row r="547" spans="1:6" ht="15" x14ac:dyDescent="0.25">
      <c r="A547"/>
      <c r="B547"/>
      <c r="C547"/>
      <c r="D547"/>
      <c r="E547"/>
      <c r="F547"/>
    </row>
    <row r="548" spans="1:6" ht="15" x14ac:dyDescent="0.25">
      <c r="A548"/>
      <c r="B548"/>
      <c r="C548"/>
      <c r="D548"/>
      <c r="E548"/>
      <c r="F548"/>
    </row>
    <row r="549" spans="1:6" ht="15" x14ac:dyDescent="0.25">
      <c r="A549"/>
      <c r="B549"/>
      <c r="C549"/>
      <c r="D549"/>
      <c r="E549"/>
      <c r="F549"/>
    </row>
    <row r="550" spans="1:6" ht="15" x14ac:dyDescent="0.25">
      <c r="A550"/>
      <c r="B550"/>
      <c r="C550"/>
      <c r="D550"/>
      <c r="E550"/>
      <c r="F550"/>
    </row>
    <row r="551" spans="1:6" ht="15" x14ac:dyDescent="0.25">
      <c r="A551"/>
      <c r="B551"/>
      <c r="C551"/>
      <c r="D551"/>
      <c r="E551"/>
      <c r="F551"/>
    </row>
    <row r="552" spans="1:6" ht="15" x14ac:dyDescent="0.25">
      <c r="A552"/>
      <c r="B552"/>
      <c r="C552"/>
      <c r="D552"/>
      <c r="E552"/>
      <c r="F552"/>
    </row>
    <row r="553" spans="1:6" ht="15" x14ac:dyDescent="0.25">
      <c r="A553"/>
      <c r="B553"/>
      <c r="C553"/>
      <c r="D553"/>
      <c r="E553"/>
      <c r="F553"/>
    </row>
    <row r="554" spans="1:6" ht="15" x14ac:dyDescent="0.25">
      <c r="A554"/>
      <c r="B554"/>
      <c r="C554"/>
      <c r="D554"/>
      <c r="E554"/>
      <c r="F554"/>
    </row>
    <row r="555" spans="1:6" ht="15" x14ac:dyDescent="0.25">
      <c r="A555"/>
      <c r="B555"/>
      <c r="C555"/>
      <c r="D555"/>
      <c r="E555"/>
      <c r="F555"/>
    </row>
    <row r="556" spans="1:6" ht="15" x14ac:dyDescent="0.25">
      <c r="A556"/>
      <c r="B556"/>
      <c r="C556"/>
      <c r="D556"/>
      <c r="E556"/>
      <c r="F556"/>
    </row>
    <row r="557" spans="1:6" ht="15" x14ac:dyDescent="0.25">
      <c r="A557"/>
      <c r="B557"/>
      <c r="C557"/>
      <c r="D557"/>
      <c r="E557"/>
      <c r="F557"/>
    </row>
    <row r="558" spans="1:6" ht="15" x14ac:dyDescent="0.25">
      <c r="A558"/>
      <c r="B558"/>
      <c r="C558"/>
      <c r="D558"/>
      <c r="E558"/>
      <c r="F558"/>
    </row>
    <row r="559" spans="1:6" ht="15" x14ac:dyDescent="0.25">
      <c r="A559"/>
      <c r="B559"/>
      <c r="C559"/>
      <c r="D559"/>
      <c r="E559"/>
      <c r="F559"/>
    </row>
    <row r="560" spans="1:6" ht="15" x14ac:dyDescent="0.25">
      <c r="A560"/>
      <c r="B560"/>
      <c r="C560"/>
      <c r="D560"/>
      <c r="E560"/>
      <c r="F560"/>
    </row>
    <row r="561" spans="1:6" ht="15" x14ac:dyDescent="0.25">
      <c r="A561"/>
      <c r="B561"/>
      <c r="C561"/>
      <c r="D561"/>
      <c r="E561"/>
      <c r="F561"/>
    </row>
    <row r="562" spans="1:6" ht="15" x14ac:dyDescent="0.25">
      <c r="A562"/>
      <c r="B562"/>
      <c r="C562"/>
      <c r="D562"/>
      <c r="E562"/>
      <c r="F562"/>
    </row>
    <row r="563" spans="1:6" ht="15" x14ac:dyDescent="0.25">
      <c r="A563"/>
      <c r="B563"/>
      <c r="C563"/>
      <c r="D563"/>
      <c r="E563"/>
      <c r="F563"/>
    </row>
    <row r="564" spans="1:6" ht="15" x14ac:dyDescent="0.25">
      <c r="A564"/>
      <c r="B564"/>
      <c r="C564"/>
      <c r="D564"/>
      <c r="E564"/>
      <c r="F564"/>
    </row>
    <row r="565" spans="1:6" ht="15" x14ac:dyDescent="0.25">
      <c r="A565"/>
      <c r="B565"/>
      <c r="C565"/>
      <c r="D565"/>
      <c r="E565"/>
      <c r="F565"/>
    </row>
    <row r="566" spans="1:6" ht="15" x14ac:dyDescent="0.25">
      <c r="A566"/>
      <c r="B566"/>
      <c r="C566"/>
      <c r="D566"/>
      <c r="E566"/>
      <c r="F566"/>
    </row>
    <row r="567" spans="1:6" ht="15" x14ac:dyDescent="0.25">
      <c r="A567"/>
      <c r="B567"/>
      <c r="C567"/>
      <c r="D567"/>
      <c r="E567"/>
      <c r="F567"/>
    </row>
    <row r="568" spans="1:6" ht="15" x14ac:dyDescent="0.25">
      <c r="A568"/>
      <c r="B568"/>
      <c r="C568"/>
      <c r="D568"/>
      <c r="E568"/>
      <c r="F568"/>
    </row>
    <row r="569" spans="1:6" ht="15" x14ac:dyDescent="0.25">
      <c r="A569"/>
      <c r="B569"/>
      <c r="C569"/>
      <c r="D569"/>
      <c r="E569"/>
      <c r="F569"/>
    </row>
    <row r="570" spans="1:6" ht="15" x14ac:dyDescent="0.25">
      <c r="A570"/>
      <c r="B570"/>
      <c r="C570"/>
      <c r="D570"/>
      <c r="E570"/>
      <c r="F570"/>
    </row>
    <row r="571" spans="1:6" ht="15" x14ac:dyDescent="0.25">
      <c r="A571"/>
      <c r="B571"/>
      <c r="C571"/>
      <c r="D571"/>
      <c r="E571"/>
      <c r="F571"/>
    </row>
    <row r="572" spans="1:6" ht="15" x14ac:dyDescent="0.25">
      <c r="A572"/>
      <c r="B572"/>
      <c r="C572"/>
      <c r="D572"/>
      <c r="E572"/>
      <c r="F572"/>
    </row>
    <row r="573" spans="1:6" ht="15" x14ac:dyDescent="0.25">
      <c r="A573"/>
      <c r="B573"/>
      <c r="C573"/>
      <c r="D573"/>
      <c r="E573"/>
      <c r="F573"/>
    </row>
    <row r="574" spans="1:6" ht="15" x14ac:dyDescent="0.25">
      <c r="A574"/>
      <c r="B574"/>
      <c r="C574"/>
      <c r="D574"/>
      <c r="E574"/>
      <c r="F574"/>
    </row>
    <row r="575" spans="1:6" ht="15" x14ac:dyDescent="0.25">
      <c r="A575"/>
      <c r="B575"/>
      <c r="C575"/>
      <c r="D575"/>
      <c r="E575"/>
      <c r="F575"/>
    </row>
    <row r="576" spans="1:6" ht="15" x14ac:dyDescent="0.25">
      <c r="A576"/>
      <c r="B576"/>
      <c r="C576"/>
      <c r="D576"/>
      <c r="E576"/>
      <c r="F576"/>
    </row>
    <row r="577" spans="1:6" ht="15" x14ac:dyDescent="0.25">
      <c r="A577"/>
      <c r="B577"/>
      <c r="C577"/>
      <c r="D577"/>
      <c r="E577"/>
      <c r="F577"/>
    </row>
    <row r="578" spans="1:6" ht="15" x14ac:dyDescent="0.25">
      <c r="A578"/>
      <c r="B578"/>
      <c r="C578"/>
      <c r="D578"/>
      <c r="E578"/>
      <c r="F578"/>
    </row>
    <row r="579" spans="1:6" ht="15" x14ac:dyDescent="0.25">
      <c r="A579"/>
      <c r="B579"/>
      <c r="C579"/>
      <c r="D579"/>
      <c r="E579"/>
      <c r="F579"/>
    </row>
    <row r="580" spans="1:6" ht="15" x14ac:dyDescent="0.25">
      <c r="A580"/>
      <c r="B580"/>
      <c r="C580"/>
      <c r="D580"/>
      <c r="E580"/>
      <c r="F580"/>
    </row>
    <row r="581" spans="1:6" ht="15" x14ac:dyDescent="0.25">
      <c r="A581"/>
      <c r="B581"/>
      <c r="C581"/>
      <c r="D581"/>
      <c r="E581"/>
      <c r="F581"/>
    </row>
    <row r="582" spans="1:6" ht="15" x14ac:dyDescent="0.25">
      <c r="A582"/>
      <c r="B582"/>
      <c r="C582"/>
      <c r="D582"/>
      <c r="E582"/>
      <c r="F582"/>
    </row>
    <row r="583" spans="1:6" ht="15" x14ac:dyDescent="0.25">
      <c r="A583"/>
      <c r="B583"/>
      <c r="C583"/>
      <c r="D583"/>
      <c r="E583"/>
      <c r="F583"/>
    </row>
    <row r="584" spans="1:6" ht="15" x14ac:dyDescent="0.25">
      <c r="A584"/>
      <c r="B584"/>
      <c r="C584"/>
      <c r="D584"/>
      <c r="E584"/>
      <c r="F584"/>
    </row>
    <row r="585" spans="1:6" ht="15" x14ac:dyDescent="0.25">
      <c r="A585"/>
      <c r="B585"/>
      <c r="C585"/>
      <c r="D585"/>
      <c r="E585"/>
      <c r="F585"/>
    </row>
    <row r="586" spans="1:6" ht="15" x14ac:dyDescent="0.25">
      <c r="A586"/>
      <c r="B586"/>
      <c r="C586"/>
      <c r="D586"/>
      <c r="E586"/>
      <c r="F586"/>
    </row>
    <row r="587" spans="1:6" ht="15" x14ac:dyDescent="0.25">
      <c r="A587"/>
      <c r="B587"/>
      <c r="C587"/>
      <c r="D587"/>
      <c r="E587"/>
      <c r="F587"/>
    </row>
    <row r="588" spans="1:6" ht="15" x14ac:dyDescent="0.25">
      <c r="A588"/>
      <c r="B588"/>
      <c r="C588"/>
      <c r="D588"/>
      <c r="E588"/>
      <c r="F588"/>
    </row>
    <row r="589" spans="1:6" ht="15" x14ac:dyDescent="0.25">
      <c r="A589"/>
      <c r="B589"/>
      <c r="C589"/>
      <c r="D589"/>
      <c r="E589"/>
      <c r="F589"/>
    </row>
    <row r="590" spans="1:6" ht="15" x14ac:dyDescent="0.25">
      <c r="A590"/>
      <c r="B590"/>
      <c r="C590"/>
      <c r="D590"/>
      <c r="E590"/>
      <c r="F590"/>
    </row>
    <row r="591" spans="1:6" ht="15" x14ac:dyDescent="0.25">
      <c r="A591"/>
      <c r="B591"/>
      <c r="C591"/>
      <c r="D591"/>
      <c r="E591"/>
      <c r="F591"/>
    </row>
    <row r="592" spans="1:6" ht="15" x14ac:dyDescent="0.25">
      <c r="A592"/>
      <c r="B592"/>
      <c r="C592"/>
      <c r="D592"/>
      <c r="E592"/>
      <c r="F592"/>
    </row>
    <row r="593" spans="1:6" ht="15" x14ac:dyDescent="0.25">
      <c r="A593"/>
      <c r="B593"/>
      <c r="C593"/>
      <c r="D593"/>
      <c r="E593"/>
      <c r="F593"/>
    </row>
    <row r="594" spans="1:6" ht="15" x14ac:dyDescent="0.25">
      <c r="A594"/>
      <c r="B594"/>
      <c r="C594"/>
      <c r="D594"/>
      <c r="E594"/>
      <c r="F594"/>
    </row>
    <row r="595" spans="1:6" ht="15" x14ac:dyDescent="0.25">
      <c r="A595"/>
      <c r="B595"/>
      <c r="C595"/>
      <c r="D595"/>
      <c r="E595"/>
      <c r="F595"/>
    </row>
    <row r="596" spans="1:6" ht="15" x14ac:dyDescent="0.25">
      <c r="A596"/>
      <c r="B596"/>
      <c r="C596"/>
      <c r="D596"/>
      <c r="E596"/>
      <c r="F596"/>
    </row>
    <row r="597" spans="1:6" ht="15" x14ac:dyDescent="0.25">
      <c r="A597"/>
      <c r="B597"/>
      <c r="C597"/>
      <c r="D597"/>
      <c r="E597"/>
      <c r="F597"/>
    </row>
    <row r="598" spans="1:6" ht="15" x14ac:dyDescent="0.25">
      <c r="A598"/>
      <c r="B598"/>
      <c r="C598"/>
      <c r="D598"/>
      <c r="E598"/>
      <c r="F598"/>
    </row>
    <row r="599" spans="1:6" ht="15" x14ac:dyDescent="0.25">
      <c r="A599"/>
      <c r="B599"/>
      <c r="C599"/>
      <c r="D599"/>
      <c r="E599"/>
      <c r="F599"/>
    </row>
    <row r="600" spans="1:6" ht="15" x14ac:dyDescent="0.25">
      <c r="A600"/>
      <c r="B600"/>
      <c r="C600"/>
      <c r="D600"/>
      <c r="E600"/>
      <c r="F600"/>
    </row>
    <row r="601" spans="1:6" ht="15" x14ac:dyDescent="0.25">
      <c r="A601"/>
      <c r="B601"/>
      <c r="C601"/>
      <c r="D601"/>
      <c r="E601"/>
      <c r="F601"/>
    </row>
    <row r="602" spans="1:6" ht="15" x14ac:dyDescent="0.25">
      <c r="A602"/>
      <c r="B602"/>
      <c r="C602"/>
      <c r="D602"/>
      <c r="E602"/>
      <c r="F602"/>
    </row>
    <row r="603" spans="1:6" ht="15" x14ac:dyDescent="0.25">
      <c r="A603"/>
      <c r="B603"/>
      <c r="C603"/>
      <c r="D603"/>
      <c r="E603"/>
      <c r="F603"/>
    </row>
    <row r="604" spans="1:6" ht="15" x14ac:dyDescent="0.25">
      <c r="A604"/>
      <c r="B604"/>
      <c r="C604"/>
      <c r="D604"/>
      <c r="E604"/>
      <c r="F604"/>
    </row>
    <row r="605" spans="1:6" ht="15" x14ac:dyDescent="0.25">
      <c r="A605"/>
      <c r="B605"/>
      <c r="C605"/>
      <c r="D605"/>
      <c r="E605"/>
      <c r="F605"/>
    </row>
    <row r="606" spans="1:6" ht="15" x14ac:dyDescent="0.25">
      <c r="A606"/>
      <c r="B606"/>
      <c r="C606"/>
      <c r="D606"/>
      <c r="E606"/>
      <c r="F606"/>
    </row>
    <row r="607" spans="1:6" ht="15" x14ac:dyDescent="0.25">
      <c r="A607"/>
      <c r="B607"/>
      <c r="C607"/>
      <c r="D607"/>
      <c r="E607"/>
      <c r="F607"/>
    </row>
    <row r="608" spans="1:6" ht="15" x14ac:dyDescent="0.25">
      <c r="A608"/>
      <c r="B608"/>
      <c r="C608"/>
      <c r="D608"/>
      <c r="E608"/>
      <c r="F608"/>
    </row>
    <row r="609" spans="1:6" ht="15" x14ac:dyDescent="0.25">
      <c r="A609"/>
      <c r="B609"/>
      <c r="C609"/>
      <c r="D609"/>
      <c r="E609"/>
      <c r="F609"/>
    </row>
    <row r="610" spans="1:6" ht="15" x14ac:dyDescent="0.25">
      <c r="A610"/>
      <c r="B610"/>
      <c r="C610"/>
      <c r="D610"/>
      <c r="E610"/>
      <c r="F610"/>
    </row>
    <row r="611" spans="1:6" ht="15" x14ac:dyDescent="0.25">
      <c r="A611"/>
      <c r="B611"/>
      <c r="C611"/>
      <c r="D611"/>
      <c r="E611"/>
      <c r="F611"/>
    </row>
    <row r="612" spans="1:6" ht="15" x14ac:dyDescent="0.25">
      <c r="A612"/>
      <c r="B612"/>
      <c r="C612"/>
      <c r="D612"/>
      <c r="E612"/>
      <c r="F612"/>
    </row>
    <row r="613" spans="1:6" ht="15" x14ac:dyDescent="0.25">
      <c r="A613"/>
      <c r="B613"/>
      <c r="C613"/>
      <c r="D613"/>
      <c r="E613"/>
      <c r="F613"/>
    </row>
    <row r="614" spans="1:6" ht="15" x14ac:dyDescent="0.25">
      <c r="A614"/>
      <c r="B614"/>
      <c r="C614"/>
      <c r="D614"/>
      <c r="E614"/>
      <c r="F614"/>
    </row>
    <row r="615" spans="1:6" ht="15" x14ac:dyDescent="0.25">
      <c r="A615"/>
      <c r="B615"/>
      <c r="C615"/>
      <c r="D615"/>
      <c r="E615"/>
      <c r="F615"/>
    </row>
    <row r="616" spans="1:6" ht="15" x14ac:dyDescent="0.25">
      <c r="A616"/>
      <c r="B616"/>
      <c r="C616"/>
      <c r="D616"/>
      <c r="E616"/>
      <c r="F616"/>
    </row>
    <row r="617" spans="1:6" ht="15" x14ac:dyDescent="0.25">
      <c r="A617"/>
      <c r="B617"/>
      <c r="C617"/>
      <c r="D617"/>
      <c r="E617"/>
      <c r="F617"/>
    </row>
    <row r="618" spans="1:6" ht="15" x14ac:dyDescent="0.25">
      <c r="A618"/>
      <c r="B618"/>
      <c r="C618"/>
      <c r="D618"/>
      <c r="E618"/>
      <c r="F618"/>
    </row>
    <row r="619" spans="1:6" ht="15" x14ac:dyDescent="0.25">
      <c r="A619"/>
      <c r="B619"/>
      <c r="C619"/>
      <c r="D619"/>
      <c r="E619"/>
      <c r="F619"/>
    </row>
    <row r="620" spans="1:6" ht="15" x14ac:dyDescent="0.25">
      <c r="A620"/>
      <c r="B620"/>
      <c r="C620"/>
      <c r="D620"/>
      <c r="E620"/>
      <c r="F620"/>
    </row>
    <row r="621" spans="1:6" ht="15" x14ac:dyDescent="0.25">
      <c r="A621"/>
      <c r="B621"/>
      <c r="C621"/>
      <c r="D621"/>
      <c r="E621"/>
      <c r="F621"/>
    </row>
    <row r="622" spans="1:6" ht="15" x14ac:dyDescent="0.25">
      <c r="A622"/>
      <c r="B622"/>
      <c r="C622"/>
      <c r="D622"/>
      <c r="E622"/>
      <c r="F622"/>
    </row>
    <row r="623" spans="1:6" ht="15" x14ac:dyDescent="0.25">
      <c r="A623"/>
      <c r="B623"/>
      <c r="C623"/>
      <c r="D623"/>
      <c r="E623"/>
      <c r="F623"/>
    </row>
    <row r="624" spans="1:6" ht="15" x14ac:dyDescent="0.25">
      <c r="A624"/>
      <c r="B624"/>
      <c r="C624"/>
      <c r="D624"/>
      <c r="E624"/>
      <c r="F624"/>
    </row>
    <row r="625" spans="1:6" ht="15" x14ac:dyDescent="0.25">
      <c r="A625"/>
      <c r="B625"/>
      <c r="C625"/>
      <c r="D625"/>
      <c r="E625"/>
      <c r="F625"/>
    </row>
    <row r="626" spans="1:6" ht="15" x14ac:dyDescent="0.25">
      <c r="A626"/>
      <c r="B626"/>
      <c r="C626"/>
      <c r="D626"/>
      <c r="E626"/>
      <c r="F626"/>
    </row>
    <row r="627" spans="1:6" ht="15" x14ac:dyDescent="0.25">
      <c r="A627"/>
      <c r="B627"/>
      <c r="C627"/>
      <c r="D627"/>
      <c r="E627"/>
      <c r="F627"/>
    </row>
    <row r="628" spans="1:6" ht="15" x14ac:dyDescent="0.25">
      <c r="A628"/>
      <c r="B628"/>
      <c r="C628"/>
      <c r="D628"/>
      <c r="E628"/>
      <c r="F628"/>
    </row>
    <row r="629" spans="1:6" ht="15" x14ac:dyDescent="0.25">
      <c r="A629"/>
      <c r="B629"/>
      <c r="C629"/>
      <c r="D629"/>
      <c r="E629"/>
      <c r="F629"/>
    </row>
    <row r="630" spans="1:6" ht="15" x14ac:dyDescent="0.25">
      <c r="A630"/>
      <c r="B630"/>
      <c r="C630"/>
      <c r="D630"/>
      <c r="E630"/>
      <c r="F630"/>
    </row>
    <row r="631" spans="1:6" ht="15" x14ac:dyDescent="0.25">
      <c r="A631"/>
      <c r="B631"/>
      <c r="C631"/>
      <c r="D631"/>
      <c r="E631"/>
      <c r="F631"/>
    </row>
    <row r="632" spans="1:6" ht="15" x14ac:dyDescent="0.25">
      <c r="A632"/>
      <c r="B632"/>
      <c r="C632"/>
      <c r="D632"/>
      <c r="E632"/>
      <c r="F632"/>
    </row>
    <row r="633" spans="1:6" ht="15" x14ac:dyDescent="0.25">
      <c r="A633"/>
      <c r="B633"/>
      <c r="C633"/>
      <c r="D633"/>
      <c r="E633"/>
      <c r="F633"/>
    </row>
    <row r="634" spans="1:6" ht="15" x14ac:dyDescent="0.25">
      <c r="A634"/>
      <c r="B634"/>
      <c r="C634"/>
      <c r="D634"/>
      <c r="E634"/>
      <c r="F634"/>
    </row>
    <row r="635" spans="1:6" ht="15" x14ac:dyDescent="0.25">
      <c r="A635"/>
      <c r="B635"/>
      <c r="C635"/>
      <c r="D635"/>
      <c r="E635"/>
      <c r="F635"/>
    </row>
    <row r="636" spans="1:6" ht="15" x14ac:dyDescent="0.25">
      <c r="A636"/>
      <c r="B636"/>
      <c r="C636"/>
      <c r="D636"/>
      <c r="E636"/>
      <c r="F636"/>
    </row>
    <row r="637" spans="1:6" ht="15" x14ac:dyDescent="0.25">
      <c r="A637"/>
      <c r="B637"/>
      <c r="C637"/>
      <c r="D637"/>
      <c r="E637"/>
      <c r="F637"/>
    </row>
    <row r="638" spans="1:6" ht="15" x14ac:dyDescent="0.25">
      <c r="A638"/>
      <c r="B638"/>
      <c r="C638"/>
      <c r="D638"/>
      <c r="E638"/>
      <c r="F638"/>
    </row>
    <row r="639" spans="1:6" ht="15" x14ac:dyDescent="0.25">
      <c r="A639"/>
      <c r="B639"/>
      <c r="C639"/>
      <c r="D639"/>
      <c r="E639"/>
      <c r="F639"/>
    </row>
    <row r="640" spans="1:6" ht="15" x14ac:dyDescent="0.25">
      <c r="A640"/>
      <c r="B640"/>
      <c r="C640"/>
      <c r="D640"/>
      <c r="E640"/>
      <c r="F640"/>
    </row>
    <row r="641" spans="1:6" ht="15" x14ac:dyDescent="0.25">
      <c r="A641"/>
      <c r="B641"/>
      <c r="C641"/>
      <c r="D641"/>
      <c r="E641"/>
      <c r="F641"/>
    </row>
    <row r="642" spans="1:6" ht="15" x14ac:dyDescent="0.25">
      <c r="A642"/>
      <c r="B642"/>
      <c r="C642"/>
      <c r="D642"/>
      <c r="E642"/>
      <c r="F642"/>
    </row>
    <row r="643" spans="1:6" ht="15" x14ac:dyDescent="0.25">
      <c r="A643"/>
      <c r="B643"/>
      <c r="C643"/>
      <c r="D643"/>
      <c r="E643"/>
      <c r="F643"/>
    </row>
    <row r="644" spans="1:6" ht="15" x14ac:dyDescent="0.25">
      <c r="A644"/>
      <c r="B644"/>
      <c r="C644"/>
      <c r="D644"/>
      <c r="E644"/>
      <c r="F644"/>
    </row>
    <row r="645" spans="1:6" ht="15" x14ac:dyDescent="0.25">
      <c r="A645"/>
      <c r="B645"/>
      <c r="C645"/>
      <c r="D645"/>
      <c r="E645"/>
      <c r="F645"/>
    </row>
    <row r="646" spans="1:6" ht="15" x14ac:dyDescent="0.25">
      <c r="A646"/>
      <c r="B646"/>
      <c r="C646"/>
      <c r="D646"/>
      <c r="E646"/>
      <c r="F646"/>
    </row>
    <row r="647" spans="1:6" ht="15" x14ac:dyDescent="0.25">
      <c r="A647"/>
      <c r="B647"/>
      <c r="C647"/>
      <c r="D647"/>
      <c r="E647"/>
      <c r="F647"/>
    </row>
    <row r="648" spans="1:6" ht="15" x14ac:dyDescent="0.25">
      <c r="A648"/>
      <c r="B648"/>
      <c r="C648"/>
      <c r="D648"/>
      <c r="E648"/>
      <c r="F648"/>
    </row>
    <row r="649" spans="1:6" ht="15" x14ac:dyDescent="0.25">
      <c r="A649"/>
      <c r="B649"/>
      <c r="C649"/>
      <c r="D649"/>
      <c r="E649"/>
      <c r="F649"/>
    </row>
    <row r="650" spans="1:6" ht="15" x14ac:dyDescent="0.25">
      <c r="A650"/>
      <c r="B650"/>
      <c r="C650"/>
      <c r="D650"/>
      <c r="E650"/>
      <c r="F650"/>
    </row>
    <row r="651" spans="1:6" ht="15" x14ac:dyDescent="0.25">
      <c r="A651"/>
      <c r="B651"/>
      <c r="C651"/>
      <c r="D651"/>
      <c r="E651"/>
      <c r="F651"/>
    </row>
    <row r="652" spans="1:6" ht="15" x14ac:dyDescent="0.25">
      <c r="A652"/>
      <c r="B652"/>
      <c r="C652"/>
      <c r="D652"/>
      <c r="E652"/>
      <c r="F652"/>
    </row>
    <row r="653" spans="1:6" ht="15" x14ac:dyDescent="0.25">
      <c r="A653"/>
      <c r="B653"/>
      <c r="C653"/>
      <c r="D653"/>
      <c r="E653"/>
      <c r="F653"/>
    </row>
    <row r="654" spans="1:6" ht="15" x14ac:dyDescent="0.25">
      <c r="A654"/>
      <c r="B654"/>
      <c r="C654"/>
      <c r="D654"/>
      <c r="E654"/>
      <c r="F654"/>
    </row>
    <row r="655" spans="1:6" ht="15" x14ac:dyDescent="0.25">
      <c r="A655"/>
      <c r="B655"/>
      <c r="C655"/>
      <c r="D655"/>
      <c r="E655"/>
      <c r="F655"/>
    </row>
    <row r="656" spans="1:6" ht="15" x14ac:dyDescent="0.25">
      <c r="A656"/>
      <c r="B656"/>
      <c r="C656"/>
      <c r="D656"/>
      <c r="E656"/>
      <c r="F656"/>
    </row>
    <row r="657" spans="1:6" ht="15" x14ac:dyDescent="0.25">
      <c r="A657"/>
      <c r="B657"/>
      <c r="C657"/>
      <c r="D657"/>
      <c r="E657"/>
      <c r="F657"/>
    </row>
    <row r="658" spans="1:6" ht="15" x14ac:dyDescent="0.25">
      <c r="A658"/>
      <c r="B658"/>
      <c r="C658"/>
      <c r="D658"/>
      <c r="E658"/>
      <c r="F658"/>
    </row>
    <row r="659" spans="1:6" ht="15" x14ac:dyDescent="0.25">
      <c r="A659"/>
      <c r="B659"/>
      <c r="C659"/>
      <c r="D659"/>
      <c r="E659"/>
      <c r="F659"/>
    </row>
    <row r="660" spans="1:6" ht="15" x14ac:dyDescent="0.25">
      <c r="A660"/>
      <c r="B660"/>
      <c r="C660"/>
      <c r="D660"/>
      <c r="E660"/>
      <c r="F660"/>
    </row>
    <row r="661" spans="1:6" ht="15" x14ac:dyDescent="0.25">
      <c r="A661"/>
      <c r="B661"/>
      <c r="C661"/>
      <c r="D661"/>
      <c r="E661"/>
      <c r="F661"/>
    </row>
    <row r="662" spans="1:6" ht="15" x14ac:dyDescent="0.25">
      <c r="A662"/>
      <c r="B662"/>
      <c r="C662"/>
      <c r="D662"/>
      <c r="E662"/>
      <c r="F662"/>
    </row>
    <row r="663" spans="1:6" ht="15" x14ac:dyDescent="0.25">
      <c r="A663"/>
      <c r="B663"/>
      <c r="C663"/>
      <c r="D663"/>
      <c r="E663"/>
      <c r="F663"/>
    </row>
    <row r="664" spans="1:6" ht="15" x14ac:dyDescent="0.25">
      <c r="A664"/>
      <c r="B664"/>
      <c r="C664"/>
      <c r="D664"/>
      <c r="E664"/>
      <c r="F664"/>
    </row>
    <row r="665" spans="1:6" ht="15" x14ac:dyDescent="0.25">
      <c r="A665"/>
      <c r="B665"/>
      <c r="C665"/>
      <c r="D665"/>
      <c r="E665"/>
      <c r="F665"/>
    </row>
    <row r="666" spans="1:6" ht="15" x14ac:dyDescent="0.25">
      <c r="A666"/>
      <c r="B666"/>
      <c r="C666"/>
      <c r="D666"/>
      <c r="E666"/>
      <c r="F666"/>
    </row>
    <row r="667" spans="1:6" ht="15" x14ac:dyDescent="0.25">
      <c r="A667"/>
      <c r="B667"/>
      <c r="C667"/>
      <c r="D667"/>
      <c r="E667"/>
      <c r="F667"/>
    </row>
    <row r="668" spans="1:6" ht="15" x14ac:dyDescent="0.25">
      <c r="A668"/>
      <c r="B668"/>
      <c r="C668"/>
      <c r="D668"/>
      <c r="E668"/>
      <c r="F668"/>
    </row>
    <row r="669" spans="1:6" ht="15" x14ac:dyDescent="0.25">
      <c r="A669"/>
      <c r="B669"/>
      <c r="C669"/>
      <c r="D669"/>
      <c r="E669"/>
      <c r="F669"/>
    </row>
    <row r="670" spans="1:6" ht="15" x14ac:dyDescent="0.25">
      <c r="A670"/>
      <c r="B670"/>
      <c r="C670"/>
      <c r="D670"/>
      <c r="E670"/>
      <c r="F670"/>
    </row>
    <row r="671" spans="1:6" ht="15" x14ac:dyDescent="0.25">
      <c r="A671"/>
      <c r="B671"/>
      <c r="C671"/>
      <c r="D671"/>
      <c r="E671"/>
      <c r="F671"/>
    </row>
    <row r="672" spans="1:6" ht="15" x14ac:dyDescent="0.25">
      <c r="A672"/>
      <c r="B672"/>
      <c r="C672"/>
      <c r="D672"/>
      <c r="E672"/>
      <c r="F672"/>
    </row>
    <row r="673" spans="1:6" ht="15" x14ac:dyDescent="0.25">
      <c r="A673"/>
      <c r="B673"/>
      <c r="C673"/>
      <c r="D673"/>
      <c r="E673"/>
      <c r="F673"/>
    </row>
    <row r="674" spans="1:6" ht="15" x14ac:dyDescent="0.25">
      <c r="A674"/>
      <c r="B674"/>
      <c r="C674"/>
      <c r="D674"/>
      <c r="E674"/>
      <c r="F674"/>
    </row>
    <row r="675" spans="1:6" ht="15" x14ac:dyDescent="0.25">
      <c r="A675"/>
      <c r="B675"/>
      <c r="C675"/>
      <c r="D675"/>
      <c r="E675"/>
      <c r="F675"/>
    </row>
    <row r="676" spans="1:6" ht="15" x14ac:dyDescent="0.25">
      <c r="A676"/>
      <c r="B676"/>
      <c r="C676"/>
      <c r="D676"/>
      <c r="E676"/>
      <c r="F676"/>
    </row>
    <row r="677" spans="1:6" ht="15" x14ac:dyDescent="0.25">
      <c r="A677"/>
      <c r="B677"/>
      <c r="C677"/>
      <c r="D677"/>
      <c r="E677"/>
      <c r="F677"/>
    </row>
    <row r="678" spans="1:6" ht="15" x14ac:dyDescent="0.25">
      <c r="A678"/>
      <c r="B678"/>
      <c r="C678"/>
      <c r="D678"/>
      <c r="E678"/>
      <c r="F678"/>
    </row>
    <row r="679" spans="1:6" ht="15" x14ac:dyDescent="0.25">
      <c r="A679"/>
      <c r="B679"/>
      <c r="C679"/>
      <c r="D679"/>
      <c r="E679"/>
      <c r="F679"/>
    </row>
    <row r="680" spans="1:6" ht="15" x14ac:dyDescent="0.25">
      <c r="A680"/>
      <c r="B680"/>
      <c r="C680"/>
      <c r="D680"/>
      <c r="E680"/>
      <c r="F680"/>
    </row>
    <row r="681" spans="1:6" ht="15" x14ac:dyDescent="0.25">
      <c r="A681"/>
      <c r="B681"/>
      <c r="C681"/>
      <c r="D681"/>
      <c r="E681"/>
      <c r="F681"/>
    </row>
    <row r="682" spans="1:6" ht="15" x14ac:dyDescent="0.25">
      <c r="A682"/>
      <c r="B682"/>
      <c r="C682"/>
      <c r="D682"/>
      <c r="E682"/>
      <c r="F682"/>
    </row>
    <row r="683" spans="1:6" ht="15" x14ac:dyDescent="0.25">
      <c r="A683"/>
      <c r="B683"/>
      <c r="C683"/>
      <c r="D683"/>
      <c r="E683"/>
      <c r="F683"/>
    </row>
    <row r="684" spans="1:6" ht="15" x14ac:dyDescent="0.25">
      <c r="A684"/>
      <c r="B684"/>
      <c r="C684"/>
      <c r="D684"/>
      <c r="E684"/>
      <c r="F684"/>
    </row>
    <row r="685" spans="1:6" ht="15" x14ac:dyDescent="0.25">
      <c r="A685"/>
      <c r="B685"/>
      <c r="C685"/>
      <c r="D685"/>
      <c r="E685"/>
      <c r="F685"/>
    </row>
    <row r="686" spans="1:6" ht="15" x14ac:dyDescent="0.25">
      <c r="A686"/>
      <c r="B686"/>
      <c r="C686"/>
      <c r="D686"/>
      <c r="E686"/>
      <c r="F686"/>
    </row>
    <row r="687" spans="1:6" ht="15" x14ac:dyDescent="0.25">
      <c r="A687"/>
      <c r="B687"/>
      <c r="C687"/>
      <c r="D687"/>
      <c r="E687"/>
      <c r="F687"/>
    </row>
    <row r="688" spans="1:6" ht="15" x14ac:dyDescent="0.25">
      <c r="A688"/>
      <c r="B688"/>
      <c r="C688"/>
      <c r="D688"/>
      <c r="E688"/>
      <c r="F688"/>
    </row>
    <row r="689" spans="1:6" ht="15" x14ac:dyDescent="0.25">
      <c r="A689"/>
      <c r="B689"/>
      <c r="C689"/>
      <c r="D689"/>
      <c r="E689"/>
      <c r="F689"/>
    </row>
    <row r="690" spans="1:6" ht="15" x14ac:dyDescent="0.25">
      <c r="A690"/>
      <c r="B690"/>
      <c r="C690"/>
      <c r="D690"/>
      <c r="E690"/>
      <c r="F690"/>
    </row>
    <row r="691" spans="1:6" ht="15" x14ac:dyDescent="0.25">
      <c r="A691"/>
      <c r="B691"/>
      <c r="C691"/>
      <c r="D691"/>
      <c r="E691"/>
      <c r="F691"/>
    </row>
    <row r="692" spans="1:6" ht="15" x14ac:dyDescent="0.25">
      <c r="A692"/>
      <c r="B692"/>
      <c r="C692"/>
      <c r="D692"/>
      <c r="E692"/>
      <c r="F692"/>
    </row>
    <row r="693" spans="1:6" ht="15" x14ac:dyDescent="0.25">
      <c r="A693"/>
      <c r="B693"/>
      <c r="C693"/>
      <c r="D693"/>
      <c r="E693"/>
      <c r="F693"/>
    </row>
    <row r="694" spans="1:6" ht="15" x14ac:dyDescent="0.25">
      <c r="A694"/>
      <c r="B694"/>
      <c r="C694"/>
      <c r="D694"/>
      <c r="E694"/>
      <c r="F694"/>
    </row>
    <row r="695" spans="1:6" ht="15" x14ac:dyDescent="0.25">
      <c r="A695"/>
      <c r="B695"/>
      <c r="C695"/>
      <c r="D695"/>
      <c r="E695"/>
      <c r="F695"/>
    </row>
    <row r="696" spans="1:6" ht="15" x14ac:dyDescent="0.25">
      <c r="A696"/>
      <c r="B696"/>
      <c r="C696"/>
      <c r="D696"/>
      <c r="E696"/>
      <c r="F696"/>
    </row>
    <row r="697" spans="1:6" ht="15" x14ac:dyDescent="0.25">
      <c r="A697"/>
      <c r="B697"/>
      <c r="C697"/>
      <c r="D697"/>
      <c r="E697"/>
      <c r="F697"/>
    </row>
    <row r="698" spans="1:6" ht="15" x14ac:dyDescent="0.25">
      <c r="A698"/>
      <c r="B698"/>
      <c r="C698"/>
      <c r="D698"/>
      <c r="E698"/>
      <c r="F698"/>
    </row>
    <row r="699" spans="1:6" ht="15" x14ac:dyDescent="0.25">
      <c r="A699"/>
      <c r="B699"/>
      <c r="C699"/>
      <c r="D699"/>
      <c r="E699"/>
      <c r="F699"/>
    </row>
    <row r="700" spans="1:6" ht="15" x14ac:dyDescent="0.25">
      <c r="A700"/>
      <c r="B700"/>
      <c r="C700"/>
      <c r="D700"/>
      <c r="E700"/>
      <c r="F700"/>
    </row>
    <row r="701" spans="1:6" ht="15" x14ac:dyDescent="0.25">
      <c r="A701"/>
      <c r="B701"/>
      <c r="C701"/>
      <c r="D701"/>
      <c r="E701"/>
      <c r="F701"/>
    </row>
    <row r="702" spans="1:6" ht="15" x14ac:dyDescent="0.25">
      <c r="A702"/>
      <c r="B702"/>
      <c r="C702"/>
      <c r="D702"/>
      <c r="E702"/>
      <c r="F702"/>
    </row>
    <row r="703" spans="1:6" ht="15" x14ac:dyDescent="0.25">
      <c r="A703"/>
      <c r="B703"/>
      <c r="C703"/>
      <c r="D703"/>
      <c r="E703"/>
      <c r="F703"/>
    </row>
    <row r="704" spans="1:6" ht="15" x14ac:dyDescent="0.25">
      <c r="A704"/>
      <c r="B704"/>
      <c r="C704"/>
      <c r="D704"/>
      <c r="E704"/>
      <c r="F704"/>
    </row>
    <row r="705" spans="1:6" ht="15" x14ac:dyDescent="0.25">
      <c r="A705"/>
      <c r="B705"/>
      <c r="C705"/>
      <c r="D705"/>
      <c r="E705"/>
      <c r="F705"/>
    </row>
    <row r="706" spans="1:6" ht="15" x14ac:dyDescent="0.25">
      <c r="A706"/>
      <c r="B706"/>
      <c r="C706"/>
      <c r="D706"/>
      <c r="E706"/>
      <c r="F706"/>
    </row>
    <row r="707" spans="1:6" ht="15" x14ac:dyDescent="0.25">
      <c r="A707"/>
      <c r="B707"/>
      <c r="C707"/>
      <c r="D707"/>
      <c r="E707"/>
      <c r="F707"/>
    </row>
    <row r="708" spans="1:6" ht="15" x14ac:dyDescent="0.25">
      <c r="A708"/>
      <c r="B708"/>
      <c r="C708"/>
      <c r="D708"/>
      <c r="E708"/>
      <c r="F708"/>
    </row>
    <row r="709" spans="1:6" ht="15" x14ac:dyDescent="0.25">
      <c r="A709"/>
      <c r="B709"/>
      <c r="C709"/>
      <c r="D709"/>
      <c r="E709"/>
      <c r="F709"/>
    </row>
    <row r="710" spans="1:6" ht="15" x14ac:dyDescent="0.25">
      <c r="A710"/>
      <c r="B710"/>
      <c r="C710"/>
      <c r="D710"/>
      <c r="E710"/>
      <c r="F710"/>
    </row>
    <row r="711" spans="1:6" ht="15" x14ac:dyDescent="0.25">
      <c r="A711"/>
      <c r="B711"/>
      <c r="C711"/>
      <c r="D711"/>
      <c r="E711"/>
      <c r="F711"/>
    </row>
    <row r="712" spans="1:6" ht="15" x14ac:dyDescent="0.25">
      <c r="A712"/>
      <c r="B712"/>
      <c r="C712"/>
      <c r="D712"/>
      <c r="E712"/>
      <c r="F712"/>
    </row>
    <row r="713" spans="1:6" ht="15" x14ac:dyDescent="0.25">
      <c r="A713"/>
      <c r="B713"/>
      <c r="C713"/>
      <c r="D713"/>
      <c r="E713"/>
      <c r="F713"/>
    </row>
    <row r="714" spans="1:6" ht="15" x14ac:dyDescent="0.25">
      <c r="A714"/>
      <c r="B714"/>
      <c r="C714"/>
      <c r="D714"/>
      <c r="E714"/>
      <c r="F714"/>
    </row>
    <row r="715" spans="1:6" ht="15" x14ac:dyDescent="0.25">
      <c r="A715"/>
      <c r="B715"/>
      <c r="C715"/>
      <c r="D715"/>
      <c r="E715"/>
      <c r="F715"/>
    </row>
    <row r="716" spans="1:6" ht="15" x14ac:dyDescent="0.25">
      <c r="A716"/>
      <c r="B716"/>
      <c r="C716"/>
      <c r="D716"/>
      <c r="E716"/>
      <c r="F716"/>
    </row>
    <row r="717" spans="1:6" ht="15" x14ac:dyDescent="0.25">
      <c r="A717"/>
      <c r="B717"/>
      <c r="C717"/>
      <c r="D717"/>
      <c r="E717"/>
      <c r="F717"/>
    </row>
    <row r="718" spans="1:6" ht="15" x14ac:dyDescent="0.25">
      <c r="A718"/>
      <c r="B718"/>
      <c r="C718"/>
      <c r="D718"/>
      <c r="E718"/>
      <c r="F718"/>
    </row>
    <row r="719" spans="1:6" ht="15" x14ac:dyDescent="0.25">
      <c r="A719"/>
      <c r="B719"/>
      <c r="C719"/>
      <c r="D719"/>
      <c r="E719"/>
      <c r="F719"/>
    </row>
    <row r="720" spans="1:6" ht="15" x14ac:dyDescent="0.25">
      <c r="A720"/>
      <c r="B720"/>
      <c r="C720"/>
      <c r="D720"/>
      <c r="E720"/>
      <c r="F720"/>
    </row>
    <row r="721" spans="1:6" ht="15" x14ac:dyDescent="0.25">
      <c r="A721"/>
      <c r="B721"/>
      <c r="C721"/>
      <c r="D721"/>
      <c r="E721"/>
      <c r="F721"/>
    </row>
    <row r="722" spans="1:6" ht="15" x14ac:dyDescent="0.25">
      <c r="A722"/>
      <c r="B722"/>
      <c r="C722"/>
      <c r="D722"/>
      <c r="E722"/>
      <c r="F722"/>
    </row>
    <row r="723" spans="1:6" ht="15" x14ac:dyDescent="0.25">
      <c r="A723"/>
      <c r="B723"/>
      <c r="C723"/>
      <c r="D723"/>
      <c r="E723"/>
      <c r="F723"/>
    </row>
    <row r="724" spans="1:6" ht="15" x14ac:dyDescent="0.25">
      <c r="A724"/>
      <c r="B724"/>
      <c r="C724"/>
      <c r="D724"/>
      <c r="E724"/>
      <c r="F724"/>
    </row>
    <row r="725" spans="1:6" ht="15" x14ac:dyDescent="0.25">
      <c r="A725"/>
      <c r="B725"/>
      <c r="C725"/>
      <c r="D725"/>
      <c r="E725"/>
      <c r="F725"/>
    </row>
    <row r="726" spans="1:6" ht="15" x14ac:dyDescent="0.25">
      <c r="A726"/>
      <c r="B726"/>
      <c r="C726"/>
      <c r="D726"/>
      <c r="E726"/>
      <c r="F726"/>
    </row>
    <row r="727" spans="1:6" ht="15" x14ac:dyDescent="0.25">
      <c r="A727"/>
      <c r="B727"/>
      <c r="C727"/>
      <c r="D727"/>
      <c r="E727"/>
      <c r="F727"/>
    </row>
    <row r="728" spans="1:6" ht="15" x14ac:dyDescent="0.25">
      <c r="A728"/>
      <c r="B728"/>
      <c r="C728"/>
      <c r="D728"/>
      <c r="E728"/>
      <c r="F728"/>
    </row>
    <row r="729" spans="1:6" ht="15" x14ac:dyDescent="0.25">
      <c r="A729"/>
      <c r="B729"/>
      <c r="C729"/>
      <c r="D729"/>
      <c r="E729"/>
      <c r="F729"/>
    </row>
    <row r="730" spans="1:6" ht="15" x14ac:dyDescent="0.25">
      <c r="A730"/>
      <c r="B730"/>
      <c r="C730"/>
      <c r="D730"/>
      <c r="E730"/>
      <c r="F730"/>
    </row>
    <row r="731" spans="1:6" ht="15" x14ac:dyDescent="0.25">
      <c r="A731"/>
      <c r="B731"/>
      <c r="C731"/>
      <c r="D731"/>
      <c r="E731"/>
      <c r="F731"/>
    </row>
    <row r="732" spans="1:6" ht="15" x14ac:dyDescent="0.25">
      <c r="A732"/>
      <c r="B732"/>
      <c r="C732"/>
      <c r="D732"/>
      <c r="E732"/>
      <c r="F732"/>
    </row>
    <row r="733" spans="1:6" ht="15" x14ac:dyDescent="0.25">
      <c r="A733"/>
      <c r="B733"/>
      <c r="C733"/>
      <c r="D733"/>
      <c r="E733"/>
      <c r="F733"/>
    </row>
    <row r="734" spans="1:6" ht="15" x14ac:dyDescent="0.25">
      <c r="A734"/>
      <c r="B734"/>
      <c r="C734"/>
      <c r="D734"/>
      <c r="E734"/>
      <c r="F734"/>
    </row>
    <row r="735" spans="1:6" ht="15" x14ac:dyDescent="0.25">
      <c r="A735"/>
      <c r="B735"/>
      <c r="C735"/>
      <c r="D735"/>
      <c r="E735"/>
      <c r="F735"/>
    </row>
    <row r="736" spans="1:6" ht="15" x14ac:dyDescent="0.25">
      <c r="A736"/>
      <c r="B736"/>
      <c r="C736"/>
      <c r="D736"/>
      <c r="E736"/>
      <c r="F736"/>
    </row>
    <row r="737" spans="1:6" ht="15" x14ac:dyDescent="0.25">
      <c r="A737"/>
      <c r="B737"/>
      <c r="C737"/>
      <c r="D737"/>
      <c r="E737"/>
      <c r="F737"/>
    </row>
    <row r="738" spans="1:6" ht="15" x14ac:dyDescent="0.25">
      <c r="A738"/>
      <c r="B738"/>
      <c r="C738"/>
      <c r="D738"/>
      <c r="E738"/>
      <c r="F738"/>
    </row>
    <row r="739" spans="1:6" ht="15" x14ac:dyDescent="0.25">
      <c r="A739"/>
      <c r="B739"/>
      <c r="C739"/>
      <c r="D739"/>
      <c r="E739"/>
      <c r="F739"/>
    </row>
    <row r="740" spans="1:6" ht="15" x14ac:dyDescent="0.25">
      <c r="A740"/>
      <c r="B740"/>
      <c r="C740"/>
      <c r="D740"/>
      <c r="E740"/>
      <c r="F740"/>
    </row>
    <row r="741" spans="1:6" ht="15" x14ac:dyDescent="0.25">
      <c r="A741"/>
      <c r="B741"/>
      <c r="C741"/>
      <c r="D741"/>
      <c r="E741"/>
      <c r="F741"/>
    </row>
    <row r="742" spans="1:6" ht="15" x14ac:dyDescent="0.25">
      <c r="A742"/>
      <c r="B742"/>
      <c r="C742"/>
      <c r="D742"/>
      <c r="E742"/>
      <c r="F742"/>
    </row>
    <row r="743" spans="1:6" ht="15" x14ac:dyDescent="0.25">
      <c r="A743"/>
      <c r="B743"/>
      <c r="C743"/>
      <c r="D743"/>
      <c r="E743"/>
      <c r="F743"/>
    </row>
    <row r="744" spans="1:6" ht="15" x14ac:dyDescent="0.25">
      <c r="A744"/>
      <c r="B744"/>
      <c r="C744"/>
      <c r="D744"/>
      <c r="E744"/>
      <c r="F744"/>
    </row>
    <row r="745" spans="1:6" ht="15" x14ac:dyDescent="0.25">
      <c r="A745"/>
      <c r="B745"/>
      <c r="C745"/>
      <c r="D745"/>
      <c r="E745"/>
      <c r="F745"/>
    </row>
    <row r="746" spans="1:6" ht="15" x14ac:dyDescent="0.25">
      <c r="A746"/>
      <c r="B746"/>
      <c r="C746"/>
      <c r="D746"/>
      <c r="E746"/>
      <c r="F746"/>
    </row>
    <row r="747" spans="1:6" ht="15" x14ac:dyDescent="0.25">
      <c r="A747"/>
      <c r="B747"/>
      <c r="C747"/>
      <c r="D747"/>
      <c r="E747"/>
      <c r="F747"/>
    </row>
    <row r="748" spans="1:6" ht="15" x14ac:dyDescent="0.25">
      <c r="A748"/>
      <c r="B748"/>
      <c r="C748"/>
      <c r="D748"/>
      <c r="E748"/>
      <c r="F748"/>
    </row>
    <row r="749" spans="1:6" ht="15" x14ac:dyDescent="0.25">
      <c r="A749"/>
      <c r="B749"/>
      <c r="C749"/>
      <c r="D749"/>
      <c r="E749"/>
      <c r="F749"/>
    </row>
    <row r="750" spans="1:6" ht="15" x14ac:dyDescent="0.25">
      <c r="A750"/>
      <c r="B750"/>
      <c r="C750"/>
      <c r="D750"/>
      <c r="E750"/>
      <c r="F750"/>
    </row>
    <row r="751" spans="1:6" ht="15" x14ac:dyDescent="0.25">
      <c r="A751"/>
      <c r="B751"/>
      <c r="C751"/>
      <c r="D751"/>
      <c r="E751"/>
      <c r="F751"/>
    </row>
    <row r="752" spans="1:6" ht="15" x14ac:dyDescent="0.25">
      <c r="A752"/>
      <c r="B752"/>
      <c r="C752"/>
      <c r="D752"/>
      <c r="E752"/>
      <c r="F752"/>
    </row>
    <row r="753" spans="1:6" ht="15" x14ac:dyDescent="0.25">
      <c r="A753"/>
      <c r="B753"/>
      <c r="C753"/>
      <c r="D753"/>
      <c r="E753"/>
      <c r="F753"/>
    </row>
    <row r="754" spans="1:6" ht="15" x14ac:dyDescent="0.25">
      <c r="A754"/>
      <c r="B754"/>
      <c r="C754"/>
      <c r="D754"/>
      <c r="E754"/>
      <c r="F754"/>
    </row>
    <row r="755" spans="1:6" ht="15" x14ac:dyDescent="0.25">
      <c r="A755"/>
      <c r="B755"/>
      <c r="C755"/>
      <c r="D755"/>
      <c r="E755"/>
      <c r="F755"/>
    </row>
    <row r="756" spans="1:6" ht="15" x14ac:dyDescent="0.25">
      <c r="A756"/>
      <c r="B756"/>
      <c r="C756"/>
      <c r="D756"/>
      <c r="E756"/>
      <c r="F756"/>
    </row>
    <row r="757" spans="1:6" ht="15" x14ac:dyDescent="0.25">
      <c r="A757"/>
      <c r="B757"/>
      <c r="C757"/>
      <c r="D757"/>
      <c r="E757"/>
      <c r="F757"/>
    </row>
    <row r="758" spans="1:6" ht="15" x14ac:dyDescent="0.25">
      <c r="A758"/>
      <c r="B758"/>
      <c r="C758"/>
      <c r="D758"/>
      <c r="E758"/>
      <c r="F758"/>
    </row>
    <row r="759" spans="1:6" ht="15" x14ac:dyDescent="0.25">
      <c r="A759"/>
      <c r="B759"/>
      <c r="C759"/>
      <c r="D759"/>
      <c r="E759"/>
      <c r="F759"/>
    </row>
    <row r="760" spans="1:6" ht="15" x14ac:dyDescent="0.25">
      <c r="A760"/>
      <c r="B760"/>
      <c r="C760"/>
      <c r="D760"/>
      <c r="E760"/>
      <c r="F760"/>
    </row>
    <row r="761" spans="1:6" ht="15" x14ac:dyDescent="0.25">
      <c r="A761"/>
      <c r="B761"/>
      <c r="C761"/>
      <c r="D761"/>
      <c r="E761"/>
      <c r="F761"/>
    </row>
    <row r="762" spans="1:6" ht="15" x14ac:dyDescent="0.25">
      <c r="A762"/>
      <c r="B762"/>
      <c r="C762"/>
      <c r="D762"/>
      <c r="E762"/>
      <c r="F762"/>
    </row>
    <row r="763" spans="1:6" ht="15" x14ac:dyDescent="0.25">
      <c r="A763"/>
      <c r="B763"/>
      <c r="C763"/>
      <c r="D763"/>
      <c r="E763"/>
      <c r="F763"/>
    </row>
    <row r="764" spans="1:6" ht="15" x14ac:dyDescent="0.25">
      <c r="A764"/>
      <c r="B764"/>
      <c r="C764"/>
      <c r="D764"/>
      <c r="E764"/>
      <c r="F764"/>
    </row>
    <row r="765" spans="1:6" ht="15" x14ac:dyDescent="0.25">
      <c r="A765"/>
      <c r="B765"/>
      <c r="C765"/>
      <c r="D765"/>
      <c r="E765"/>
      <c r="F765"/>
    </row>
    <row r="766" spans="1:6" ht="15" x14ac:dyDescent="0.25">
      <c r="A766"/>
      <c r="B766"/>
      <c r="C766"/>
      <c r="D766"/>
      <c r="E766"/>
      <c r="F766"/>
    </row>
    <row r="767" spans="1:6" ht="15" x14ac:dyDescent="0.25">
      <c r="A767"/>
      <c r="B767"/>
      <c r="C767"/>
      <c r="D767"/>
      <c r="E767"/>
      <c r="F767"/>
    </row>
    <row r="768" spans="1:6" ht="15" x14ac:dyDescent="0.25">
      <c r="A768"/>
      <c r="B768"/>
      <c r="C768"/>
      <c r="D768"/>
      <c r="E768"/>
      <c r="F768"/>
    </row>
    <row r="769" spans="1:6" ht="15" x14ac:dyDescent="0.25">
      <c r="A769"/>
      <c r="B769"/>
      <c r="C769"/>
      <c r="D769"/>
      <c r="E769"/>
      <c r="F769"/>
    </row>
    <row r="770" spans="1:6" ht="15" x14ac:dyDescent="0.25">
      <c r="A770"/>
      <c r="B770"/>
      <c r="C770"/>
      <c r="D770"/>
      <c r="E770"/>
      <c r="F770"/>
    </row>
    <row r="771" spans="1:6" ht="15" x14ac:dyDescent="0.25">
      <c r="A771"/>
      <c r="B771"/>
      <c r="C771"/>
      <c r="D771"/>
      <c r="E771"/>
      <c r="F771"/>
    </row>
    <row r="772" spans="1:6" ht="15" x14ac:dyDescent="0.25">
      <c r="A772"/>
      <c r="B772"/>
      <c r="C772"/>
      <c r="D772"/>
      <c r="E772"/>
      <c r="F772"/>
    </row>
    <row r="773" spans="1:6" ht="15" x14ac:dyDescent="0.25">
      <c r="A773"/>
      <c r="B773"/>
      <c r="C773"/>
      <c r="D773"/>
      <c r="E773"/>
      <c r="F773"/>
    </row>
    <row r="774" spans="1:6" ht="15" x14ac:dyDescent="0.25">
      <c r="A774"/>
      <c r="B774"/>
      <c r="C774"/>
      <c r="D774"/>
      <c r="E774"/>
      <c r="F774"/>
    </row>
    <row r="775" spans="1:6" ht="15" x14ac:dyDescent="0.25">
      <c r="A775"/>
      <c r="B775"/>
      <c r="C775"/>
      <c r="D775"/>
      <c r="E775"/>
      <c r="F775"/>
    </row>
    <row r="776" spans="1:6" ht="15" x14ac:dyDescent="0.25">
      <c r="A776"/>
      <c r="B776"/>
      <c r="C776"/>
      <c r="D776"/>
      <c r="E776"/>
      <c r="F776"/>
    </row>
    <row r="777" spans="1:6" ht="15" x14ac:dyDescent="0.25">
      <c r="A777"/>
      <c r="B777"/>
      <c r="C777"/>
      <c r="D777"/>
      <c r="E777"/>
      <c r="F777"/>
    </row>
    <row r="778" spans="1:6" ht="15" x14ac:dyDescent="0.25">
      <c r="A778"/>
      <c r="B778"/>
      <c r="C778"/>
      <c r="D778"/>
      <c r="E778"/>
      <c r="F778"/>
    </row>
    <row r="779" spans="1:6" ht="15" x14ac:dyDescent="0.25">
      <c r="A779"/>
      <c r="B779"/>
      <c r="C779"/>
      <c r="D779"/>
      <c r="E779"/>
      <c r="F779"/>
    </row>
    <row r="780" spans="1:6" ht="15" x14ac:dyDescent="0.25">
      <c r="A780"/>
      <c r="B780"/>
      <c r="C780"/>
      <c r="D780"/>
      <c r="E780"/>
      <c r="F780"/>
    </row>
    <row r="781" spans="1:6" ht="15" x14ac:dyDescent="0.25">
      <c r="A781"/>
      <c r="B781"/>
      <c r="C781"/>
      <c r="D781"/>
      <c r="E781"/>
      <c r="F781"/>
    </row>
    <row r="782" spans="1:6" ht="15" x14ac:dyDescent="0.25">
      <c r="A782"/>
      <c r="B782"/>
      <c r="C782"/>
      <c r="D782"/>
      <c r="E782"/>
      <c r="F782"/>
    </row>
    <row r="783" spans="1:6" ht="15" x14ac:dyDescent="0.25">
      <c r="A783"/>
      <c r="B783"/>
      <c r="C783"/>
      <c r="D783"/>
      <c r="E783"/>
      <c r="F783"/>
    </row>
    <row r="784" spans="1:6" ht="15" x14ac:dyDescent="0.25">
      <c r="A784"/>
      <c r="B784"/>
      <c r="C784"/>
      <c r="D784"/>
      <c r="E784"/>
      <c r="F784"/>
    </row>
    <row r="785" spans="1:6" ht="15" x14ac:dyDescent="0.25">
      <c r="A785"/>
      <c r="B785"/>
      <c r="C785"/>
      <c r="D785"/>
      <c r="E785"/>
      <c r="F785"/>
    </row>
    <row r="786" spans="1:6" ht="15" x14ac:dyDescent="0.25">
      <c r="A786"/>
      <c r="B786"/>
      <c r="C786"/>
      <c r="D786"/>
      <c r="E786"/>
      <c r="F786"/>
    </row>
    <row r="787" spans="1:6" ht="15" x14ac:dyDescent="0.25">
      <c r="A787"/>
      <c r="B787"/>
      <c r="C787"/>
      <c r="D787"/>
      <c r="E787"/>
      <c r="F787"/>
    </row>
    <row r="788" spans="1:6" ht="15" x14ac:dyDescent="0.25">
      <c r="A788"/>
      <c r="B788"/>
      <c r="C788"/>
      <c r="D788"/>
      <c r="E788"/>
      <c r="F788"/>
    </row>
    <row r="789" spans="1:6" ht="15" x14ac:dyDescent="0.25">
      <c r="A789"/>
      <c r="B789"/>
      <c r="C789"/>
      <c r="D789"/>
      <c r="E789"/>
      <c r="F789"/>
    </row>
    <row r="790" spans="1:6" ht="15" x14ac:dyDescent="0.25">
      <c r="A790"/>
      <c r="B790"/>
      <c r="C790"/>
      <c r="D790"/>
      <c r="E790"/>
      <c r="F790"/>
    </row>
    <row r="791" spans="1:6" ht="15" x14ac:dyDescent="0.25">
      <c r="A791"/>
      <c r="B791"/>
      <c r="C791"/>
      <c r="D791"/>
      <c r="E791"/>
      <c r="F791"/>
    </row>
    <row r="792" spans="1:6" ht="15" x14ac:dyDescent="0.25">
      <c r="A792"/>
      <c r="B792"/>
      <c r="C792"/>
      <c r="D792"/>
      <c r="E792"/>
      <c r="F792"/>
    </row>
    <row r="793" spans="1:6" ht="15" x14ac:dyDescent="0.25">
      <c r="A793"/>
      <c r="B793"/>
      <c r="C793"/>
      <c r="D793"/>
      <c r="E793"/>
      <c r="F793"/>
    </row>
    <row r="794" spans="1:6" ht="15" x14ac:dyDescent="0.25">
      <c r="A794"/>
      <c r="B794"/>
      <c r="C794"/>
      <c r="D794"/>
      <c r="E794"/>
      <c r="F794"/>
    </row>
    <row r="795" spans="1:6" ht="15" x14ac:dyDescent="0.25">
      <c r="A795"/>
      <c r="B795"/>
      <c r="C795"/>
      <c r="D795"/>
      <c r="E795"/>
      <c r="F795"/>
    </row>
    <row r="796" spans="1:6" ht="15" x14ac:dyDescent="0.25">
      <c r="A796"/>
      <c r="B796"/>
      <c r="C796"/>
      <c r="D796"/>
      <c r="E796"/>
      <c r="F796"/>
    </row>
    <row r="797" spans="1:6" ht="15" x14ac:dyDescent="0.25">
      <c r="A797"/>
      <c r="B797"/>
      <c r="C797"/>
      <c r="D797"/>
      <c r="E797"/>
      <c r="F797"/>
    </row>
    <row r="798" spans="1:6" ht="15" x14ac:dyDescent="0.25">
      <c r="A798"/>
      <c r="B798"/>
      <c r="C798"/>
      <c r="D798"/>
      <c r="E798"/>
      <c r="F798"/>
    </row>
    <row r="799" spans="1:6" ht="15" x14ac:dyDescent="0.25">
      <c r="A799"/>
      <c r="B799"/>
      <c r="C799"/>
      <c r="D799"/>
      <c r="E799"/>
      <c r="F799"/>
    </row>
    <row r="800" spans="1:6" ht="15" x14ac:dyDescent="0.25">
      <c r="A800"/>
      <c r="B800"/>
      <c r="C800"/>
      <c r="D800"/>
      <c r="E800"/>
      <c r="F800"/>
    </row>
    <row r="801" spans="1:6" ht="15" x14ac:dyDescent="0.25">
      <c r="A801"/>
      <c r="B801"/>
      <c r="C801"/>
      <c r="D801"/>
      <c r="E801"/>
      <c r="F801"/>
    </row>
    <row r="802" spans="1:6" ht="15" x14ac:dyDescent="0.25">
      <c r="A802"/>
      <c r="B802"/>
      <c r="C802"/>
      <c r="D802"/>
      <c r="E802"/>
      <c r="F802"/>
    </row>
    <row r="803" spans="1:6" ht="15" x14ac:dyDescent="0.25">
      <c r="A803"/>
      <c r="B803"/>
      <c r="C803"/>
      <c r="D803"/>
      <c r="E803"/>
      <c r="F803"/>
    </row>
    <row r="804" spans="1:6" ht="15" x14ac:dyDescent="0.25">
      <c r="A804"/>
      <c r="B804"/>
      <c r="C804"/>
      <c r="D804"/>
      <c r="E804"/>
      <c r="F804"/>
    </row>
    <row r="805" spans="1:6" ht="15" x14ac:dyDescent="0.25">
      <c r="A805"/>
      <c r="B805"/>
      <c r="C805"/>
      <c r="D805"/>
      <c r="E805"/>
      <c r="F805"/>
    </row>
    <row r="806" spans="1:6" ht="15" x14ac:dyDescent="0.25">
      <c r="A806"/>
      <c r="B806"/>
      <c r="C806"/>
      <c r="D806"/>
      <c r="E806"/>
      <c r="F806"/>
    </row>
    <row r="807" spans="1:6" ht="15" x14ac:dyDescent="0.25">
      <c r="A807"/>
      <c r="B807"/>
      <c r="C807"/>
      <c r="D807"/>
      <c r="E807"/>
      <c r="F807"/>
    </row>
    <row r="808" spans="1:6" ht="15" x14ac:dyDescent="0.25">
      <c r="A808"/>
      <c r="B808"/>
      <c r="C808"/>
      <c r="D808"/>
      <c r="E808"/>
      <c r="F808"/>
    </row>
    <row r="809" spans="1:6" ht="15" x14ac:dyDescent="0.25">
      <c r="A809"/>
      <c r="B809"/>
      <c r="C809"/>
      <c r="D809"/>
      <c r="E809"/>
      <c r="F809"/>
    </row>
    <row r="810" spans="1:6" ht="15" x14ac:dyDescent="0.25">
      <c r="A810"/>
      <c r="B810"/>
      <c r="C810"/>
      <c r="D810"/>
      <c r="E810"/>
      <c r="F810"/>
    </row>
    <row r="811" spans="1:6" ht="15" x14ac:dyDescent="0.25">
      <c r="A811"/>
      <c r="B811"/>
      <c r="C811"/>
      <c r="D811"/>
      <c r="E811"/>
      <c r="F811"/>
    </row>
    <row r="812" spans="1:6" ht="15" x14ac:dyDescent="0.25">
      <c r="A812"/>
      <c r="B812"/>
      <c r="C812"/>
      <c r="D812"/>
      <c r="E812"/>
      <c r="F812"/>
    </row>
    <row r="813" spans="1:6" ht="15" x14ac:dyDescent="0.25">
      <c r="A813"/>
      <c r="B813"/>
      <c r="C813"/>
      <c r="D813"/>
      <c r="E813"/>
      <c r="F813"/>
    </row>
    <row r="814" spans="1:6" ht="15" x14ac:dyDescent="0.25">
      <c r="A814"/>
      <c r="B814"/>
      <c r="C814"/>
      <c r="D814"/>
      <c r="E814"/>
      <c r="F814"/>
    </row>
    <row r="815" spans="1:6" ht="15" x14ac:dyDescent="0.25">
      <c r="A815"/>
      <c r="B815"/>
      <c r="C815"/>
      <c r="D815"/>
      <c r="E815"/>
      <c r="F815"/>
    </row>
    <row r="816" spans="1:6" ht="15" x14ac:dyDescent="0.25">
      <c r="A816"/>
      <c r="B816"/>
      <c r="C816"/>
      <c r="D816"/>
      <c r="E816"/>
      <c r="F816"/>
    </row>
    <row r="817" spans="1:6" ht="15" x14ac:dyDescent="0.25">
      <c r="A817"/>
      <c r="B817"/>
      <c r="C817"/>
      <c r="D817"/>
      <c r="E817"/>
      <c r="F817"/>
    </row>
    <row r="818" spans="1:6" ht="15" x14ac:dyDescent="0.25">
      <c r="A818"/>
      <c r="B818"/>
      <c r="C818"/>
      <c r="D818"/>
      <c r="E818"/>
      <c r="F818"/>
    </row>
    <row r="819" spans="1:6" ht="15" x14ac:dyDescent="0.25">
      <c r="A819"/>
      <c r="B819"/>
      <c r="C819"/>
      <c r="D819"/>
      <c r="E819"/>
      <c r="F819"/>
    </row>
    <row r="820" spans="1:6" ht="15" x14ac:dyDescent="0.25">
      <c r="A820"/>
      <c r="B820"/>
      <c r="C820"/>
      <c r="D820"/>
      <c r="E820"/>
      <c r="F820"/>
    </row>
    <row r="821" spans="1:6" ht="15" x14ac:dyDescent="0.25">
      <c r="A821"/>
      <c r="B821"/>
      <c r="C821"/>
      <c r="D821"/>
      <c r="E821"/>
      <c r="F821"/>
    </row>
    <row r="822" spans="1:6" ht="15" x14ac:dyDescent="0.25">
      <c r="A822"/>
      <c r="B822"/>
      <c r="C822"/>
      <c r="D822"/>
      <c r="E822"/>
      <c r="F822"/>
    </row>
    <row r="823" spans="1:6" ht="15" x14ac:dyDescent="0.25">
      <c r="A823"/>
      <c r="B823"/>
      <c r="C823"/>
      <c r="D823"/>
      <c r="E823"/>
      <c r="F823"/>
    </row>
    <row r="824" spans="1:6" ht="15" x14ac:dyDescent="0.25">
      <c r="A824"/>
      <c r="B824"/>
      <c r="C824"/>
      <c r="D824"/>
      <c r="E824"/>
      <c r="F824"/>
    </row>
    <row r="825" spans="1:6" ht="15" x14ac:dyDescent="0.25">
      <c r="A825"/>
      <c r="B825"/>
      <c r="C825"/>
      <c r="D825"/>
      <c r="E825"/>
      <c r="F825"/>
    </row>
    <row r="826" spans="1:6" ht="15" x14ac:dyDescent="0.25">
      <c r="A826"/>
      <c r="B826"/>
      <c r="C826"/>
      <c r="D826"/>
      <c r="E826"/>
      <c r="F826"/>
    </row>
    <row r="827" spans="1:6" ht="15" x14ac:dyDescent="0.25">
      <c r="A827"/>
      <c r="B827"/>
      <c r="C827"/>
      <c r="D827"/>
      <c r="E827"/>
      <c r="F827"/>
    </row>
    <row r="828" spans="1:6" ht="15" x14ac:dyDescent="0.25">
      <c r="A828"/>
      <c r="B828"/>
      <c r="C828"/>
      <c r="D828"/>
      <c r="E828"/>
      <c r="F828"/>
    </row>
    <row r="829" spans="1:6" ht="15" x14ac:dyDescent="0.25">
      <c r="A829"/>
      <c r="B829"/>
      <c r="C829"/>
      <c r="D829"/>
      <c r="E829"/>
      <c r="F829"/>
    </row>
    <row r="830" spans="1:6" ht="15" x14ac:dyDescent="0.25">
      <c r="A830"/>
      <c r="B830"/>
      <c r="C830"/>
      <c r="D830"/>
      <c r="E830"/>
      <c r="F830"/>
    </row>
    <row r="831" spans="1:6" ht="15" x14ac:dyDescent="0.25">
      <c r="A831"/>
      <c r="B831"/>
      <c r="C831"/>
      <c r="D831"/>
      <c r="E831"/>
      <c r="F831"/>
    </row>
    <row r="832" spans="1:6" ht="15" x14ac:dyDescent="0.25">
      <c r="A832"/>
      <c r="B832"/>
      <c r="C832"/>
      <c r="D832"/>
      <c r="E832"/>
      <c r="F832"/>
    </row>
    <row r="833" spans="1:6" ht="15" x14ac:dyDescent="0.25">
      <c r="A833"/>
      <c r="B833"/>
      <c r="C833"/>
      <c r="D833"/>
      <c r="E833"/>
      <c r="F833"/>
    </row>
    <row r="834" spans="1:6" ht="15" x14ac:dyDescent="0.25">
      <c r="A834"/>
      <c r="B834"/>
      <c r="C834"/>
      <c r="D834"/>
      <c r="E834"/>
      <c r="F834"/>
    </row>
    <row r="835" spans="1:6" ht="15" x14ac:dyDescent="0.25">
      <c r="A835"/>
      <c r="B835"/>
      <c r="C835"/>
      <c r="D835"/>
      <c r="E835"/>
      <c r="F835"/>
    </row>
    <row r="836" spans="1:6" ht="15" x14ac:dyDescent="0.25">
      <c r="A836"/>
      <c r="B836"/>
      <c r="C836"/>
      <c r="D836"/>
      <c r="E836"/>
      <c r="F836"/>
    </row>
    <row r="837" spans="1:6" ht="15" x14ac:dyDescent="0.25">
      <c r="A837"/>
      <c r="B837"/>
      <c r="C837"/>
      <c r="D837"/>
      <c r="E837"/>
      <c r="F837"/>
    </row>
    <row r="838" spans="1:6" ht="15" x14ac:dyDescent="0.25">
      <c r="A838"/>
      <c r="B838"/>
      <c r="C838"/>
      <c r="D838"/>
      <c r="E838"/>
      <c r="F838"/>
    </row>
    <row r="839" spans="1:6" ht="15" x14ac:dyDescent="0.25">
      <c r="A839"/>
      <c r="B839"/>
      <c r="C839"/>
      <c r="D839"/>
      <c r="E839"/>
      <c r="F839"/>
    </row>
    <row r="840" spans="1:6" ht="15" x14ac:dyDescent="0.25">
      <c r="A840"/>
      <c r="B840"/>
      <c r="C840"/>
      <c r="D840"/>
      <c r="E840"/>
      <c r="F840"/>
    </row>
    <row r="841" spans="1:6" ht="15" x14ac:dyDescent="0.25">
      <c r="A841"/>
      <c r="B841"/>
      <c r="C841"/>
      <c r="D841"/>
      <c r="E841"/>
      <c r="F841"/>
    </row>
    <row r="842" spans="1:6" ht="15" x14ac:dyDescent="0.25">
      <c r="A842"/>
      <c r="B842"/>
      <c r="C842"/>
      <c r="D842"/>
      <c r="E842"/>
      <c r="F842"/>
    </row>
    <row r="843" spans="1:6" ht="15" x14ac:dyDescent="0.25">
      <c r="A843"/>
      <c r="B843"/>
      <c r="C843"/>
      <c r="D843"/>
      <c r="E843"/>
      <c r="F843"/>
    </row>
    <row r="844" spans="1:6" ht="15" x14ac:dyDescent="0.25">
      <c r="A844"/>
      <c r="B844"/>
      <c r="C844"/>
      <c r="D844"/>
      <c r="E844"/>
      <c r="F844"/>
    </row>
    <row r="845" spans="1:6" ht="15" x14ac:dyDescent="0.25">
      <c r="A845"/>
      <c r="B845"/>
      <c r="C845"/>
      <c r="D845"/>
      <c r="E845"/>
      <c r="F845"/>
    </row>
    <row r="846" spans="1:6" ht="15" x14ac:dyDescent="0.25">
      <c r="A846"/>
      <c r="B846"/>
      <c r="C846"/>
      <c r="D846"/>
      <c r="E846"/>
      <c r="F846"/>
    </row>
    <row r="847" spans="1:6" ht="15" x14ac:dyDescent="0.25">
      <c r="A847"/>
      <c r="B847"/>
      <c r="C847"/>
      <c r="D847"/>
      <c r="E847"/>
      <c r="F847"/>
    </row>
    <row r="848" spans="1:6" ht="15" x14ac:dyDescent="0.25">
      <c r="A848"/>
      <c r="B848"/>
      <c r="C848"/>
      <c r="D848"/>
      <c r="E848"/>
      <c r="F848"/>
    </row>
    <row r="849" spans="1:6" ht="15" x14ac:dyDescent="0.25">
      <c r="A849"/>
      <c r="B849"/>
      <c r="C849"/>
      <c r="D849"/>
      <c r="E849"/>
      <c r="F849"/>
    </row>
    <row r="850" spans="1:6" ht="15" x14ac:dyDescent="0.25">
      <c r="A850"/>
      <c r="B850"/>
      <c r="C850"/>
      <c r="D850"/>
      <c r="E850"/>
      <c r="F850"/>
    </row>
    <row r="851" spans="1:6" ht="15" x14ac:dyDescent="0.25">
      <c r="A851"/>
      <c r="B851"/>
      <c r="C851"/>
      <c r="D851"/>
      <c r="E851"/>
      <c r="F851"/>
    </row>
    <row r="852" spans="1:6" ht="15" x14ac:dyDescent="0.25">
      <c r="A852"/>
      <c r="B852"/>
      <c r="C852"/>
      <c r="D852"/>
      <c r="E852"/>
      <c r="F852"/>
    </row>
    <row r="853" spans="1:6" ht="15" x14ac:dyDescent="0.25">
      <c r="A853"/>
      <c r="B853"/>
      <c r="C853"/>
      <c r="D853"/>
      <c r="E853"/>
      <c r="F853"/>
    </row>
    <row r="854" spans="1:6" ht="15" x14ac:dyDescent="0.25">
      <c r="A854"/>
      <c r="B854"/>
      <c r="C854"/>
      <c r="D854"/>
      <c r="E854"/>
      <c r="F854"/>
    </row>
    <row r="855" spans="1:6" ht="15" x14ac:dyDescent="0.25">
      <c r="A855"/>
      <c r="B855"/>
      <c r="C855"/>
      <c r="D855"/>
      <c r="E855"/>
      <c r="F855"/>
    </row>
    <row r="856" spans="1:6" ht="15" x14ac:dyDescent="0.25">
      <c r="A856"/>
      <c r="B856"/>
      <c r="C856"/>
      <c r="D856"/>
      <c r="E856"/>
      <c r="F856"/>
    </row>
    <row r="857" spans="1:6" ht="15" x14ac:dyDescent="0.25">
      <c r="A857"/>
      <c r="B857"/>
      <c r="C857"/>
      <c r="D857"/>
      <c r="E857"/>
      <c r="F857"/>
    </row>
    <row r="858" spans="1:6" ht="15" x14ac:dyDescent="0.25">
      <c r="A858"/>
      <c r="B858"/>
      <c r="C858"/>
      <c r="D858"/>
      <c r="E858"/>
      <c r="F858"/>
    </row>
    <row r="859" spans="1:6" ht="15" x14ac:dyDescent="0.25">
      <c r="A859"/>
      <c r="B859"/>
      <c r="C859"/>
      <c r="D859"/>
      <c r="E859"/>
      <c r="F859"/>
    </row>
    <row r="860" spans="1:6" ht="15" x14ac:dyDescent="0.25">
      <c r="A860"/>
      <c r="B860"/>
      <c r="C860"/>
      <c r="D860"/>
      <c r="E860"/>
      <c r="F860"/>
    </row>
    <row r="861" spans="1:6" ht="15" x14ac:dyDescent="0.25">
      <c r="A861"/>
      <c r="B861"/>
      <c r="C861"/>
      <c r="D861"/>
      <c r="E861"/>
      <c r="F861"/>
    </row>
    <row r="862" spans="1:6" ht="15" x14ac:dyDescent="0.25">
      <c r="A862"/>
      <c r="B862"/>
      <c r="C862"/>
      <c r="D862"/>
      <c r="E862"/>
      <c r="F862"/>
    </row>
    <row r="863" spans="1:6" ht="15" x14ac:dyDescent="0.25">
      <c r="A863"/>
      <c r="B863"/>
      <c r="C863"/>
      <c r="D863"/>
      <c r="E863"/>
      <c r="F863"/>
    </row>
    <row r="864" spans="1:6" ht="15" x14ac:dyDescent="0.25">
      <c r="A864"/>
      <c r="B864"/>
      <c r="C864"/>
      <c r="D864"/>
      <c r="E864"/>
      <c r="F864"/>
    </row>
    <row r="865" spans="1:6" ht="15" x14ac:dyDescent="0.25">
      <c r="A865"/>
      <c r="B865"/>
      <c r="C865"/>
      <c r="D865"/>
      <c r="E865"/>
      <c r="F865"/>
    </row>
    <row r="866" spans="1:6" ht="15" x14ac:dyDescent="0.25">
      <c r="A866"/>
      <c r="B866"/>
      <c r="C866"/>
      <c r="D866"/>
      <c r="E866"/>
      <c r="F866"/>
    </row>
    <row r="867" spans="1:6" ht="15" x14ac:dyDescent="0.25">
      <c r="A867"/>
      <c r="B867"/>
      <c r="C867"/>
      <c r="D867"/>
      <c r="E867"/>
      <c r="F867"/>
    </row>
    <row r="868" spans="1:6" ht="15" x14ac:dyDescent="0.25">
      <c r="A868"/>
      <c r="B868"/>
      <c r="C868"/>
      <c r="D868"/>
      <c r="E868"/>
      <c r="F868"/>
    </row>
    <row r="869" spans="1:6" ht="15" x14ac:dyDescent="0.25">
      <c r="A869"/>
      <c r="B869"/>
      <c r="C869"/>
      <c r="D869"/>
      <c r="E869"/>
      <c r="F869"/>
    </row>
    <row r="870" spans="1:6" ht="15" x14ac:dyDescent="0.25">
      <c r="A870"/>
      <c r="B870"/>
      <c r="C870"/>
      <c r="D870"/>
      <c r="E870"/>
      <c r="F870"/>
    </row>
    <row r="871" spans="1:6" ht="15" x14ac:dyDescent="0.25">
      <c r="A871"/>
      <c r="B871"/>
      <c r="C871"/>
      <c r="D871"/>
      <c r="E871"/>
      <c r="F871"/>
    </row>
    <row r="872" spans="1:6" ht="15" x14ac:dyDescent="0.25">
      <c r="A872"/>
      <c r="B872"/>
      <c r="C872"/>
      <c r="D872"/>
      <c r="E872"/>
      <c r="F872"/>
    </row>
    <row r="873" spans="1:6" ht="15" x14ac:dyDescent="0.25">
      <c r="A873"/>
      <c r="B873"/>
      <c r="C873"/>
      <c r="D873"/>
      <c r="E873"/>
      <c r="F873"/>
    </row>
    <row r="874" spans="1:6" ht="15" x14ac:dyDescent="0.25">
      <c r="A874"/>
      <c r="B874"/>
      <c r="C874"/>
      <c r="D874"/>
      <c r="E874"/>
      <c r="F874"/>
    </row>
    <row r="875" spans="1:6" ht="15" x14ac:dyDescent="0.25">
      <c r="A875"/>
      <c r="B875"/>
      <c r="C875"/>
      <c r="D875"/>
      <c r="E875"/>
      <c r="F875"/>
    </row>
    <row r="876" spans="1:6" ht="15" x14ac:dyDescent="0.25">
      <c r="A876"/>
      <c r="B876"/>
      <c r="C876"/>
      <c r="D876"/>
      <c r="E876"/>
      <c r="F876"/>
    </row>
    <row r="877" spans="1:6" ht="15" x14ac:dyDescent="0.25">
      <c r="A877"/>
      <c r="B877"/>
      <c r="C877"/>
      <c r="D877"/>
      <c r="E877"/>
      <c r="F877"/>
    </row>
    <row r="878" spans="1:6" ht="15" x14ac:dyDescent="0.25">
      <c r="A878"/>
      <c r="B878"/>
      <c r="C878"/>
      <c r="D878"/>
      <c r="E878"/>
      <c r="F878"/>
    </row>
    <row r="879" spans="1:6" ht="15" x14ac:dyDescent="0.25">
      <c r="A879"/>
      <c r="B879"/>
      <c r="C879"/>
      <c r="D879"/>
      <c r="E879"/>
      <c r="F879"/>
    </row>
    <row r="880" spans="1:6" ht="15" x14ac:dyDescent="0.25">
      <c r="A880"/>
      <c r="B880"/>
      <c r="C880"/>
      <c r="D880"/>
      <c r="E880"/>
      <c r="F880"/>
    </row>
    <row r="881" spans="1:6" ht="15" x14ac:dyDescent="0.25">
      <c r="A881"/>
      <c r="B881"/>
      <c r="C881"/>
      <c r="D881"/>
      <c r="E881"/>
      <c r="F881"/>
    </row>
    <row r="882" spans="1:6" ht="15" x14ac:dyDescent="0.25">
      <c r="A882"/>
      <c r="B882"/>
      <c r="C882"/>
      <c r="D882"/>
      <c r="E882"/>
      <c r="F882"/>
    </row>
    <row r="883" spans="1:6" ht="15" x14ac:dyDescent="0.25">
      <c r="A883"/>
      <c r="B883"/>
      <c r="C883"/>
      <c r="D883"/>
      <c r="E883"/>
      <c r="F883"/>
    </row>
    <row r="884" spans="1:6" ht="15" x14ac:dyDescent="0.25">
      <c r="A884"/>
      <c r="B884"/>
      <c r="C884"/>
      <c r="D884"/>
      <c r="E884"/>
      <c r="F884"/>
    </row>
    <row r="885" spans="1:6" ht="15" x14ac:dyDescent="0.25">
      <c r="A885"/>
      <c r="B885"/>
      <c r="C885"/>
      <c r="D885"/>
      <c r="E885"/>
      <c r="F885"/>
    </row>
    <row r="886" spans="1:6" ht="15" x14ac:dyDescent="0.25">
      <c r="A886"/>
      <c r="B886"/>
      <c r="C886"/>
      <c r="D886"/>
      <c r="E886"/>
      <c r="F886"/>
    </row>
    <row r="887" spans="1:6" ht="15" x14ac:dyDescent="0.25">
      <c r="A887"/>
      <c r="B887"/>
      <c r="C887"/>
      <c r="D887"/>
      <c r="E887"/>
      <c r="F887"/>
    </row>
    <row r="888" spans="1:6" ht="15" x14ac:dyDescent="0.25">
      <c r="A888"/>
      <c r="B888"/>
      <c r="C888"/>
      <c r="D888"/>
      <c r="E888"/>
      <c r="F888"/>
    </row>
    <row r="889" spans="1:6" ht="15" x14ac:dyDescent="0.25">
      <c r="A889"/>
      <c r="B889"/>
      <c r="C889"/>
      <c r="D889"/>
      <c r="E889"/>
      <c r="F889"/>
    </row>
    <row r="890" spans="1:6" ht="15" x14ac:dyDescent="0.25">
      <c r="A890"/>
      <c r="B890"/>
      <c r="C890"/>
      <c r="D890"/>
      <c r="E890"/>
      <c r="F890"/>
    </row>
    <row r="891" spans="1:6" ht="15" x14ac:dyDescent="0.25">
      <c r="A891"/>
      <c r="B891"/>
      <c r="C891"/>
      <c r="D891"/>
      <c r="E891"/>
      <c r="F891"/>
    </row>
    <row r="892" spans="1:6" ht="15" x14ac:dyDescent="0.25">
      <c r="A892"/>
      <c r="B892"/>
      <c r="C892"/>
      <c r="D892"/>
      <c r="E892"/>
      <c r="F892"/>
    </row>
    <row r="893" spans="1:6" ht="15" x14ac:dyDescent="0.25">
      <c r="A893"/>
      <c r="B893"/>
      <c r="C893"/>
      <c r="D893"/>
      <c r="E893"/>
      <c r="F893"/>
    </row>
    <row r="894" spans="1:6" ht="15" x14ac:dyDescent="0.25">
      <c r="A894"/>
      <c r="B894"/>
      <c r="C894"/>
      <c r="D894"/>
      <c r="E894"/>
      <c r="F894"/>
    </row>
    <row r="895" spans="1:6" ht="15" x14ac:dyDescent="0.25">
      <c r="A895"/>
      <c r="B895"/>
      <c r="C895"/>
      <c r="D895"/>
      <c r="E895"/>
      <c r="F895"/>
    </row>
    <row r="896" spans="1:6" ht="15" x14ac:dyDescent="0.25">
      <c r="A896"/>
      <c r="B896"/>
      <c r="C896"/>
      <c r="D896"/>
      <c r="E896"/>
      <c r="F896"/>
    </row>
    <row r="897" spans="1:6" ht="15" x14ac:dyDescent="0.25">
      <c r="A897"/>
      <c r="B897"/>
      <c r="C897"/>
      <c r="D897"/>
      <c r="E897"/>
      <c r="F897"/>
    </row>
    <row r="898" spans="1:6" ht="15" x14ac:dyDescent="0.25">
      <c r="A898"/>
      <c r="B898"/>
      <c r="C898"/>
      <c r="D898"/>
      <c r="E898"/>
      <c r="F898"/>
    </row>
    <row r="899" spans="1:6" ht="15" x14ac:dyDescent="0.25">
      <c r="A899"/>
      <c r="B899"/>
      <c r="C899"/>
      <c r="D899"/>
      <c r="E899"/>
      <c r="F899"/>
    </row>
    <row r="900" spans="1:6" ht="15" x14ac:dyDescent="0.25">
      <c r="A900"/>
      <c r="B900"/>
      <c r="C900"/>
      <c r="D900"/>
      <c r="E900"/>
      <c r="F900"/>
    </row>
    <row r="901" spans="1:6" ht="15" x14ac:dyDescent="0.25">
      <c r="A901"/>
      <c r="B901"/>
      <c r="C901"/>
      <c r="D901"/>
      <c r="E901"/>
      <c r="F901"/>
    </row>
    <row r="902" spans="1:6" ht="15" x14ac:dyDescent="0.25">
      <c r="A902"/>
      <c r="B902"/>
      <c r="C902"/>
      <c r="D902"/>
      <c r="E902"/>
      <c r="F902"/>
    </row>
    <row r="903" spans="1:6" ht="15" x14ac:dyDescent="0.25">
      <c r="A903"/>
      <c r="B903"/>
      <c r="C903"/>
      <c r="D903"/>
      <c r="E903"/>
      <c r="F903"/>
    </row>
    <row r="904" spans="1:6" ht="15" x14ac:dyDescent="0.25">
      <c r="A904"/>
      <c r="B904"/>
      <c r="C904"/>
      <c r="D904"/>
      <c r="E904"/>
      <c r="F904"/>
    </row>
    <row r="905" spans="1:6" ht="15" x14ac:dyDescent="0.25">
      <c r="A905"/>
      <c r="B905"/>
      <c r="C905"/>
      <c r="D905"/>
      <c r="E905"/>
      <c r="F905"/>
    </row>
    <row r="906" spans="1:6" ht="15" x14ac:dyDescent="0.25">
      <c r="A906"/>
      <c r="B906"/>
      <c r="C906"/>
      <c r="D906"/>
      <c r="E906"/>
      <c r="F906"/>
    </row>
    <row r="907" spans="1:6" ht="15" x14ac:dyDescent="0.25">
      <c r="A907"/>
      <c r="B907"/>
      <c r="C907"/>
      <c r="D907"/>
      <c r="E907"/>
      <c r="F907"/>
    </row>
    <row r="908" spans="1:6" ht="15" x14ac:dyDescent="0.25">
      <c r="A908"/>
      <c r="B908"/>
      <c r="C908"/>
      <c r="D908"/>
      <c r="E908"/>
      <c r="F908"/>
    </row>
    <row r="909" spans="1:6" ht="15" x14ac:dyDescent="0.25">
      <c r="A909"/>
      <c r="B909"/>
      <c r="C909"/>
      <c r="D909"/>
      <c r="E909"/>
      <c r="F909"/>
    </row>
    <row r="910" spans="1:6" ht="15" x14ac:dyDescent="0.25">
      <c r="A910"/>
      <c r="B910"/>
      <c r="C910"/>
      <c r="D910"/>
      <c r="E910"/>
      <c r="F910"/>
    </row>
    <row r="911" spans="1:6" ht="15" x14ac:dyDescent="0.25">
      <c r="A911"/>
      <c r="B911"/>
      <c r="C911"/>
      <c r="D911"/>
      <c r="E911"/>
      <c r="F911"/>
    </row>
    <row r="912" spans="1:6" ht="15" x14ac:dyDescent="0.25">
      <c r="A912"/>
      <c r="B912"/>
      <c r="C912"/>
      <c r="D912"/>
      <c r="E912"/>
      <c r="F912"/>
    </row>
    <row r="913" spans="1:6" ht="15" x14ac:dyDescent="0.25">
      <c r="A913"/>
      <c r="B913"/>
      <c r="C913"/>
      <c r="D913"/>
      <c r="E913"/>
      <c r="F913"/>
    </row>
    <row r="914" spans="1:6" ht="15" x14ac:dyDescent="0.25">
      <c r="A914"/>
      <c r="B914"/>
      <c r="C914"/>
      <c r="D914"/>
      <c r="E914"/>
      <c r="F914"/>
    </row>
    <row r="915" spans="1:6" ht="15" x14ac:dyDescent="0.25">
      <c r="A915"/>
      <c r="B915"/>
      <c r="C915"/>
      <c r="D915"/>
      <c r="E915"/>
      <c r="F915"/>
    </row>
    <row r="916" spans="1:6" ht="15" x14ac:dyDescent="0.25">
      <c r="A916"/>
      <c r="B916"/>
      <c r="C916"/>
      <c r="D916"/>
      <c r="E916"/>
      <c r="F916"/>
    </row>
    <row r="917" spans="1:6" ht="15" x14ac:dyDescent="0.25">
      <c r="A917"/>
      <c r="B917"/>
      <c r="C917"/>
      <c r="D917"/>
      <c r="E917"/>
      <c r="F917"/>
    </row>
    <row r="918" spans="1:6" ht="15" x14ac:dyDescent="0.25">
      <c r="A918"/>
      <c r="B918"/>
      <c r="C918"/>
      <c r="D918"/>
      <c r="E918"/>
      <c r="F918"/>
    </row>
    <row r="919" spans="1:6" ht="15" x14ac:dyDescent="0.25">
      <c r="A919"/>
      <c r="B919"/>
      <c r="C919"/>
      <c r="D919"/>
      <c r="E919"/>
      <c r="F919"/>
    </row>
    <row r="920" spans="1:6" ht="15" x14ac:dyDescent="0.25">
      <c r="A920"/>
      <c r="B920"/>
      <c r="C920"/>
      <c r="D920"/>
      <c r="E920"/>
      <c r="F920"/>
    </row>
    <row r="921" spans="1:6" ht="15" x14ac:dyDescent="0.25">
      <c r="A921"/>
      <c r="B921"/>
      <c r="C921"/>
      <c r="D921"/>
      <c r="E921"/>
      <c r="F921"/>
    </row>
    <row r="922" spans="1:6" ht="15" x14ac:dyDescent="0.25">
      <c r="A922"/>
      <c r="B922"/>
      <c r="C922"/>
      <c r="D922"/>
      <c r="E922"/>
      <c r="F922"/>
    </row>
    <row r="923" spans="1:6" ht="15" x14ac:dyDescent="0.25">
      <c r="A923"/>
      <c r="B923"/>
      <c r="C923"/>
      <c r="D923"/>
      <c r="E923"/>
      <c r="F923"/>
    </row>
    <row r="924" spans="1:6" ht="15" x14ac:dyDescent="0.25">
      <c r="A924"/>
      <c r="B924"/>
      <c r="C924"/>
      <c r="D924"/>
      <c r="E924"/>
      <c r="F924"/>
    </row>
    <row r="925" spans="1:6" ht="15" x14ac:dyDescent="0.25">
      <c r="A925"/>
      <c r="B925"/>
      <c r="C925"/>
      <c r="D925"/>
      <c r="E925"/>
      <c r="F925"/>
    </row>
    <row r="926" spans="1:6" ht="15" x14ac:dyDescent="0.25">
      <c r="A926"/>
      <c r="B926"/>
      <c r="C926"/>
      <c r="D926"/>
      <c r="E926"/>
      <c r="F926"/>
    </row>
    <row r="927" spans="1:6" ht="15" x14ac:dyDescent="0.25">
      <c r="A927"/>
      <c r="B927"/>
      <c r="C927"/>
      <c r="D927"/>
      <c r="E927"/>
      <c r="F927"/>
    </row>
    <row r="928" spans="1:6" ht="15" x14ac:dyDescent="0.25">
      <c r="A928"/>
      <c r="B928"/>
      <c r="C928"/>
      <c r="D928"/>
      <c r="E928"/>
      <c r="F928"/>
    </row>
    <row r="929" spans="1:6" ht="15" x14ac:dyDescent="0.25">
      <c r="A929"/>
      <c r="B929"/>
      <c r="C929"/>
      <c r="D929"/>
      <c r="E929"/>
      <c r="F929"/>
    </row>
    <row r="930" spans="1:6" ht="15" x14ac:dyDescent="0.25">
      <c r="A930"/>
      <c r="B930"/>
      <c r="C930"/>
      <c r="D930"/>
      <c r="E930"/>
      <c r="F930"/>
    </row>
    <row r="931" spans="1:6" ht="15" x14ac:dyDescent="0.25">
      <c r="A931"/>
      <c r="B931"/>
      <c r="C931"/>
      <c r="D931"/>
      <c r="E931"/>
      <c r="F931"/>
    </row>
    <row r="932" spans="1:6" ht="15" x14ac:dyDescent="0.25">
      <c r="A932"/>
      <c r="B932"/>
      <c r="C932"/>
      <c r="D932"/>
      <c r="E932"/>
      <c r="F932"/>
    </row>
    <row r="933" spans="1:6" ht="15" x14ac:dyDescent="0.25">
      <c r="A933"/>
      <c r="B933"/>
      <c r="C933"/>
      <c r="D933"/>
      <c r="E933"/>
      <c r="F933"/>
    </row>
    <row r="934" spans="1:6" ht="15" x14ac:dyDescent="0.25">
      <c r="A934"/>
      <c r="B934"/>
      <c r="C934"/>
      <c r="D934"/>
      <c r="E934"/>
      <c r="F934"/>
    </row>
    <row r="935" spans="1:6" ht="15" x14ac:dyDescent="0.25">
      <c r="A935"/>
      <c r="B935"/>
      <c r="C935"/>
      <c r="D935"/>
      <c r="E935"/>
      <c r="F935"/>
    </row>
    <row r="936" spans="1:6" ht="15" x14ac:dyDescent="0.25">
      <c r="A936"/>
      <c r="B936"/>
      <c r="C936"/>
      <c r="D936"/>
      <c r="E936"/>
      <c r="F936"/>
    </row>
    <row r="937" spans="1:6" ht="15" x14ac:dyDescent="0.25">
      <c r="A937"/>
      <c r="B937"/>
      <c r="C937"/>
      <c r="D937"/>
      <c r="E937"/>
      <c r="F937"/>
    </row>
    <row r="938" spans="1:6" ht="15" x14ac:dyDescent="0.25">
      <c r="A938"/>
      <c r="B938"/>
      <c r="C938"/>
      <c r="D938"/>
      <c r="E938"/>
      <c r="F938"/>
    </row>
    <row r="939" spans="1:6" ht="15" x14ac:dyDescent="0.25">
      <c r="A939"/>
      <c r="B939"/>
      <c r="C939"/>
      <c r="D939"/>
      <c r="E939"/>
      <c r="F939"/>
    </row>
    <row r="940" spans="1:6" ht="15" x14ac:dyDescent="0.25">
      <c r="A940"/>
      <c r="B940"/>
      <c r="C940"/>
      <c r="D940"/>
      <c r="E940"/>
      <c r="F940"/>
    </row>
    <row r="941" spans="1:6" ht="15" x14ac:dyDescent="0.25">
      <c r="A941"/>
      <c r="B941"/>
      <c r="C941"/>
      <c r="D941"/>
      <c r="E941"/>
      <c r="F941"/>
    </row>
    <row r="942" spans="1:6" ht="15" x14ac:dyDescent="0.25">
      <c r="A942"/>
      <c r="B942"/>
      <c r="C942"/>
      <c r="D942"/>
      <c r="E942"/>
      <c r="F942"/>
    </row>
    <row r="943" spans="1:6" ht="15" x14ac:dyDescent="0.25">
      <c r="A943"/>
      <c r="B943"/>
      <c r="C943"/>
      <c r="D943"/>
      <c r="E943"/>
      <c r="F943"/>
    </row>
    <row r="944" spans="1:6" ht="15" x14ac:dyDescent="0.25">
      <c r="A944"/>
      <c r="B944"/>
      <c r="C944"/>
      <c r="D944"/>
      <c r="E944"/>
      <c r="F944"/>
    </row>
    <row r="945" spans="1:6" ht="15" x14ac:dyDescent="0.25">
      <c r="A945"/>
      <c r="B945"/>
      <c r="C945"/>
      <c r="D945"/>
      <c r="E945"/>
      <c r="F945"/>
    </row>
    <row r="946" spans="1:6" ht="15" x14ac:dyDescent="0.25">
      <c r="A946"/>
      <c r="B946"/>
      <c r="C946"/>
      <c r="D946"/>
      <c r="E946"/>
      <c r="F946"/>
    </row>
    <row r="947" spans="1:6" ht="15" x14ac:dyDescent="0.25">
      <c r="A947"/>
      <c r="B947"/>
      <c r="C947"/>
      <c r="D947"/>
      <c r="E947"/>
      <c r="F947"/>
    </row>
    <row r="948" spans="1:6" ht="15" x14ac:dyDescent="0.25">
      <c r="A948"/>
      <c r="B948"/>
      <c r="C948"/>
      <c r="D948"/>
      <c r="E948"/>
      <c r="F948"/>
    </row>
    <row r="949" spans="1:6" ht="15" x14ac:dyDescent="0.25">
      <c r="A949"/>
      <c r="B949"/>
      <c r="C949"/>
      <c r="D949"/>
      <c r="E949"/>
      <c r="F949"/>
    </row>
    <row r="950" spans="1:6" ht="15" x14ac:dyDescent="0.25">
      <c r="A950"/>
      <c r="B950"/>
      <c r="C950"/>
      <c r="D950"/>
      <c r="E950"/>
      <c r="F950"/>
    </row>
    <row r="951" spans="1:6" ht="15" x14ac:dyDescent="0.25">
      <c r="A951"/>
      <c r="B951"/>
      <c r="C951"/>
      <c r="D951"/>
      <c r="E951"/>
      <c r="F951"/>
    </row>
    <row r="952" spans="1:6" ht="15" x14ac:dyDescent="0.25">
      <c r="A952"/>
      <c r="B952"/>
      <c r="C952"/>
      <c r="D952"/>
      <c r="E952"/>
      <c r="F952"/>
    </row>
    <row r="953" spans="1:6" ht="15" x14ac:dyDescent="0.25">
      <c r="A953"/>
      <c r="B953"/>
      <c r="C953"/>
      <c r="D953"/>
      <c r="E953"/>
      <c r="F953"/>
    </row>
    <row r="954" spans="1:6" ht="15" x14ac:dyDescent="0.25">
      <c r="A954"/>
      <c r="B954"/>
      <c r="C954"/>
      <c r="D954"/>
      <c r="E954"/>
      <c r="F954"/>
    </row>
    <row r="955" spans="1:6" ht="15" x14ac:dyDescent="0.25">
      <c r="A955"/>
      <c r="B955"/>
      <c r="C955"/>
      <c r="D955"/>
      <c r="E955"/>
      <c r="F955"/>
    </row>
    <row r="956" spans="1:6" ht="15" x14ac:dyDescent="0.25">
      <c r="A956"/>
      <c r="B956"/>
      <c r="C956"/>
      <c r="D956"/>
      <c r="E956"/>
      <c r="F956"/>
    </row>
    <row r="957" spans="1:6" ht="15" x14ac:dyDescent="0.25">
      <c r="A957"/>
      <c r="B957"/>
      <c r="C957"/>
      <c r="D957"/>
      <c r="E957"/>
      <c r="F957"/>
    </row>
    <row r="958" spans="1:6" ht="15" x14ac:dyDescent="0.25">
      <c r="A958"/>
      <c r="B958"/>
      <c r="C958"/>
      <c r="D958"/>
      <c r="E958"/>
      <c r="F958"/>
    </row>
    <row r="959" spans="1:6" ht="15" x14ac:dyDescent="0.25">
      <c r="A959"/>
      <c r="B959"/>
      <c r="C959"/>
      <c r="D959"/>
      <c r="E959"/>
      <c r="F959"/>
    </row>
    <row r="960" spans="1:6" ht="15" x14ac:dyDescent="0.25">
      <c r="A960"/>
      <c r="B960"/>
      <c r="C960"/>
      <c r="D960"/>
      <c r="E960"/>
      <c r="F960"/>
    </row>
    <row r="961" spans="1:6" ht="15" x14ac:dyDescent="0.25">
      <c r="A961"/>
      <c r="B961"/>
      <c r="C961"/>
      <c r="D961"/>
      <c r="E961"/>
      <c r="F961"/>
    </row>
    <row r="962" spans="1:6" ht="15" x14ac:dyDescent="0.25">
      <c r="A962"/>
      <c r="B962"/>
      <c r="C962"/>
      <c r="D962"/>
      <c r="E962"/>
      <c r="F962"/>
    </row>
    <row r="963" spans="1:6" ht="15" x14ac:dyDescent="0.25">
      <c r="A963"/>
      <c r="B963"/>
      <c r="C963"/>
      <c r="D963"/>
      <c r="E963"/>
      <c r="F963"/>
    </row>
    <row r="964" spans="1:6" ht="15" x14ac:dyDescent="0.25">
      <c r="A964"/>
      <c r="B964"/>
      <c r="C964"/>
      <c r="D964"/>
      <c r="E964"/>
      <c r="F964"/>
    </row>
    <row r="965" spans="1:6" ht="15" x14ac:dyDescent="0.25">
      <c r="A965"/>
      <c r="B965"/>
      <c r="C965"/>
      <c r="D965"/>
      <c r="E965"/>
      <c r="F965"/>
    </row>
    <row r="966" spans="1:6" ht="15" x14ac:dyDescent="0.25">
      <c r="A966"/>
      <c r="B966"/>
      <c r="C966"/>
      <c r="D966"/>
      <c r="E966"/>
      <c r="F966"/>
    </row>
    <row r="967" spans="1:6" ht="15" x14ac:dyDescent="0.25">
      <c r="A967"/>
      <c r="B967"/>
      <c r="C967"/>
      <c r="D967"/>
      <c r="E967"/>
      <c r="F967"/>
    </row>
    <row r="968" spans="1:6" ht="15" x14ac:dyDescent="0.25">
      <c r="A968"/>
      <c r="B968"/>
      <c r="C968"/>
      <c r="D968"/>
      <c r="E968"/>
      <c r="F968"/>
    </row>
    <row r="969" spans="1:6" ht="15" x14ac:dyDescent="0.25">
      <c r="A969"/>
      <c r="B969"/>
      <c r="C969"/>
      <c r="D969"/>
      <c r="E969"/>
      <c r="F969"/>
    </row>
    <row r="970" spans="1:6" ht="15" x14ac:dyDescent="0.25">
      <c r="A970"/>
      <c r="B970"/>
      <c r="C970"/>
      <c r="D970"/>
      <c r="E970"/>
      <c r="F970"/>
    </row>
    <row r="971" spans="1:6" ht="15" x14ac:dyDescent="0.25">
      <c r="A971"/>
      <c r="B971"/>
      <c r="C971"/>
      <c r="D971"/>
      <c r="E971"/>
      <c r="F971"/>
    </row>
    <row r="972" spans="1:6" ht="15" x14ac:dyDescent="0.25">
      <c r="A972"/>
      <c r="B972"/>
      <c r="C972"/>
      <c r="D972"/>
      <c r="E972"/>
      <c r="F972"/>
    </row>
    <row r="973" spans="1:6" ht="15" x14ac:dyDescent="0.25">
      <c r="A973"/>
      <c r="B973"/>
      <c r="C973"/>
      <c r="D973"/>
      <c r="E973"/>
      <c r="F973"/>
    </row>
    <row r="974" spans="1:6" ht="15" x14ac:dyDescent="0.25">
      <c r="A974"/>
      <c r="B974"/>
      <c r="C974"/>
      <c r="D974"/>
      <c r="E974"/>
      <c r="F974"/>
    </row>
    <row r="975" spans="1:6" ht="15" x14ac:dyDescent="0.25">
      <c r="A975"/>
      <c r="B975"/>
      <c r="C975"/>
      <c r="D975"/>
      <c r="E975"/>
      <c r="F975"/>
    </row>
    <row r="976" spans="1:6" ht="15" x14ac:dyDescent="0.25">
      <c r="A976"/>
      <c r="B976"/>
      <c r="C976"/>
      <c r="D976"/>
      <c r="E976"/>
      <c r="F976"/>
    </row>
    <row r="977" spans="1:6" ht="15" x14ac:dyDescent="0.25">
      <c r="A977"/>
      <c r="B977"/>
      <c r="C977"/>
      <c r="D977"/>
      <c r="E977"/>
      <c r="F977"/>
    </row>
    <row r="978" spans="1:6" ht="15" x14ac:dyDescent="0.25">
      <c r="A978"/>
      <c r="B978"/>
      <c r="C978"/>
      <c r="D978"/>
      <c r="E978"/>
      <c r="F978"/>
    </row>
    <row r="979" spans="1:6" ht="15" x14ac:dyDescent="0.25">
      <c r="A979"/>
      <c r="B979"/>
      <c r="C979"/>
      <c r="D979"/>
      <c r="E979"/>
      <c r="F979"/>
    </row>
    <row r="980" spans="1:6" ht="15" x14ac:dyDescent="0.25">
      <c r="A980"/>
      <c r="B980"/>
      <c r="C980"/>
      <c r="D980"/>
      <c r="E980"/>
      <c r="F980"/>
    </row>
    <row r="981" spans="1:6" ht="15" x14ac:dyDescent="0.25">
      <c r="A981"/>
      <c r="B981"/>
      <c r="C981"/>
      <c r="D981"/>
      <c r="E981"/>
      <c r="F981"/>
    </row>
    <row r="982" spans="1:6" ht="15" x14ac:dyDescent="0.25">
      <c r="A982"/>
      <c r="B982"/>
      <c r="C982"/>
      <c r="D982"/>
      <c r="E982"/>
      <c r="F982"/>
    </row>
    <row r="983" spans="1:6" ht="15" x14ac:dyDescent="0.25">
      <c r="A983"/>
      <c r="B983"/>
      <c r="C983"/>
      <c r="D983"/>
      <c r="E983"/>
      <c r="F983"/>
    </row>
    <row r="984" spans="1:6" ht="15" x14ac:dyDescent="0.25">
      <c r="A984"/>
      <c r="B984"/>
      <c r="C984"/>
      <c r="D984"/>
      <c r="E984"/>
      <c r="F984"/>
    </row>
    <row r="985" spans="1:6" ht="15" x14ac:dyDescent="0.25">
      <c r="A985"/>
      <c r="B985"/>
      <c r="C985"/>
      <c r="D985"/>
      <c r="E985"/>
      <c r="F985"/>
    </row>
    <row r="986" spans="1:6" ht="15" x14ac:dyDescent="0.25">
      <c r="A986"/>
      <c r="B986"/>
      <c r="C986"/>
      <c r="D986"/>
      <c r="E986"/>
      <c r="F986"/>
    </row>
    <row r="987" spans="1:6" ht="15" x14ac:dyDescent="0.25">
      <c r="A987"/>
      <c r="B987"/>
      <c r="C987"/>
      <c r="D987"/>
      <c r="E987"/>
      <c r="F987"/>
    </row>
    <row r="988" spans="1:6" ht="15" x14ac:dyDescent="0.25">
      <c r="A988"/>
      <c r="B988"/>
      <c r="C988"/>
      <c r="D988"/>
      <c r="E988"/>
      <c r="F988"/>
    </row>
    <row r="989" spans="1:6" ht="15" x14ac:dyDescent="0.25">
      <c r="A989"/>
      <c r="B989"/>
      <c r="C989"/>
      <c r="D989"/>
      <c r="E989"/>
      <c r="F989"/>
    </row>
    <row r="990" spans="1:6" ht="15" x14ac:dyDescent="0.25">
      <c r="A990"/>
      <c r="B990"/>
      <c r="C990"/>
      <c r="D990"/>
      <c r="E990"/>
      <c r="F990"/>
    </row>
    <row r="991" spans="1:6" ht="15" x14ac:dyDescent="0.25">
      <c r="A991"/>
      <c r="B991"/>
      <c r="C991"/>
      <c r="D991"/>
      <c r="E991"/>
      <c r="F991"/>
    </row>
    <row r="992" spans="1:6" ht="15" x14ac:dyDescent="0.25">
      <c r="A992"/>
      <c r="B992"/>
      <c r="C992"/>
      <c r="D992"/>
      <c r="E992"/>
      <c r="F992"/>
    </row>
    <row r="993" spans="1:6" ht="15" x14ac:dyDescent="0.25">
      <c r="A993"/>
      <c r="B993"/>
      <c r="C993"/>
      <c r="D993"/>
      <c r="E993"/>
      <c r="F993"/>
    </row>
    <row r="994" spans="1:6" ht="15" x14ac:dyDescent="0.25">
      <c r="A994"/>
      <c r="B994"/>
      <c r="C994"/>
      <c r="D994"/>
      <c r="E994"/>
      <c r="F994"/>
    </row>
    <row r="995" spans="1:6" ht="15" x14ac:dyDescent="0.25">
      <c r="A995"/>
      <c r="B995"/>
      <c r="C995"/>
      <c r="D995"/>
      <c r="E995"/>
      <c r="F995"/>
    </row>
    <row r="996" spans="1:6" ht="15" x14ac:dyDescent="0.25">
      <c r="A996"/>
      <c r="B996"/>
      <c r="C996"/>
      <c r="D996"/>
      <c r="E996"/>
      <c r="F996"/>
    </row>
    <row r="997" spans="1:6" ht="15" x14ac:dyDescent="0.25">
      <c r="A997"/>
      <c r="B997"/>
      <c r="C997"/>
      <c r="D997"/>
      <c r="E997"/>
      <c r="F997"/>
    </row>
    <row r="998" spans="1:6" ht="15" x14ac:dyDescent="0.25">
      <c r="A998"/>
      <c r="B998"/>
      <c r="C998"/>
      <c r="D998"/>
      <c r="E998"/>
      <c r="F998"/>
    </row>
    <row r="999" spans="1:6" ht="15" x14ac:dyDescent="0.25">
      <c r="A999"/>
      <c r="B999"/>
      <c r="C999"/>
      <c r="D999"/>
      <c r="E999"/>
      <c r="F999"/>
    </row>
    <row r="1000" spans="1:6" ht="15" x14ac:dyDescent="0.25">
      <c r="A1000"/>
      <c r="B1000"/>
      <c r="C1000"/>
      <c r="D1000"/>
      <c r="E1000"/>
      <c r="F1000"/>
    </row>
    <row r="1001" spans="1:6" ht="15" x14ac:dyDescent="0.25">
      <c r="A1001"/>
      <c r="B1001"/>
      <c r="C1001"/>
      <c r="D1001"/>
      <c r="E1001"/>
      <c r="F1001"/>
    </row>
    <row r="1002" spans="1:6" ht="15" x14ac:dyDescent="0.25">
      <c r="A1002"/>
      <c r="B1002"/>
      <c r="C1002"/>
      <c r="D1002"/>
      <c r="E1002"/>
      <c r="F1002"/>
    </row>
    <row r="1003" spans="1:6" ht="15" x14ac:dyDescent="0.25">
      <c r="A1003"/>
      <c r="B1003"/>
      <c r="C1003"/>
      <c r="D1003"/>
      <c r="E1003"/>
      <c r="F1003"/>
    </row>
    <row r="1004" spans="1:6" ht="15" x14ac:dyDescent="0.25">
      <c r="A1004"/>
      <c r="B1004"/>
      <c r="C1004"/>
      <c r="D1004"/>
      <c r="E1004"/>
      <c r="F1004"/>
    </row>
    <row r="1005" spans="1:6" ht="15" x14ac:dyDescent="0.25">
      <c r="A1005"/>
      <c r="B1005"/>
      <c r="C1005"/>
      <c r="D1005"/>
      <c r="E1005"/>
      <c r="F1005"/>
    </row>
    <row r="1006" spans="1:6" ht="15" x14ac:dyDescent="0.25">
      <c r="A1006"/>
      <c r="B1006"/>
      <c r="C1006"/>
      <c r="D1006"/>
      <c r="E1006"/>
      <c r="F1006"/>
    </row>
    <row r="1007" spans="1:6" ht="15" x14ac:dyDescent="0.25">
      <c r="A1007"/>
      <c r="B1007"/>
      <c r="C1007"/>
      <c r="D1007"/>
      <c r="E1007"/>
      <c r="F1007"/>
    </row>
    <row r="1008" spans="1:6" ht="15" x14ac:dyDescent="0.25">
      <c r="A1008"/>
      <c r="B1008"/>
      <c r="C1008"/>
      <c r="D1008"/>
      <c r="E1008"/>
      <c r="F1008"/>
    </row>
    <row r="1009" spans="1:6" ht="15" x14ac:dyDescent="0.25">
      <c r="A1009"/>
      <c r="B1009"/>
      <c r="C1009"/>
      <c r="D1009"/>
      <c r="E1009"/>
      <c r="F1009"/>
    </row>
    <row r="1010" spans="1:6" ht="15" x14ac:dyDescent="0.25">
      <c r="A1010"/>
      <c r="B1010"/>
      <c r="C1010"/>
      <c r="D1010"/>
      <c r="E1010"/>
      <c r="F1010"/>
    </row>
    <row r="1011" spans="1:6" ht="15" x14ac:dyDescent="0.25">
      <c r="A1011"/>
      <c r="B1011"/>
      <c r="C1011"/>
      <c r="D1011"/>
      <c r="E1011"/>
      <c r="F1011"/>
    </row>
    <row r="1012" spans="1:6" ht="15" x14ac:dyDescent="0.25">
      <c r="A1012"/>
      <c r="B1012"/>
      <c r="C1012"/>
      <c r="D1012"/>
      <c r="E1012"/>
      <c r="F1012"/>
    </row>
    <row r="1013" spans="1:6" ht="15" x14ac:dyDescent="0.25">
      <c r="A1013"/>
      <c r="B1013"/>
      <c r="C1013"/>
      <c r="D1013"/>
      <c r="E1013"/>
      <c r="F1013"/>
    </row>
    <row r="1014" spans="1:6" ht="15" x14ac:dyDescent="0.25">
      <c r="A1014"/>
      <c r="B1014"/>
      <c r="C1014"/>
      <c r="D1014"/>
      <c r="E1014"/>
      <c r="F1014"/>
    </row>
    <row r="1015" spans="1:6" ht="15" x14ac:dyDescent="0.25">
      <c r="A1015"/>
      <c r="B1015"/>
      <c r="C1015"/>
      <c r="D1015"/>
      <c r="E1015"/>
      <c r="F1015"/>
    </row>
    <row r="1016" spans="1:6" ht="15" x14ac:dyDescent="0.25">
      <c r="A1016"/>
      <c r="B1016"/>
      <c r="C1016"/>
      <c r="D1016"/>
      <c r="E1016"/>
      <c r="F1016"/>
    </row>
    <row r="1017" spans="1:6" ht="15" x14ac:dyDescent="0.25">
      <c r="A1017"/>
      <c r="B1017"/>
      <c r="C1017"/>
      <c r="D1017"/>
      <c r="E1017"/>
      <c r="F1017"/>
    </row>
    <row r="1018" spans="1:6" ht="15" x14ac:dyDescent="0.25">
      <c r="A1018"/>
      <c r="B1018"/>
      <c r="C1018"/>
      <c r="D1018"/>
      <c r="E1018"/>
      <c r="F1018"/>
    </row>
    <row r="1019" spans="1:6" ht="15" x14ac:dyDescent="0.25">
      <c r="A1019"/>
      <c r="B1019"/>
      <c r="C1019"/>
      <c r="D1019"/>
      <c r="E1019"/>
      <c r="F1019"/>
    </row>
    <row r="1020" spans="1:6" ht="15" x14ac:dyDescent="0.25">
      <c r="A1020"/>
      <c r="B1020"/>
      <c r="C1020"/>
      <c r="D1020"/>
      <c r="E1020"/>
      <c r="F1020"/>
    </row>
    <row r="1021" spans="1:6" ht="15" x14ac:dyDescent="0.25">
      <c r="A1021"/>
      <c r="B1021"/>
      <c r="C1021"/>
      <c r="D1021"/>
      <c r="E1021"/>
      <c r="F1021"/>
    </row>
    <row r="1022" spans="1:6" ht="15" x14ac:dyDescent="0.25">
      <c r="A1022"/>
      <c r="B1022"/>
      <c r="C1022"/>
      <c r="D1022"/>
      <c r="E1022"/>
      <c r="F1022"/>
    </row>
    <row r="1023" spans="1:6" ht="15" x14ac:dyDescent="0.25">
      <c r="A1023"/>
      <c r="B1023"/>
      <c r="C1023"/>
      <c r="D1023"/>
      <c r="E1023"/>
      <c r="F1023"/>
    </row>
    <row r="1024" spans="1:6" ht="15" x14ac:dyDescent="0.25">
      <c r="A1024"/>
      <c r="B1024"/>
      <c r="C1024"/>
      <c r="D1024"/>
      <c r="E1024"/>
      <c r="F1024"/>
    </row>
    <row r="1025" spans="1:6" ht="15" x14ac:dyDescent="0.25">
      <c r="A1025"/>
      <c r="B1025"/>
      <c r="C1025"/>
      <c r="D1025"/>
      <c r="E1025"/>
      <c r="F1025"/>
    </row>
    <row r="1026" spans="1:6" ht="15" x14ac:dyDescent="0.25">
      <c r="A1026"/>
      <c r="B1026"/>
      <c r="C1026"/>
      <c r="D1026"/>
      <c r="E1026"/>
      <c r="F1026"/>
    </row>
    <row r="1027" spans="1:6" ht="15" x14ac:dyDescent="0.25">
      <c r="A1027"/>
      <c r="B1027"/>
      <c r="C1027"/>
      <c r="D1027"/>
      <c r="E1027"/>
      <c r="F1027"/>
    </row>
    <row r="1028" spans="1:6" ht="15" x14ac:dyDescent="0.25">
      <c r="A1028"/>
      <c r="B1028"/>
      <c r="C1028"/>
      <c r="D1028"/>
      <c r="E1028"/>
      <c r="F1028"/>
    </row>
    <row r="1029" spans="1:6" ht="15" x14ac:dyDescent="0.25">
      <c r="A1029"/>
      <c r="B1029"/>
      <c r="C1029"/>
      <c r="D1029"/>
      <c r="E1029"/>
      <c r="F1029"/>
    </row>
    <row r="1030" spans="1:6" ht="15" x14ac:dyDescent="0.25">
      <c r="A1030"/>
      <c r="B1030"/>
      <c r="C1030"/>
      <c r="D1030"/>
      <c r="E1030"/>
      <c r="F1030"/>
    </row>
    <row r="1031" spans="1:6" ht="15" x14ac:dyDescent="0.25">
      <c r="A1031"/>
      <c r="B1031"/>
      <c r="C1031"/>
      <c r="D1031"/>
      <c r="E1031"/>
      <c r="F1031"/>
    </row>
    <row r="1032" spans="1:6" ht="15" x14ac:dyDescent="0.25">
      <c r="A1032"/>
      <c r="B1032"/>
      <c r="C1032"/>
      <c r="D1032"/>
      <c r="E1032"/>
      <c r="F1032"/>
    </row>
    <row r="1033" spans="1:6" ht="15" x14ac:dyDescent="0.25">
      <c r="A1033"/>
      <c r="B1033"/>
      <c r="C1033"/>
      <c r="D1033"/>
      <c r="E1033"/>
      <c r="F1033"/>
    </row>
    <row r="1034" spans="1:6" ht="15" x14ac:dyDescent="0.25">
      <c r="A1034"/>
      <c r="B1034"/>
      <c r="C1034"/>
      <c r="D1034"/>
      <c r="E1034"/>
      <c r="F1034"/>
    </row>
    <row r="1035" spans="1:6" ht="15" x14ac:dyDescent="0.25">
      <c r="A1035"/>
      <c r="B1035"/>
      <c r="C1035"/>
      <c r="D1035"/>
      <c r="E1035"/>
      <c r="F1035"/>
    </row>
    <row r="1036" spans="1:6" ht="15" x14ac:dyDescent="0.25">
      <c r="A1036"/>
      <c r="B1036"/>
      <c r="C1036"/>
      <c r="D1036"/>
      <c r="E1036"/>
      <c r="F1036"/>
    </row>
    <row r="1037" spans="1:6" ht="15" x14ac:dyDescent="0.25">
      <c r="A1037"/>
      <c r="B1037"/>
      <c r="C1037"/>
      <c r="D1037"/>
      <c r="E1037"/>
      <c r="F1037"/>
    </row>
    <row r="1038" spans="1:6" ht="15" x14ac:dyDescent="0.25">
      <c r="A1038"/>
      <c r="B1038"/>
      <c r="C1038"/>
      <c r="D1038"/>
      <c r="E1038"/>
      <c r="F1038"/>
    </row>
    <row r="1039" spans="1:6" ht="15" x14ac:dyDescent="0.25">
      <c r="A1039"/>
      <c r="B1039"/>
      <c r="C1039"/>
      <c r="D1039"/>
      <c r="E1039"/>
      <c r="F1039"/>
    </row>
    <row r="1040" spans="1:6" ht="15" x14ac:dyDescent="0.25">
      <c r="A1040"/>
      <c r="B1040"/>
      <c r="C1040"/>
      <c r="D1040"/>
      <c r="E1040"/>
      <c r="F1040"/>
    </row>
    <row r="1041" spans="1:6" ht="15" x14ac:dyDescent="0.25">
      <c r="A1041"/>
      <c r="B1041"/>
      <c r="C1041"/>
      <c r="D1041"/>
      <c r="E1041"/>
      <c r="F1041"/>
    </row>
    <row r="1042" spans="1:6" ht="15" x14ac:dyDescent="0.25">
      <c r="A1042"/>
      <c r="B1042"/>
      <c r="C1042"/>
      <c r="D1042"/>
      <c r="E1042"/>
      <c r="F1042"/>
    </row>
    <row r="1043" spans="1:6" ht="15" x14ac:dyDescent="0.25">
      <c r="A1043"/>
      <c r="B1043"/>
      <c r="C1043"/>
      <c r="D1043"/>
      <c r="E1043"/>
      <c r="F1043"/>
    </row>
    <row r="1044" spans="1:6" ht="15" x14ac:dyDescent="0.25">
      <c r="A1044"/>
      <c r="B1044"/>
      <c r="C1044"/>
      <c r="D1044"/>
      <c r="E1044"/>
      <c r="F1044"/>
    </row>
    <row r="1045" spans="1:6" ht="15" x14ac:dyDescent="0.25">
      <c r="A1045"/>
      <c r="B1045"/>
      <c r="C1045"/>
      <c r="D1045"/>
      <c r="E1045"/>
      <c r="F1045"/>
    </row>
    <row r="1046" spans="1:6" ht="15" x14ac:dyDescent="0.25">
      <c r="A1046"/>
      <c r="B1046"/>
      <c r="C1046"/>
      <c r="D1046"/>
      <c r="E1046"/>
      <c r="F1046"/>
    </row>
    <row r="1047" spans="1:6" ht="15" x14ac:dyDescent="0.25">
      <c r="A1047"/>
      <c r="B1047"/>
      <c r="C1047"/>
      <c r="D1047"/>
      <c r="E1047"/>
      <c r="F1047"/>
    </row>
    <row r="1048" spans="1:6" ht="15" x14ac:dyDescent="0.25">
      <c r="A1048"/>
      <c r="B1048"/>
      <c r="C1048"/>
      <c r="D1048"/>
      <c r="E1048"/>
      <c r="F1048"/>
    </row>
    <row r="1049" spans="1:6" ht="15" x14ac:dyDescent="0.25">
      <c r="A1049"/>
      <c r="B1049"/>
      <c r="C1049"/>
      <c r="D1049"/>
      <c r="E1049"/>
      <c r="F1049"/>
    </row>
    <row r="1050" spans="1:6" ht="15" x14ac:dyDescent="0.25">
      <c r="A1050"/>
      <c r="B1050"/>
      <c r="C1050"/>
      <c r="D1050"/>
      <c r="E1050"/>
      <c r="F1050"/>
    </row>
    <row r="1051" spans="1:6" ht="15" x14ac:dyDescent="0.25">
      <c r="A1051"/>
      <c r="B1051"/>
      <c r="C1051"/>
      <c r="D1051"/>
      <c r="E1051"/>
      <c r="F1051"/>
    </row>
    <row r="1052" spans="1:6" ht="15" x14ac:dyDescent="0.25">
      <c r="A1052"/>
      <c r="B1052"/>
      <c r="C1052"/>
      <c r="D1052"/>
      <c r="E1052"/>
      <c r="F1052"/>
    </row>
    <row r="1053" spans="1:6" ht="15" x14ac:dyDescent="0.25">
      <c r="A1053"/>
      <c r="B1053"/>
      <c r="C1053"/>
      <c r="D1053"/>
      <c r="E1053"/>
      <c r="F1053"/>
    </row>
    <row r="1054" spans="1:6" ht="15" x14ac:dyDescent="0.25">
      <c r="A1054"/>
      <c r="B1054"/>
      <c r="C1054"/>
      <c r="D1054"/>
      <c r="E1054"/>
      <c r="F1054"/>
    </row>
    <row r="1055" spans="1:6" ht="15" x14ac:dyDescent="0.25">
      <c r="A1055"/>
      <c r="B1055"/>
      <c r="C1055"/>
      <c r="D1055"/>
      <c r="E1055"/>
      <c r="F1055"/>
    </row>
    <row r="1056" spans="1:6" ht="15" x14ac:dyDescent="0.25">
      <c r="A1056"/>
      <c r="B1056"/>
      <c r="C1056"/>
      <c r="D1056"/>
      <c r="E1056"/>
      <c r="F1056"/>
    </row>
    <row r="1057" spans="1:6" ht="15" x14ac:dyDescent="0.25">
      <c r="A1057"/>
      <c r="B1057"/>
      <c r="C1057"/>
      <c r="D1057"/>
      <c r="E1057"/>
      <c r="F1057"/>
    </row>
    <row r="1058" spans="1:6" ht="15" x14ac:dyDescent="0.25">
      <c r="A1058"/>
      <c r="B1058"/>
      <c r="C1058"/>
      <c r="D1058"/>
      <c r="E1058"/>
      <c r="F1058"/>
    </row>
    <row r="1059" spans="1:6" ht="15" x14ac:dyDescent="0.25">
      <c r="A1059"/>
      <c r="B1059"/>
      <c r="C1059"/>
      <c r="D1059"/>
      <c r="E1059"/>
      <c r="F1059"/>
    </row>
    <row r="1060" spans="1:6" ht="15" x14ac:dyDescent="0.25">
      <c r="A1060"/>
      <c r="B1060"/>
      <c r="C1060"/>
      <c r="D1060"/>
      <c r="E1060"/>
      <c r="F1060"/>
    </row>
    <row r="1061" spans="1:6" ht="15" x14ac:dyDescent="0.25">
      <c r="A1061"/>
      <c r="B1061"/>
      <c r="C1061"/>
      <c r="D1061"/>
      <c r="E1061"/>
      <c r="F1061"/>
    </row>
    <row r="1062" spans="1:6" ht="15" x14ac:dyDescent="0.25">
      <c r="A1062"/>
      <c r="B1062"/>
      <c r="C1062"/>
      <c r="D1062"/>
      <c r="E1062"/>
      <c r="F1062"/>
    </row>
    <row r="1063" spans="1:6" ht="15" x14ac:dyDescent="0.25">
      <c r="A1063"/>
      <c r="B1063"/>
      <c r="C1063"/>
      <c r="D1063"/>
      <c r="E1063"/>
      <c r="F1063"/>
    </row>
    <row r="1064" spans="1:6" ht="15" x14ac:dyDescent="0.25">
      <c r="A1064"/>
      <c r="B1064"/>
      <c r="C1064"/>
      <c r="D1064"/>
      <c r="E1064"/>
      <c r="F1064"/>
    </row>
    <row r="1065" spans="1:6" ht="15" x14ac:dyDescent="0.25">
      <c r="A1065"/>
      <c r="B1065"/>
      <c r="C1065"/>
      <c r="D1065"/>
      <c r="E1065"/>
      <c r="F1065"/>
    </row>
    <row r="1066" spans="1:6" ht="15" x14ac:dyDescent="0.25">
      <c r="A1066" s="3"/>
      <c r="B1066" s="3"/>
      <c r="C1066" s="3"/>
      <c r="D1066" s="3"/>
      <c r="E1066" s="3"/>
      <c r="F1066" s="3"/>
    </row>
    <row r="1067" spans="1:6" ht="15" x14ac:dyDescent="0.25">
      <c r="A1067"/>
      <c r="B1067"/>
      <c r="C1067"/>
      <c r="D1067"/>
      <c r="E1067"/>
      <c r="F1067"/>
    </row>
    <row r="1068" spans="1:6" ht="15" x14ac:dyDescent="0.25">
      <c r="A1068"/>
      <c r="B1068"/>
      <c r="C1068"/>
      <c r="D1068"/>
      <c r="E1068"/>
      <c r="F1068"/>
    </row>
    <row r="1069" spans="1:6" ht="15" x14ac:dyDescent="0.25">
      <c r="A1069"/>
      <c r="B1069"/>
      <c r="C1069"/>
      <c r="D1069"/>
      <c r="E1069"/>
      <c r="F1069"/>
    </row>
    <row r="1070" spans="1:6" ht="15" x14ac:dyDescent="0.25">
      <c r="A1070"/>
      <c r="B1070"/>
      <c r="C1070"/>
      <c r="D1070"/>
      <c r="E1070"/>
      <c r="F1070"/>
    </row>
    <row r="1071" spans="1:6" ht="15" x14ac:dyDescent="0.25">
      <c r="A1071"/>
      <c r="B1071"/>
      <c r="C1071"/>
      <c r="D1071"/>
      <c r="E1071"/>
      <c r="F1071"/>
    </row>
    <row r="1072" spans="1:6" ht="15" x14ac:dyDescent="0.25">
      <c r="A1072"/>
      <c r="B1072"/>
      <c r="C1072"/>
      <c r="D1072"/>
      <c r="E1072"/>
      <c r="F1072"/>
    </row>
    <row r="1073" spans="1:6" ht="15" x14ac:dyDescent="0.25">
      <c r="A1073"/>
      <c r="B1073"/>
      <c r="C1073"/>
      <c r="D1073"/>
      <c r="E1073"/>
      <c r="F1073"/>
    </row>
    <row r="1074" spans="1:6" ht="15" x14ac:dyDescent="0.25">
      <c r="A1074"/>
      <c r="B1074"/>
      <c r="C1074"/>
      <c r="D1074"/>
      <c r="E1074"/>
      <c r="F1074"/>
    </row>
    <row r="1075" spans="1:6" ht="15" x14ac:dyDescent="0.25">
      <c r="A1075"/>
      <c r="B1075"/>
      <c r="C1075"/>
      <c r="D1075"/>
      <c r="E1075"/>
      <c r="F1075"/>
    </row>
    <row r="1076" spans="1:6" ht="15" x14ac:dyDescent="0.25">
      <c r="A1076"/>
      <c r="B1076"/>
      <c r="C1076"/>
      <c r="D1076"/>
      <c r="E1076"/>
      <c r="F1076"/>
    </row>
    <row r="1077" spans="1:6" ht="15" x14ac:dyDescent="0.25">
      <c r="A1077"/>
      <c r="B1077"/>
      <c r="C1077"/>
      <c r="D1077"/>
      <c r="E1077"/>
      <c r="F1077"/>
    </row>
    <row r="1078" spans="1:6" ht="15" x14ac:dyDescent="0.25">
      <c r="A1078"/>
      <c r="B1078"/>
      <c r="C1078"/>
      <c r="D1078"/>
      <c r="E1078"/>
      <c r="F1078"/>
    </row>
    <row r="1079" spans="1:6" ht="15" x14ac:dyDescent="0.25">
      <c r="A1079"/>
      <c r="B1079"/>
      <c r="C1079"/>
      <c r="D1079"/>
      <c r="E1079"/>
      <c r="F1079"/>
    </row>
    <row r="1080" spans="1:6" ht="15" x14ac:dyDescent="0.25">
      <c r="A1080"/>
      <c r="B1080"/>
      <c r="C1080"/>
      <c r="D1080"/>
      <c r="E1080"/>
      <c r="F1080"/>
    </row>
    <row r="1081" spans="1:6" ht="15" x14ac:dyDescent="0.25">
      <c r="A1081"/>
      <c r="B1081"/>
      <c r="C1081"/>
      <c r="D1081"/>
      <c r="E1081"/>
      <c r="F1081"/>
    </row>
    <row r="1082" spans="1:6" ht="15" x14ac:dyDescent="0.25">
      <c r="A1082"/>
      <c r="B1082"/>
      <c r="C1082"/>
      <c r="D1082"/>
      <c r="E1082"/>
      <c r="F1082"/>
    </row>
    <row r="1083" spans="1:6" ht="15" x14ac:dyDescent="0.25">
      <c r="A1083"/>
      <c r="B1083"/>
      <c r="C1083"/>
      <c r="D1083"/>
      <c r="E1083"/>
      <c r="F1083"/>
    </row>
    <row r="1084" spans="1:6" ht="15" x14ac:dyDescent="0.25">
      <c r="A1084"/>
      <c r="B1084"/>
      <c r="C1084"/>
      <c r="D1084"/>
      <c r="E1084"/>
      <c r="F1084"/>
    </row>
    <row r="1085" spans="1:6" ht="15" x14ac:dyDescent="0.25">
      <c r="A1085"/>
      <c r="B1085"/>
      <c r="C1085"/>
      <c r="D1085"/>
      <c r="E1085"/>
      <c r="F1085"/>
    </row>
    <row r="1086" spans="1:6" ht="15" x14ac:dyDescent="0.25">
      <c r="A1086"/>
      <c r="B1086"/>
      <c r="C1086"/>
      <c r="D1086"/>
      <c r="E1086"/>
      <c r="F1086"/>
    </row>
    <row r="1087" spans="1:6" ht="15" x14ac:dyDescent="0.25">
      <c r="A1087"/>
      <c r="B1087"/>
      <c r="C1087"/>
      <c r="D1087"/>
      <c r="E1087"/>
      <c r="F1087"/>
    </row>
    <row r="1088" spans="1:6" ht="15" x14ac:dyDescent="0.25">
      <c r="A1088"/>
      <c r="B1088"/>
      <c r="C1088"/>
      <c r="D1088"/>
      <c r="E1088"/>
      <c r="F1088"/>
    </row>
    <row r="1089" spans="1:6" ht="15" x14ac:dyDescent="0.25">
      <c r="A1089"/>
      <c r="B1089"/>
      <c r="C1089"/>
      <c r="D1089"/>
      <c r="E1089"/>
      <c r="F1089"/>
    </row>
    <row r="1090" spans="1:6" ht="15" x14ac:dyDescent="0.25">
      <c r="A1090"/>
      <c r="B1090"/>
      <c r="C1090"/>
      <c r="D1090"/>
      <c r="E1090"/>
      <c r="F1090"/>
    </row>
    <row r="1091" spans="1:6" ht="15" x14ac:dyDescent="0.25">
      <c r="A1091"/>
      <c r="B1091"/>
      <c r="C1091"/>
      <c r="D1091"/>
      <c r="E1091"/>
      <c r="F1091"/>
    </row>
    <row r="1092" spans="1:6" ht="15" x14ac:dyDescent="0.25">
      <c r="A1092"/>
      <c r="B1092"/>
      <c r="C1092"/>
      <c r="D1092"/>
      <c r="E1092"/>
      <c r="F1092"/>
    </row>
    <row r="1093" spans="1:6" ht="15" x14ac:dyDescent="0.25">
      <c r="A1093"/>
      <c r="B1093"/>
      <c r="C1093"/>
      <c r="D1093"/>
      <c r="E1093"/>
      <c r="F1093"/>
    </row>
    <row r="1094" spans="1:6" ht="15" x14ac:dyDescent="0.25">
      <c r="A1094"/>
      <c r="B1094"/>
      <c r="C1094"/>
      <c r="D1094"/>
      <c r="E1094"/>
      <c r="F1094"/>
    </row>
    <row r="1095" spans="1:6" ht="15" x14ac:dyDescent="0.25">
      <c r="A1095"/>
      <c r="B1095"/>
      <c r="C1095"/>
      <c r="D1095"/>
      <c r="E1095"/>
      <c r="F1095"/>
    </row>
    <row r="1096" spans="1:6" ht="15" x14ac:dyDescent="0.25">
      <c r="A1096"/>
      <c r="B1096"/>
      <c r="C1096"/>
      <c r="D1096"/>
      <c r="E1096"/>
      <c r="F1096"/>
    </row>
    <row r="1097" spans="1:6" ht="15" x14ac:dyDescent="0.25">
      <c r="A1097"/>
      <c r="B1097"/>
      <c r="C1097"/>
      <c r="D1097"/>
      <c r="E1097"/>
      <c r="F1097"/>
    </row>
    <row r="1098" spans="1:6" ht="15" x14ac:dyDescent="0.25">
      <c r="A1098"/>
      <c r="B1098"/>
      <c r="C1098"/>
      <c r="D1098"/>
      <c r="E1098"/>
      <c r="F1098"/>
    </row>
    <row r="1099" spans="1:6" ht="15" x14ac:dyDescent="0.25">
      <c r="A1099"/>
      <c r="B1099"/>
      <c r="C1099"/>
      <c r="D1099"/>
      <c r="E1099"/>
      <c r="F1099"/>
    </row>
    <row r="1100" spans="1:6" ht="15" x14ac:dyDescent="0.25">
      <c r="A1100"/>
      <c r="B1100"/>
      <c r="C1100"/>
      <c r="D1100"/>
      <c r="E1100"/>
      <c r="F1100"/>
    </row>
    <row r="1101" spans="1:6" ht="15" x14ac:dyDescent="0.25">
      <c r="A1101"/>
      <c r="B1101"/>
      <c r="C1101"/>
      <c r="D1101"/>
      <c r="E1101"/>
      <c r="F1101"/>
    </row>
    <row r="1102" spans="1:6" ht="15" x14ac:dyDescent="0.25">
      <c r="A1102"/>
      <c r="B1102"/>
      <c r="C1102"/>
      <c r="D1102"/>
      <c r="E1102"/>
      <c r="F1102"/>
    </row>
    <row r="1103" spans="1:6" ht="15" x14ac:dyDescent="0.25">
      <c r="A1103"/>
      <c r="B1103"/>
      <c r="C1103"/>
      <c r="D1103"/>
      <c r="E1103"/>
      <c r="F1103"/>
    </row>
    <row r="1104" spans="1:6" ht="15" x14ac:dyDescent="0.25">
      <c r="A1104"/>
      <c r="B1104"/>
      <c r="C1104"/>
      <c r="D1104"/>
      <c r="E1104"/>
      <c r="F1104"/>
    </row>
    <row r="1105" spans="1:6" ht="15" x14ac:dyDescent="0.25">
      <c r="A1105"/>
      <c r="B1105"/>
      <c r="C1105"/>
      <c r="D1105"/>
      <c r="E1105"/>
      <c r="F1105"/>
    </row>
    <row r="1106" spans="1:6" ht="15" x14ac:dyDescent="0.25">
      <c r="A1106"/>
      <c r="B1106"/>
      <c r="C1106"/>
      <c r="D1106"/>
      <c r="E1106"/>
      <c r="F1106"/>
    </row>
    <row r="1107" spans="1:6" ht="15" x14ac:dyDescent="0.25">
      <c r="A1107"/>
      <c r="B1107"/>
      <c r="C1107"/>
      <c r="D1107"/>
      <c r="E1107"/>
      <c r="F1107"/>
    </row>
    <row r="1108" spans="1:6" ht="15" x14ac:dyDescent="0.25">
      <c r="A1108"/>
      <c r="B1108"/>
      <c r="C1108"/>
      <c r="D1108"/>
      <c r="E1108"/>
      <c r="F1108"/>
    </row>
    <row r="1109" spans="1:6" ht="15" x14ac:dyDescent="0.25">
      <c r="A1109"/>
      <c r="B1109"/>
      <c r="C1109"/>
      <c r="D1109"/>
      <c r="E1109"/>
      <c r="F1109"/>
    </row>
    <row r="1110" spans="1:6" ht="15" x14ac:dyDescent="0.25">
      <c r="A1110"/>
      <c r="B1110"/>
      <c r="C1110"/>
      <c r="D1110"/>
      <c r="E1110"/>
      <c r="F1110"/>
    </row>
    <row r="1111" spans="1:6" ht="15" x14ac:dyDescent="0.25">
      <c r="A1111"/>
      <c r="B1111"/>
      <c r="C1111"/>
      <c r="D1111"/>
      <c r="E1111"/>
      <c r="F1111"/>
    </row>
    <row r="1112" spans="1:6" ht="15" x14ac:dyDescent="0.25">
      <c r="A1112"/>
      <c r="B1112"/>
      <c r="C1112"/>
      <c r="D1112"/>
      <c r="E1112"/>
      <c r="F1112"/>
    </row>
    <row r="1113" spans="1:6" ht="15" x14ac:dyDescent="0.25">
      <c r="A1113"/>
      <c r="B1113"/>
      <c r="C1113"/>
      <c r="D1113"/>
      <c r="E1113"/>
      <c r="F1113"/>
    </row>
    <row r="1114" spans="1:6" ht="15" x14ac:dyDescent="0.25">
      <c r="A1114"/>
      <c r="B1114"/>
      <c r="C1114"/>
      <c r="D1114"/>
      <c r="E1114"/>
      <c r="F1114"/>
    </row>
    <row r="1115" spans="1:6" ht="15" x14ac:dyDescent="0.25">
      <c r="A1115"/>
      <c r="B1115"/>
      <c r="C1115"/>
      <c r="D1115"/>
      <c r="E1115"/>
      <c r="F1115"/>
    </row>
    <row r="1116" spans="1:6" ht="15" x14ac:dyDescent="0.25">
      <c r="A1116"/>
      <c r="B1116"/>
      <c r="C1116"/>
      <c r="D1116"/>
      <c r="E1116"/>
      <c r="F1116"/>
    </row>
    <row r="1117" spans="1:6" ht="15" x14ac:dyDescent="0.25">
      <c r="A1117"/>
      <c r="B1117"/>
      <c r="C1117"/>
      <c r="D1117"/>
      <c r="E1117"/>
      <c r="F1117"/>
    </row>
    <row r="1118" spans="1:6" ht="15" x14ac:dyDescent="0.25">
      <c r="A1118"/>
      <c r="B1118"/>
      <c r="C1118"/>
      <c r="D1118"/>
      <c r="E1118"/>
      <c r="F1118"/>
    </row>
    <row r="1119" spans="1:6" ht="15" x14ac:dyDescent="0.25">
      <c r="A1119"/>
      <c r="B1119"/>
      <c r="C1119"/>
      <c r="D1119"/>
      <c r="E1119"/>
      <c r="F1119"/>
    </row>
    <row r="1120" spans="1:6" ht="15" x14ac:dyDescent="0.25">
      <c r="A1120"/>
      <c r="B1120"/>
      <c r="C1120"/>
      <c r="D1120"/>
      <c r="E1120"/>
      <c r="F1120"/>
    </row>
    <row r="1121" spans="1:6" ht="15" x14ac:dyDescent="0.25">
      <c r="A1121"/>
      <c r="B1121"/>
      <c r="C1121"/>
      <c r="D1121"/>
      <c r="E1121"/>
      <c r="F1121"/>
    </row>
    <row r="1122" spans="1:6" ht="15" x14ac:dyDescent="0.25">
      <c r="A1122"/>
      <c r="B1122"/>
      <c r="C1122"/>
      <c r="D1122"/>
      <c r="E1122"/>
      <c r="F1122"/>
    </row>
    <row r="1123" spans="1:6" ht="15" x14ac:dyDescent="0.25">
      <c r="A1123"/>
      <c r="B1123"/>
      <c r="C1123"/>
      <c r="D1123"/>
      <c r="E1123"/>
      <c r="F1123"/>
    </row>
    <row r="1124" spans="1:6" ht="15" x14ac:dyDescent="0.25">
      <c r="A1124"/>
      <c r="B1124"/>
      <c r="C1124"/>
      <c r="D1124"/>
      <c r="E1124"/>
      <c r="F1124"/>
    </row>
    <row r="1125" spans="1:6" ht="15" x14ac:dyDescent="0.25">
      <c r="A1125"/>
      <c r="B1125"/>
      <c r="C1125"/>
      <c r="D1125"/>
      <c r="E1125"/>
      <c r="F1125"/>
    </row>
    <row r="1126" spans="1:6" ht="15" x14ac:dyDescent="0.25">
      <c r="A1126"/>
      <c r="B1126"/>
      <c r="C1126"/>
      <c r="D1126"/>
      <c r="E1126"/>
      <c r="F1126"/>
    </row>
    <row r="1127" spans="1:6" ht="15" x14ac:dyDescent="0.25">
      <c r="A1127"/>
      <c r="B1127"/>
      <c r="C1127"/>
      <c r="D1127"/>
      <c r="E1127"/>
      <c r="F1127"/>
    </row>
    <row r="1128" spans="1:6" ht="15" x14ac:dyDescent="0.25">
      <c r="A1128"/>
      <c r="B1128"/>
      <c r="C1128"/>
      <c r="D1128"/>
      <c r="E1128"/>
      <c r="F1128"/>
    </row>
    <row r="1129" spans="1:6" ht="15" x14ac:dyDescent="0.25">
      <c r="A1129"/>
      <c r="B1129"/>
      <c r="C1129"/>
      <c r="D1129"/>
      <c r="E1129"/>
      <c r="F1129"/>
    </row>
    <row r="1130" spans="1:6" ht="15" x14ac:dyDescent="0.25">
      <c r="A1130"/>
      <c r="B1130"/>
      <c r="C1130"/>
      <c r="D1130"/>
      <c r="E1130"/>
      <c r="F1130"/>
    </row>
    <row r="1131" spans="1:6" ht="15" x14ac:dyDescent="0.25">
      <c r="A1131"/>
      <c r="B1131"/>
      <c r="C1131"/>
      <c r="D1131"/>
      <c r="E1131"/>
      <c r="F1131"/>
    </row>
    <row r="1132" spans="1:6" ht="15" x14ac:dyDescent="0.25">
      <c r="A1132"/>
      <c r="B1132"/>
      <c r="C1132"/>
      <c r="D1132"/>
      <c r="E1132"/>
      <c r="F1132"/>
    </row>
    <row r="1133" spans="1:6" ht="15" x14ac:dyDescent="0.25">
      <c r="A1133"/>
      <c r="B1133"/>
      <c r="C1133"/>
      <c r="D1133"/>
      <c r="E1133"/>
      <c r="F1133"/>
    </row>
    <row r="1134" spans="1:6" ht="15" x14ac:dyDescent="0.25">
      <c r="A1134"/>
      <c r="B1134"/>
      <c r="C1134"/>
      <c r="D1134"/>
      <c r="E1134"/>
      <c r="F1134"/>
    </row>
    <row r="1135" spans="1:6" ht="15" x14ac:dyDescent="0.25">
      <c r="A1135"/>
      <c r="B1135"/>
      <c r="C1135"/>
      <c r="D1135"/>
      <c r="E1135"/>
      <c r="F1135"/>
    </row>
    <row r="1136" spans="1:6" ht="15" x14ac:dyDescent="0.25">
      <c r="A1136"/>
      <c r="B1136"/>
      <c r="C1136"/>
      <c r="D1136"/>
      <c r="E1136"/>
      <c r="F1136"/>
    </row>
    <row r="1137" spans="1:6" ht="15" x14ac:dyDescent="0.25">
      <c r="A1137"/>
      <c r="B1137"/>
      <c r="C1137"/>
      <c r="D1137"/>
      <c r="E1137"/>
      <c r="F1137"/>
    </row>
    <row r="1138" spans="1:6" ht="15" x14ac:dyDescent="0.25">
      <c r="A1138"/>
      <c r="B1138"/>
      <c r="C1138"/>
      <c r="D1138"/>
      <c r="E1138"/>
      <c r="F1138"/>
    </row>
    <row r="1139" spans="1:6" ht="15" x14ac:dyDescent="0.25">
      <c r="A1139"/>
      <c r="B1139"/>
      <c r="C1139"/>
      <c r="D1139"/>
      <c r="E1139"/>
      <c r="F1139"/>
    </row>
    <row r="1140" spans="1:6" ht="15" x14ac:dyDescent="0.25">
      <c r="A1140"/>
      <c r="B1140"/>
      <c r="C1140"/>
      <c r="D1140"/>
      <c r="E1140"/>
      <c r="F1140"/>
    </row>
    <row r="1141" spans="1:6" ht="15" x14ac:dyDescent="0.25">
      <c r="A1141"/>
      <c r="B1141"/>
      <c r="C1141"/>
      <c r="D1141"/>
      <c r="E1141"/>
      <c r="F1141"/>
    </row>
    <row r="1142" spans="1:6" ht="15" x14ac:dyDescent="0.25">
      <c r="A1142"/>
      <c r="B1142"/>
      <c r="C1142"/>
      <c r="D1142"/>
      <c r="E1142"/>
      <c r="F1142"/>
    </row>
    <row r="1143" spans="1:6" ht="15" x14ac:dyDescent="0.25">
      <c r="A1143"/>
      <c r="B1143"/>
      <c r="C1143"/>
      <c r="D1143"/>
      <c r="E1143"/>
      <c r="F1143"/>
    </row>
    <row r="1144" spans="1:6" ht="15" x14ac:dyDescent="0.25">
      <c r="A1144"/>
      <c r="B1144"/>
      <c r="C1144"/>
      <c r="D1144"/>
      <c r="E1144"/>
      <c r="F1144"/>
    </row>
    <row r="1145" spans="1:6" ht="15" x14ac:dyDescent="0.25">
      <c r="A1145"/>
      <c r="B1145"/>
      <c r="C1145"/>
      <c r="D1145"/>
      <c r="E1145"/>
      <c r="F1145"/>
    </row>
    <row r="1146" spans="1:6" ht="15" x14ac:dyDescent="0.25">
      <c r="A1146"/>
      <c r="B1146"/>
      <c r="C1146"/>
      <c r="D1146"/>
      <c r="E1146"/>
      <c r="F1146"/>
    </row>
    <row r="1147" spans="1:6" ht="15" x14ac:dyDescent="0.25">
      <c r="A1147"/>
      <c r="B1147"/>
      <c r="C1147"/>
      <c r="D1147"/>
      <c r="E1147"/>
      <c r="F1147"/>
    </row>
    <row r="1148" spans="1:6" ht="15" x14ac:dyDescent="0.25">
      <c r="A1148"/>
      <c r="B1148"/>
      <c r="C1148"/>
      <c r="D1148"/>
      <c r="E1148"/>
      <c r="F1148"/>
    </row>
    <row r="1149" spans="1:6" ht="15" x14ac:dyDescent="0.25">
      <c r="A1149"/>
      <c r="B1149"/>
      <c r="C1149"/>
      <c r="D1149"/>
      <c r="E1149"/>
      <c r="F1149"/>
    </row>
    <row r="1150" spans="1:6" ht="15" x14ac:dyDescent="0.25">
      <c r="A1150"/>
      <c r="B1150"/>
      <c r="C1150"/>
      <c r="D1150"/>
      <c r="E1150"/>
      <c r="F1150"/>
    </row>
    <row r="1151" spans="1:6" ht="15" x14ac:dyDescent="0.25">
      <c r="A1151"/>
      <c r="B1151"/>
      <c r="C1151"/>
      <c r="D1151"/>
      <c r="E1151"/>
      <c r="F1151"/>
    </row>
    <row r="1152" spans="1:6" ht="15" x14ac:dyDescent="0.25">
      <c r="A1152"/>
      <c r="B1152"/>
      <c r="C1152"/>
      <c r="D1152"/>
      <c r="E1152"/>
      <c r="F1152"/>
    </row>
    <row r="1153" spans="1:6" ht="15" x14ac:dyDescent="0.25">
      <c r="A1153"/>
      <c r="B1153"/>
      <c r="C1153"/>
      <c r="D1153"/>
      <c r="E1153"/>
      <c r="F1153"/>
    </row>
    <row r="1154" spans="1:6" ht="15" x14ac:dyDescent="0.25">
      <c r="A1154"/>
      <c r="B1154"/>
      <c r="C1154"/>
      <c r="D1154"/>
      <c r="E1154"/>
      <c r="F1154"/>
    </row>
    <row r="1155" spans="1:6" ht="15" x14ac:dyDescent="0.25">
      <c r="A1155"/>
      <c r="B1155"/>
      <c r="C1155"/>
      <c r="D1155"/>
      <c r="E1155"/>
      <c r="F1155"/>
    </row>
    <row r="1156" spans="1:6" ht="15" x14ac:dyDescent="0.25">
      <c r="A1156"/>
      <c r="B1156"/>
      <c r="C1156"/>
      <c r="D1156"/>
      <c r="E1156"/>
      <c r="F1156"/>
    </row>
    <row r="1157" spans="1:6" ht="15" x14ac:dyDescent="0.25">
      <c r="A1157"/>
      <c r="B1157"/>
      <c r="C1157"/>
      <c r="D1157"/>
      <c r="E1157"/>
      <c r="F1157"/>
    </row>
    <row r="1158" spans="1:6" ht="15" x14ac:dyDescent="0.25">
      <c r="A1158"/>
      <c r="B1158"/>
      <c r="C1158"/>
      <c r="D1158"/>
      <c r="E1158"/>
      <c r="F1158"/>
    </row>
    <row r="1159" spans="1:6" ht="15" x14ac:dyDescent="0.25">
      <c r="A1159"/>
      <c r="B1159"/>
      <c r="C1159"/>
      <c r="D1159"/>
      <c r="E1159"/>
      <c r="F1159"/>
    </row>
    <row r="1160" spans="1:6" ht="15" x14ac:dyDescent="0.25">
      <c r="A1160"/>
      <c r="B1160"/>
      <c r="C1160"/>
      <c r="D1160"/>
      <c r="E1160"/>
      <c r="F1160"/>
    </row>
    <row r="1161" spans="1:6" ht="15" x14ac:dyDescent="0.25">
      <c r="A1161"/>
      <c r="B1161"/>
      <c r="C1161"/>
      <c r="D1161"/>
      <c r="E1161"/>
      <c r="F1161"/>
    </row>
    <row r="1162" spans="1:6" ht="15" x14ac:dyDescent="0.25">
      <c r="A1162"/>
      <c r="B1162"/>
      <c r="C1162"/>
      <c r="D1162"/>
      <c r="E1162"/>
      <c r="F1162"/>
    </row>
    <row r="1163" spans="1:6" ht="15" x14ac:dyDescent="0.25">
      <c r="A1163"/>
      <c r="B1163"/>
      <c r="C1163"/>
      <c r="D1163"/>
      <c r="E1163"/>
      <c r="F1163"/>
    </row>
    <row r="1164" spans="1:6" ht="15" x14ac:dyDescent="0.25">
      <c r="A1164"/>
      <c r="B1164"/>
      <c r="C1164"/>
      <c r="D1164"/>
      <c r="E1164"/>
      <c r="F1164"/>
    </row>
    <row r="1165" spans="1:6" ht="15" x14ac:dyDescent="0.25">
      <c r="A1165"/>
      <c r="B1165"/>
      <c r="C1165"/>
      <c r="D1165"/>
      <c r="E1165"/>
      <c r="F1165"/>
    </row>
    <row r="1166" spans="1:6" ht="15" x14ac:dyDescent="0.25">
      <c r="A1166"/>
      <c r="B1166"/>
      <c r="C1166"/>
      <c r="D1166"/>
      <c r="E1166"/>
      <c r="F1166"/>
    </row>
    <row r="1167" spans="1:6" ht="15" x14ac:dyDescent="0.25">
      <c r="A1167"/>
      <c r="B1167"/>
      <c r="C1167"/>
      <c r="D1167"/>
      <c r="E1167"/>
      <c r="F1167"/>
    </row>
    <row r="1168" spans="1:6" ht="15" x14ac:dyDescent="0.25">
      <c r="A1168"/>
      <c r="B1168"/>
      <c r="C1168"/>
      <c r="D1168"/>
      <c r="E1168"/>
      <c r="F1168"/>
    </row>
    <row r="1169" spans="1:6" ht="15" x14ac:dyDescent="0.25">
      <c r="A1169"/>
      <c r="B1169"/>
      <c r="C1169"/>
      <c r="D1169"/>
      <c r="E1169"/>
      <c r="F1169"/>
    </row>
    <row r="1170" spans="1:6" ht="15" x14ac:dyDescent="0.25">
      <c r="A1170"/>
      <c r="B1170"/>
      <c r="C1170"/>
      <c r="D1170"/>
      <c r="E1170"/>
      <c r="F1170"/>
    </row>
    <row r="1171" spans="1:6" ht="15" x14ac:dyDescent="0.25">
      <c r="A1171"/>
      <c r="B1171"/>
      <c r="C1171"/>
      <c r="D1171"/>
      <c r="E1171"/>
      <c r="F1171"/>
    </row>
    <row r="1172" spans="1:6" ht="15" x14ac:dyDescent="0.25">
      <c r="A1172"/>
      <c r="B1172"/>
      <c r="C1172"/>
      <c r="D1172"/>
      <c r="E1172"/>
      <c r="F1172"/>
    </row>
    <row r="1173" spans="1:6" ht="15" x14ac:dyDescent="0.25">
      <c r="A1173"/>
      <c r="B1173"/>
      <c r="C1173"/>
      <c r="D1173"/>
      <c r="E1173"/>
      <c r="F1173"/>
    </row>
    <row r="1174" spans="1:6" ht="15" x14ac:dyDescent="0.25">
      <c r="A1174"/>
      <c r="B1174"/>
      <c r="C1174"/>
      <c r="D1174"/>
      <c r="E1174"/>
      <c r="F1174"/>
    </row>
    <row r="1175" spans="1:6" ht="15" x14ac:dyDescent="0.25">
      <c r="A1175"/>
      <c r="B1175"/>
      <c r="C1175"/>
      <c r="D1175"/>
      <c r="E1175"/>
      <c r="F1175"/>
    </row>
    <row r="1176" spans="1:6" ht="15" x14ac:dyDescent="0.25">
      <c r="A1176"/>
      <c r="B1176"/>
      <c r="C1176"/>
      <c r="D1176"/>
      <c r="E1176"/>
      <c r="F1176"/>
    </row>
    <row r="1177" spans="1:6" ht="15" x14ac:dyDescent="0.25">
      <c r="A1177"/>
      <c r="B1177"/>
      <c r="C1177"/>
      <c r="D1177"/>
      <c r="E1177"/>
      <c r="F1177"/>
    </row>
    <row r="1178" spans="1:6" ht="15" x14ac:dyDescent="0.25">
      <c r="A1178"/>
      <c r="B1178"/>
      <c r="C1178"/>
      <c r="D1178"/>
      <c r="E1178"/>
      <c r="F1178"/>
    </row>
    <row r="1179" spans="1:6" ht="15" x14ac:dyDescent="0.25">
      <c r="A1179"/>
      <c r="B1179"/>
      <c r="C1179"/>
      <c r="D1179"/>
      <c r="E1179"/>
      <c r="F1179"/>
    </row>
    <row r="1180" spans="1:6" ht="15" x14ac:dyDescent="0.25">
      <c r="A1180"/>
      <c r="B1180"/>
      <c r="C1180"/>
      <c r="D1180"/>
      <c r="E1180"/>
      <c r="F1180"/>
    </row>
    <row r="1181" spans="1:6" ht="15" x14ac:dyDescent="0.25">
      <c r="A1181"/>
      <c r="B1181"/>
      <c r="C1181"/>
      <c r="D1181"/>
      <c r="E1181"/>
      <c r="F1181"/>
    </row>
    <row r="1182" spans="1:6" ht="15" x14ac:dyDescent="0.25">
      <c r="A1182"/>
      <c r="B1182"/>
      <c r="C1182"/>
      <c r="D1182"/>
      <c r="E1182"/>
      <c r="F1182"/>
    </row>
    <row r="1183" spans="1:6" ht="15" x14ac:dyDescent="0.25">
      <c r="A1183"/>
      <c r="B1183"/>
      <c r="C1183"/>
      <c r="D1183"/>
      <c r="E1183"/>
      <c r="F1183"/>
    </row>
    <row r="1184" spans="1:6" ht="15" x14ac:dyDescent="0.25">
      <c r="A1184"/>
      <c r="B1184"/>
      <c r="C1184"/>
      <c r="D1184"/>
      <c r="E1184"/>
      <c r="F1184"/>
    </row>
    <row r="1185" spans="1:6" ht="15" x14ac:dyDescent="0.25">
      <c r="A1185"/>
      <c r="B1185"/>
      <c r="C1185"/>
      <c r="D1185"/>
      <c r="E1185"/>
      <c r="F1185"/>
    </row>
    <row r="1186" spans="1:6" ht="15" x14ac:dyDescent="0.25">
      <c r="A1186"/>
      <c r="B1186"/>
      <c r="C1186"/>
      <c r="D1186"/>
      <c r="E1186"/>
      <c r="F1186"/>
    </row>
    <row r="1187" spans="1:6" ht="15" x14ac:dyDescent="0.25">
      <c r="A1187"/>
      <c r="B1187"/>
      <c r="C1187"/>
      <c r="D1187"/>
      <c r="E1187"/>
      <c r="F1187"/>
    </row>
    <row r="1188" spans="1:6" ht="15" x14ac:dyDescent="0.25">
      <c r="A1188"/>
      <c r="B1188"/>
      <c r="C1188"/>
      <c r="D1188"/>
      <c r="E1188"/>
      <c r="F1188"/>
    </row>
    <row r="1189" spans="1:6" ht="15" x14ac:dyDescent="0.25">
      <c r="A1189"/>
      <c r="B1189"/>
      <c r="C1189"/>
      <c r="D1189"/>
      <c r="E1189"/>
      <c r="F1189"/>
    </row>
    <row r="1190" spans="1:6" ht="15" x14ac:dyDescent="0.25">
      <c r="A1190"/>
      <c r="B1190"/>
      <c r="C1190"/>
      <c r="D1190"/>
      <c r="E1190"/>
      <c r="F1190"/>
    </row>
    <row r="1191" spans="1:6" ht="15" x14ac:dyDescent="0.25">
      <c r="A1191"/>
      <c r="B1191"/>
      <c r="C1191"/>
      <c r="D1191"/>
      <c r="E1191"/>
      <c r="F1191"/>
    </row>
    <row r="1192" spans="1:6" ht="15" x14ac:dyDescent="0.25">
      <c r="A1192"/>
      <c r="B1192"/>
      <c r="C1192"/>
      <c r="D1192"/>
      <c r="E1192"/>
      <c r="F1192"/>
    </row>
    <row r="1193" spans="1:6" ht="15" x14ac:dyDescent="0.25">
      <c r="A1193"/>
      <c r="B1193"/>
      <c r="C1193"/>
      <c r="D1193"/>
      <c r="E1193"/>
      <c r="F1193"/>
    </row>
    <row r="1194" spans="1:6" ht="15" x14ac:dyDescent="0.25">
      <c r="A1194"/>
      <c r="B1194"/>
      <c r="C1194"/>
      <c r="D1194"/>
      <c r="E1194"/>
      <c r="F1194"/>
    </row>
    <row r="1195" spans="1:6" ht="15" x14ac:dyDescent="0.25">
      <c r="A1195"/>
      <c r="B1195"/>
      <c r="C1195"/>
      <c r="D1195"/>
      <c r="E1195"/>
      <c r="F1195"/>
    </row>
    <row r="1196" spans="1:6" ht="15" x14ac:dyDescent="0.25">
      <c r="A1196"/>
      <c r="B1196"/>
      <c r="C1196"/>
      <c r="D1196"/>
      <c r="E1196"/>
      <c r="F1196"/>
    </row>
    <row r="1197" spans="1:6" ht="15" x14ac:dyDescent="0.25">
      <c r="A1197"/>
      <c r="B1197"/>
      <c r="C1197"/>
      <c r="D1197"/>
      <c r="E1197"/>
      <c r="F1197"/>
    </row>
    <row r="1198" spans="1:6" ht="15" x14ac:dyDescent="0.25">
      <c r="A1198"/>
      <c r="B1198"/>
      <c r="C1198"/>
      <c r="D1198"/>
      <c r="E1198"/>
      <c r="F1198"/>
    </row>
    <row r="1199" spans="1:6" ht="15" x14ac:dyDescent="0.25">
      <c r="A1199"/>
      <c r="B1199"/>
      <c r="C1199"/>
      <c r="D1199"/>
      <c r="E1199"/>
      <c r="F1199"/>
    </row>
    <row r="1200" spans="1:6" ht="15" x14ac:dyDescent="0.25">
      <c r="A1200"/>
      <c r="B1200"/>
      <c r="C1200"/>
      <c r="D1200"/>
      <c r="E1200"/>
      <c r="F1200"/>
    </row>
    <row r="1201" spans="1:6" ht="15" x14ac:dyDescent="0.25">
      <c r="A1201"/>
      <c r="B1201"/>
      <c r="C1201"/>
      <c r="D1201"/>
      <c r="E1201"/>
      <c r="F1201"/>
    </row>
    <row r="1202" spans="1:6" ht="15" x14ac:dyDescent="0.25">
      <c r="A1202"/>
      <c r="B1202"/>
      <c r="C1202"/>
      <c r="D1202"/>
      <c r="E1202"/>
      <c r="F1202"/>
    </row>
    <row r="1203" spans="1:6" ht="15" x14ac:dyDescent="0.25">
      <c r="A1203"/>
      <c r="B1203"/>
      <c r="C1203"/>
      <c r="D1203"/>
      <c r="E1203"/>
      <c r="F1203"/>
    </row>
    <row r="1204" spans="1:6" ht="15" x14ac:dyDescent="0.25">
      <c r="A1204"/>
      <c r="B1204"/>
      <c r="C1204"/>
      <c r="D1204"/>
      <c r="E1204"/>
      <c r="F1204"/>
    </row>
    <row r="1205" spans="1:6" ht="15" x14ac:dyDescent="0.25">
      <c r="A1205"/>
      <c r="B1205"/>
      <c r="C1205"/>
      <c r="D1205"/>
      <c r="E1205"/>
      <c r="F1205"/>
    </row>
    <row r="1206" spans="1:6" ht="15" x14ac:dyDescent="0.25">
      <c r="A1206"/>
      <c r="B1206"/>
      <c r="C1206"/>
      <c r="D1206"/>
      <c r="E1206"/>
      <c r="F1206"/>
    </row>
    <row r="1207" spans="1:6" ht="15" x14ac:dyDescent="0.25">
      <c r="A1207"/>
      <c r="B1207"/>
      <c r="C1207"/>
      <c r="D1207"/>
      <c r="E1207"/>
      <c r="F1207"/>
    </row>
    <row r="1208" spans="1:6" ht="15" x14ac:dyDescent="0.25">
      <c r="A1208"/>
      <c r="B1208"/>
      <c r="C1208"/>
      <c r="D1208"/>
      <c r="E1208"/>
      <c r="F1208"/>
    </row>
    <row r="1209" spans="1:6" ht="15" x14ac:dyDescent="0.25">
      <c r="A1209"/>
      <c r="B1209"/>
      <c r="C1209"/>
      <c r="D1209"/>
      <c r="E1209"/>
      <c r="F1209"/>
    </row>
    <row r="1210" spans="1:6" ht="15" x14ac:dyDescent="0.25">
      <c r="A1210"/>
      <c r="B1210"/>
      <c r="C1210"/>
      <c r="D1210"/>
      <c r="E1210"/>
      <c r="F1210"/>
    </row>
    <row r="1211" spans="1:6" ht="15" x14ac:dyDescent="0.25">
      <c r="A1211"/>
      <c r="B1211"/>
      <c r="C1211"/>
      <c r="D1211"/>
      <c r="E1211"/>
      <c r="F1211"/>
    </row>
    <row r="1212" spans="1:6" ht="15" x14ac:dyDescent="0.25">
      <c r="A1212"/>
      <c r="B1212"/>
      <c r="C1212"/>
      <c r="D1212"/>
      <c r="E1212"/>
      <c r="F1212"/>
    </row>
    <row r="1213" spans="1:6" ht="15" x14ac:dyDescent="0.25">
      <c r="A1213"/>
      <c r="B1213"/>
      <c r="C1213"/>
      <c r="D1213"/>
      <c r="E1213"/>
      <c r="F1213"/>
    </row>
    <row r="1214" spans="1:6" ht="15" x14ac:dyDescent="0.25">
      <c r="A1214"/>
      <c r="B1214"/>
      <c r="C1214"/>
      <c r="D1214"/>
      <c r="E1214"/>
      <c r="F1214"/>
    </row>
    <row r="1215" spans="1:6" ht="15" x14ac:dyDescent="0.25">
      <c r="A1215"/>
      <c r="B1215"/>
      <c r="C1215"/>
      <c r="D1215"/>
      <c r="E1215"/>
      <c r="F1215"/>
    </row>
    <row r="1216" spans="1:6" ht="15" x14ac:dyDescent="0.25">
      <c r="A1216"/>
      <c r="B1216"/>
      <c r="C1216"/>
      <c r="D1216"/>
      <c r="E1216"/>
      <c r="F1216"/>
    </row>
    <row r="1217" spans="1:6" ht="15" x14ac:dyDescent="0.25">
      <c r="A1217"/>
      <c r="B1217"/>
      <c r="C1217"/>
      <c r="D1217"/>
      <c r="E1217"/>
      <c r="F1217"/>
    </row>
    <row r="1218" spans="1:6" ht="15" x14ac:dyDescent="0.25">
      <c r="A1218"/>
      <c r="B1218"/>
      <c r="C1218"/>
      <c r="D1218"/>
      <c r="E1218"/>
      <c r="F1218"/>
    </row>
    <row r="1219" spans="1:6" ht="15" x14ac:dyDescent="0.25">
      <c r="A1219"/>
      <c r="B1219"/>
      <c r="C1219"/>
      <c r="D1219"/>
      <c r="E1219"/>
      <c r="F1219"/>
    </row>
    <row r="1220" spans="1:6" ht="15" x14ac:dyDescent="0.25">
      <c r="A1220"/>
      <c r="B1220"/>
      <c r="C1220"/>
      <c r="D1220"/>
      <c r="E1220"/>
      <c r="F1220"/>
    </row>
    <row r="1221" spans="1:6" ht="15" x14ac:dyDescent="0.25">
      <c r="A1221"/>
      <c r="B1221"/>
      <c r="C1221"/>
      <c r="D1221"/>
      <c r="E1221"/>
      <c r="F1221"/>
    </row>
    <row r="1222" spans="1:6" ht="15" x14ac:dyDescent="0.25">
      <c r="A1222"/>
      <c r="B1222"/>
      <c r="C1222"/>
      <c r="D1222"/>
      <c r="E1222"/>
      <c r="F1222"/>
    </row>
    <row r="1223" spans="1:6" ht="15" x14ac:dyDescent="0.25">
      <c r="A1223"/>
      <c r="B1223"/>
      <c r="C1223"/>
      <c r="D1223"/>
      <c r="E1223"/>
      <c r="F1223"/>
    </row>
    <row r="1224" spans="1:6" ht="15" x14ac:dyDescent="0.25">
      <c r="A1224"/>
      <c r="B1224"/>
      <c r="C1224"/>
      <c r="D1224"/>
      <c r="E1224"/>
      <c r="F1224"/>
    </row>
    <row r="1225" spans="1:6" ht="15" x14ac:dyDescent="0.25">
      <c r="A1225"/>
      <c r="B1225"/>
      <c r="C1225"/>
      <c r="D1225"/>
      <c r="E1225"/>
      <c r="F1225"/>
    </row>
    <row r="1226" spans="1:6" ht="15" x14ac:dyDescent="0.25">
      <c r="A1226"/>
      <c r="B1226"/>
      <c r="C1226"/>
      <c r="D1226"/>
      <c r="E1226"/>
      <c r="F1226"/>
    </row>
    <row r="1227" spans="1:6" ht="15" x14ac:dyDescent="0.25">
      <c r="A1227"/>
      <c r="B1227"/>
      <c r="C1227"/>
      <c r="D1227"/>
      <c r="E1227"/>
      <c r="F1227"/>
    </row>
    <row r="1228" spans="1:6" ht="15" x14ac:dyDescent="0.25">
      <c r="A1228"/>
      <c r="B1228"/>
      <c r="C1228"/>
      <c r="D1228"/>
      <c r="E1228"/>
      <c r="F1228"/>
    </row>
    <row r="1229" spans="1:6" ht="15" x14ac:dyDescent="0.25">
      <c r="A1229"/>
      <c r="B1229"/>
      <c r="C1229"/>
      <c r="D1229"/>
      <c r="E1229"/>
      <c r="F1229"/>
    </row>
    <row r="1230" spans="1:6" ht="15" x14ac:dyDescent="0.25">
      <c r="A1230"/>
      <c r="B1230"/>
      <c r="C1230"/>
      <c r="D1230"/>
      <c r="E1230"/>
      <c r="F1230"/>
    </row>
    <row r="1231" spans="1:6" ht="15" x14ac:dyDescent="0.25">
      <c r="A1231"/>
      <c r="B1231"/>
      <c r="C1231"/>
      <c r="D1231"/>
      <c r="E1231"/>
      <c r="F1231"/>
    </row>
    <row r="1232" spans="1:6" ht="15" x14ac:dyDescent="0.25">
      <c r="A1232"/>
      <c r="B1232"/>
      <c r="C1232"/>
      <c r="D1232"/>
      <c r="E1232"/>
      <c r="F1232"/>
    </row>
    <row r="1233" spans="1:6" ht="15" x14ac:dyDescent="0.25">
      <c r="A1233"/>
      <c r="B1233"/>
      <c r="C1233"/>
      <c r="D1233"/>
      <c r="E1233"/>
      <c r="F1233"/>
    </row>
    <row r="1234" spans="1:6" ht="15" x14ac:dyDescent="0.25">
      <c r="A1234"/>
      <c r="B1234"/>
      <c r="C1234"/>
      <c r="D1234"/>
      <c r="E1234"/>
      <c r="F1234"/>
    </row>
    <row r="1235" spans="1:6" ht="15" x14ac:dyDescent="0.25">
      <c r="A1235"/>
      <c r="B1235"/>
      <c r="C1235"/>
      <c r="D1235"/>
      <c r="E1235"/>
      <c r="F1235"/>
    </row>
    <row r="1236" spans="1:6" ht="15" x14ac:dyDescent="0.25">
      <c r="A1236"/>
      <c r="B1236"/>
      <c r="C1236"/>
      <c r="D1236"/>
      <c r="E1236"/>
      <c r="F1236"/>
    </row>
    <row r="1237" spans="1:6" ht="15" x14ac:dyDescent="0.25">
      <c r="A1237"/>
      <c r="B1237"/>
      <c r="C1237"/>
      <c r="D1237"/>
      <c r="E1237"/>
      <c r="F1237"/>
    </row>
    <row r="1238" spans="1:6" ht="15" x14ac:dyDescent="0.25">
      <c r="A1238"/>
      <c r="B1238"/>
      <c r="C1238"/>
      <c r="D1238"/>
      <c r="E1238"/>
      <c r="F1238"/>
    </row>
    <row r="1239" spans="1:6" ht="15" x14ac:dyDescent="0.25">
      <c r="A1239"/>
      <c r="B1239"/>
      <c r="C1239"/>
      <c r="D1239"/>
      <c r="E1239"/>
      <c r="F1239"/>
    </row>
    <row r="1240" spans="1:6" ht="15" x14ac:dyDescent="0.25">
      <c r="A1240"/>
      <c r="B1240"/>
      <c r="C1240"/>
      <c r="D1240"/>
      <c r="E1240"/>
      <c r="F1240"/>
    </row>
    <row r="1241" spans="1:6" ht="15" x14ac:dyDescent="0.25">
      <c r="A1241"/>
      <c r="B1241"/>
      <c r="C1241"/>
      <c r="D1241"/>
      <c r="E1241"/>
      <c r="F1241"/>
    </row>
    <row r="1242" spans="1:6" ht="15" x14ac:dyDescent="0.25">
      <c r="A1242"/>
      <c r="B1242"/>
      <c r="C1242"/>
      <c r="D1242"/>
      <c r="E1242"/>
      <c r="F1242"/>
    </row>
    <row r="1243" spans="1:6" ht="15" x14ac:dyDescent="0.25">
      <c r="A1243"/>
      <c r="B1243"/>
      <c r="C1243"/>
      <c r="D1243"/>
      <c r="E1243"/>
      <c r="F1243"/>
    </row>
    <row r="1244" spans="1:6" ht="15" x14ac:dyDescent="0.25">
      <c r="A1244"/>
      <c r="B1244"/>
      <c r="C1244"/>
      <c r="D1244"/>
      <c r="E1244"/>
      <c r="F1244"/>
    </row>
    <row r="1245" spans="1:6" ht="15" x14ac:dyDescent="0.25">
      <c r="A1245"/>
      <c r="B1245"/>
      <c r="C1245"/>
      <c r="D1245"/>
      <c r="E1245"/>
      <c r="F1245"/>
    </row>
    <row r="1246" spans="1:6" ht="15" x14ac:dyDescent="0.25">
      <c r="A1246"/>
      <c r="B1246"/>
      <c r="C1246"/>
      <c r="D1246"/>
      <c r="E1246"/>
      <c r="F1246"/>
    </row>
    <row r="1247" spans="1:6" ht="15" x14ac:dyDescent="0.25">
      <c r="A1247"/>
      <c r="B1247"/>
      <c r="C1247"/>
      <c r="D1247"/>
      <c r="E1247"/>
      <c r="F1247"/>
    </row>
    <row r="1248" spans="1:6" ht="15" x14ac:dyDescent="0.25">
      <c r="A1248"/>
      <c r="B1248"/>
      <c r="C1248"/>
      <c r="D1248"/>
      <c r="E1248"/>
      <c r="F1248"/>
    </row>
    <row r="1249" spans="1:6" ht="15" x14ac:dyDescent="0.25">
      <c r="A1249"/>
      <c r="B1249"/>
      <c r="C1249"/>
      <c r="D1249"/>
      <c r="E1249"/>
      <c r="F1249"/>
    </row>
    <row r="1250" spans="1:6" ht="15" x14ac:dyDescent="0.25">
      <c r="A1250"/>
      <c r="B1250"/>
      <c r="C1250"/>
      <c r="D1250"/>
      <c r="E1250"/>
      <c r="F1250"/>
    </row>
    <row r="1251" spans="1:6" ht="15" x14ac:dyDescent="0.25">
      <c r="A1251"/>
      <c r="B1251"/>
      <c r="C1251"/>
      <c r="D1251"/>
      <c r="E1251"/>
      <c r="F1251"/>
    </row>
    <row r="1252" spans="1:6" ht="15" x14ac:dyDescent="0.25">
      <c r="A1252"/>
      <c r="B1252"/>
      <c r="C1252"/>
      <c r="D1252"/>
      <c r="E1252"/>
      <c r="F1252"/>
    </row>
    <row r="1253" spans="1:6" ht="15" x14ac:dyDescent="0.25">
      <c r="A1253"/>
      <c r="B1253"/>
      <c r="C1253"/>
      <c r="D1253"/>
      <c r="E1253"/>
      <c r="F1253"/>
    </row>
    <row r="1254" spans="1:6" ht="15" x14ac:dyDescent="0.25">
      <c r="A1254"/>
      <c r="B1254"/>
      <c r="C1254"/>
      <c r="D1254"/>
      <c r="E1254"/>
      <c r="F1254"/>
    </row>
    <row r="1255" spans="1:6" ht="15" x14ac:dyDescent="0.25">
      <c r="A1255"/>
      <c r="B1255"/>
      <c r="C1255"/>
      <c r="D1255"/>
      <c r="E1255"/>
      <c r="F1255"/>
    </row>
    <row r="1256" spans="1:6" ht="15" x14ac:dyDescent="0.25">
      <c r="A1256"/>
      <c r="B1256"/>
      <c r="C1256"/>
      <c r="D1256"/>
      <c r="E1256"/>
      <c r="F1256"/>
    </row>
    <row r="1257" spans="1:6" ht="15" x14ac:dyDescent="0.25">
      <c r="A1257"/>
      <c r="B1257"/>
      <c r="C1257"/>
      <c r="D1257"/>
      <c r="E1257"/>
      <c r="F1257"/>
    </row>
    <row r="1258" spans="1:6" ht="15" x14ac:dyDescent="0.25">
      <c r="A1258"/>
      <c r="B1258"/>
      <c r="C1258"/>
      <c r="D1258"/>
      <c r="E1258"/>
      <c r="F1258"/>
    </row>
    <row r="1259" spans="1:6" ht="15" x14ac:dyDescent="0.25">
      <c r="A1259"/>
      <c r="B1259"/>
      <c r="C1259"/>
      <c r="D1259"/>
      <c r="E1259"/>
      <c r="F1259"/>
    </row>
    <row r="1260" spans="1:6" ht="15" x14ac:dyDescent="0.25">
      <c r="A1260"/>
      <c r="B1260"/>
      <c r="C1260"/>
      <c r="D1260"/>
      <c r="E1260"/>
      <c r="F1260"/>
    </row>
    <row r="1261" spans="1:6" ht="15" x14ac:dyDescent="0.25">
      <c r="A1261"/>
      <c r="B1261"/>
      <c r="C1261"/>
      <c r="D1261"/>
      <c r="E1261"/>
      <c r="F1261"/>
    </row>
    <row r="1262" spans="1:6" ht="15" x14ac:dyDescent="0.25">
      <c r="A1262"/>
      <c r="B1262"/>
      <c r="C1262"/>
      <c r="D1262"/>
      <c r="E1262"/>
      <c r="F1262"/>
    </row>
    <row r="1263" spans="1:6" ht="15" x14ac:dyDescent="0.25">
      <c r="A1263"/>
      <c r="B1263"/>
      <c r="C1263"/>
      <c r="D1263"/>
      <c r="E1263"/>
      <c r="F1263"/>
    </row>
    <row r="1264" spans="1:6" ht="15" x14ac:dyDescent="0.25">
      <c r="A1264"/>
      <c r="B1264"/>
      <c r="C1264"/>
      <c r="D1264"/>
      <c r="E1264"/>
      <c r="F1264"/>
    </row>
    <row r="1265" spans="1:6" ht="15" x14ac:dyDescent="0.25">
      <c r="A1265"/>
      <c r="B1265"/>
      <c r="C1265"/>
      <c r="D1265"/>
      <c r="E1265"/>
      <c r="F1265"/>
    </row>
    <row r="1266" spans="1:6" ht="15" x14ac:dyDescent="0.25">
      <c r="A1266"/>
      <c r="B1266"/>
      <c r="C1266"/>
      <c r="D1266"/>
      <c r="E1266"/>
      <c r="F1266"/>
    </row>
    <row r="1267" spans="1:6" ht="15" x14ac:dyDescent="0.25">
      <c r="A1267"/>
      <c r="B1267"/>
      <c r="C1267"/>
      <c r="D1267"/>
      <c r="E1267"/>
      <c r="F1267"/>
    </row>
    <row r="1268" spans="1:6" ht="15" x14ac:dyDescent="0.25">
      <c r="A1268"/>
      <c r="B1268"/>
      <c r="C1268"/>
      <c r="D1268"/>
      <c r="E1268"/>
      <c r="F1268"/>
    </row>
    <row r="1269" spans="1:6" ht="15" x14ac:dyDescent="0.25">
      <c r="A1269"/>
      <c r="B1269"/>
      <c r="C1269"/>
      <c r="D1269"/>
      <c r="E1269"/>
      <c r="F1269"/>
    </row>
    <row r="1270" spans="1:6" ht="15" x14ac:dyDescent="0.25">
      <c r="A1270"/>
      <c r="B1270"/>
      <c r="C1270"/>
      <c r="D1270"/>
      <c r="E1270"/>
      <c r="F1270"/>
    </row>
    <row r="1271" spans="1:6" ht="15" x14ac:dyDescent="0.25">
      <c r="A1271"/>
      <c r="B1271"/>
      <c r="C1271"/>
      <c r="D1271"/>
      <c r="E1271"/>
      <c r="F1271"/>
    </row>
    <row r="1272" spans="1:6" ht="15" x14ac:dyDescent="0.25">
      <c r="A1272"/>
      <c r="B1272"/>
      <c r="C1272"/>
      <c r="D1272"/>
      <c r="E1272"/>
      <c r="F1272"/>
    </row>
    <row r="1273" spans="1:6" ht="15" x14ac:dyDescent="0.25">
      <c r="A1273"/>
      <c r="B1273"/>
      <c r="C1273"/>
      <c r="D1273"/>
      <c r="E1273"/>
      <c r="F1273"/>
    </row>
    <row r="1274" spans="1:6" ht="15" x14ac:dyDescent="0.25">
      <c r="A1274"/>
      <c r="B1274"/>
      <c r="C1274"/>
      <c r="D1274"/>
      <c r="E1274"/>
      <c r="F1274"/>
    </row>
    <row r="1275" spans="1:6" ht="15" x14ac:dyDescent="0.25">
      <c r="A1275"/>
      <c r="B1275"/>
      <c r="C1275"/>
      <c r="D1275"/>
      <c r="E1275"/>
      <c r="F1275"/>
    </row>
    <row r="1276" spans="1:6" ht="15" x14ac:dyDescent="0.25">
      <c r="A1276"/>
      <c r="B1276"/>
      <c r="C1276"/>
      <c r="D1276"/>
      <c r="E1276"/>
      <c r="F1276"/>
    </row>
    <row r="1277" spans="1:6" ht="15" x14ac:dyDescent="0.25">
      <c r="A1277"/>
      <c r="B1277"/>
      <c r="C1277"/>
      <c r="D1277"/>
      <c r="E1277"/>
      <c r="F1277"/>
    </row>
    <row r="1278" spans="1:6" ht="15" x14ac:dyDescent="0.25">
      <c r="A1278"/>
      <c r="B1278"/>
      <c r="C1278"/>
      <c r="D1278"/>
      <c r="E1278"/>
      <c r="F1278"/>
    </row>
    <row r="1279" spans="1:6" ht="15" x14ac:dyDescent="0.25">
      <c r="A1279"/>
      <c r="B1279"/>
      <c r="C1279"/>
      <c r="D1279"/>
      <c r="E1279"/>
      <c r="F1279"/>
    </row>
    <row r="1280" spans="1:6" ht="15" x14ac:dyDescent="0.25">
      <c r="A1280"/>
      <c r="B1280"/>
      <c r="C1280"/>
      <c r="D1280"/>
      <c r="E1280"/>
      <c r="F1280"/>
    </row>
    <row r="1281" spans="1:6" ht="15" x14ac:dyDescent="0.25">
      <c r="A1281"/>
      <c r="B1281"/>
      <c r="C1281"/>
      <c r="D1281"/>
      <c r="E1281"/>
      <c r="F1281"/>
    </row>
    <row r="1282" spans="1:6" ht="15" x14ac:dyDescent="0.25">
      <c r="A1282"/>
      <c r="B1282"/>
      <c r="C1282"/>
      <c r="D1282"/>
      <c r="E1282"/>
      <c r="F1282"/>
    </row>
    <row r="1283" spans="1:6" ht="15" x14ac:dyDescent="0.25">
      <c r="A1283"/>
      <c r="B1283"/>
      <c r="C1283"/>
      <c r="D1283"/>
      <c r="E1283"/>
      <c r="F1283"/>
    </row>
    <row r="1284" spans="1:6" ht="15" x14ac:dyDescent="0.25">
      <c r="A1284"/>
      <c r="B1284"/>
      <c r="C1284"/>
      <c r="D1284"/>
      <c r="E1284"/>
      <c r="F1284"/>
    </row>
    <row r="1285" spans="1:6" ht="15" x14ac:dyDescent="0.25">
      <c r="A1285"/>
      <c r="B1285"/>
      <c r="C1285"/>
      <c r="D1285"/>
      <c r="E1285"/>
      <c r="F1285"/>
    </row>
    <row r="1286" spans="1:6" ht="15" x14ac:dyDescent="0.25">
      <c r="A1286"/>
      <c r="B1286"/>
      <c r="C1286"/>
      <c r="D1286"/>
      <c r="E1286"/>
      <c r="F1286"/>
    </row>
    <row r="1287" spans="1:6" ht="15" x14ac:dyDescent="0.25">
      <c r="A1287"/>
      <c r="B1287"/>
      <c r="C1287"/>
      <c r="D1287"/>
      <c r="E1287"/>
      <c r="F1287"/>
    </row>
    <row r="1288" spans="1:6" ht="15" x14ac:dyDescent="0.25">
      <c r="A1288"/>
      <c r="B1288"/>
      <c r="C1288"/>
      <c r="D1288"/>
      <c r="E1288"/>
      <c r="F1288"/>
    </row>
    <row r="1289" spans="1:6" ht="15" x14ac:dyDescent="0.25">
      <c r="A1289"/>
      <c r="B1289"/>
      <c r="C1289"/>
      <c r="D1289"/>
      <c r="E1289"/>
      <c r="F1289"/>
    </row>
    <row r="1290" spans="1:6" ht="15" x14ac:dyDescent="0.25">
      <c r="A1290"/>
      <c r="B1290"/>
      <c r="C1290"/>
      <c r="D1290"/>
      <c r="E1290"/>
      <c r="F1290"/>
    </row>
    <row r="1291" spans="1:6" ht="15" x14ac:dyDescent="0.25">
      <c r="A1291"/>
      <c r="B1291"/>
      <c r="C1291"/>
      <c r="D1291"/>
      <c r="E1291"/>
      <c r="F1291"/>
    </row>
    <row r="1292" spans="1:6" ht="15" x14ac:dyDescent="0.25">
      <c r="A1292"/>
      <c r="B1292"/>
      <c r="C1292"/>
      <c r="D1292"/>
      <c r="E1292"/>
      <c r="F1292"/>
    </row>
    <row r="1293" spans="1:6" ht="15" x14ac:dyDescent="0.25">
      <c r="A1293"/>
      <c r="B1293"/>
      <c r="C1293"/>
      <c r="D1293"/>
      <c r="E1293"/>
      <c r="F1293"/>
    </row>
    <row r="1294" spans="1:6" ht="15" x14ac:dyDescent="0.25">
      <c r="A1294"/>
      <c r="B1294"/>
      <c r="C1294"/>
      <c r="D1294"/>
      <c r="E1294"/>
      <c r="F1294"/>
    </row>
    <row r="1295" spans="1:6" ht="15" x14ac:dyDescent="0.25">
      <c r="A1295"/>
      <c r="B1295"/>
      <c r="C1295"/>
      <c r="D1295"/>
      <c r="E1295"/>
      <c r="F1295"/>
    </row>
    <row r="1296" spans="1:6" ht="15" x14ac:dyDescent="0.25">
      <c r="A1296"/>
      <c r="B1296"/>
      <c r="C1296"/>
      <c r="D1296"/>
      <c r="E1296"/>
      <c r="F1296"/>
    </row>
    <row r="1297" spans="1:6" ht="15" x14ac:dyDescent="0.25">
      <c r="A1297"/>
      <c r="B1297"/>
      <c r="C1297"/>
      <c r="D1297"/>
      <c r="E1297"/>
      <c r="F1297"/>
    </row>
    <row r="1298" spans="1:6" ht="15" x14ac:dyDescent="0.25">
      <c r="A1298"/>
      <c r="B1298"/>
      <c r="C1298"/>
      <c r="D1298"/>
      <c r="E1298"/>
      <c r="F1298"/>
    </row>
    <row r="1299" spans="1:6" ht="15" x14ac:dyDescent="0.25">
      <c r="A1299"/>
      <c r="B1299"/>
      <c r="C1299"/>
      <c r="D1299"/>
      <c r="E1299"/>
      <c r="F1299"/>
    </row>
    <row r="1300" spans="1:6" ht="15" x14ac:dyDescent="0.25">
      <c r="A1300"/>
      <c r="B1300"/>
      <c r="C1300"/>
      <c r="D1300"/>
      <c r="E1300"/>
      <c r="F1300"/>
    </row>
    <row r="1301" spans="1:6" ht="15" x14ac:dyDescent="0.25">
      <c r="A1301"/>
      <c r="B1301"/>
      <c r="C1301"/>
      <c r="D1301"/>
      <c r="E1301"/>
      <c r="F1301"/>
    </row>
    <row r="1302" spans="1:6" ht="15" x14ac:dyDescent="0.25">
      <c r="A1302"/>
      <c r="B1302"/>
      <c r="C1302"/>
      <c r="D1302"/>
      <c r="E1302"/>
      <c r="F1302"/>
    </row>
    <row r="1303" spans="1:6" ht="15" x14ac:dyDescent="0.25">
      <c r="A1303"/>
      <c r="B1303"/>
      <c r="C1303"/>
      <c r="D1303"/>
      <c r="E1303"/>
      <c r="F1303"/>
    </row>
    <row r="1304" spans="1:6" ht="15" x14ac:dyDescent="0.25">
      <c r="A1304"/>
      <c r="B1304"/>
      <c r="C1304"/>
      <c r="D1304"/>
      <c r="E1304"/>
      <c r="F1304"/>
    </row>
    <row r="1305" spans="1:6" ht="15" x14ac:dyDescent="0.25">
      <c r="A1305"/>
      <c r="B1305"/>
      <c r="C1305"/>
      <c r="D1305"/>
      <c r="E1305"/>
      <c r="F1305"/>
    </row>
    <row r="1306" spans="1:6" ht="15" x14ac:dyDescent="0.25">
      <c r="A1306"/>
      <c r="B1306"/>
      <c r="C1306"/>
      <c r="D1306"/>
      <c r="E1306"/>
      <c r="F1306"/>
    </row>
    <row r="1307" spans="1:6" ht="15" x14ac:dyDescent="0.25">
      <c r="A1307"/>
      <c r="B1307"/>
      <c r="C1307"/>
      <c r="D1307"/>
      <c r="E1307"/>
      <c r="F1307"/>
    </row>
    <row r="1308" spans="1:6" ht="15" x14ac:dyDescent="0.25">
      <c r="A1308"/>
      <c r="B1308"/>
      <c r="C1308"/>
      <c r="D1308"/>
      <c r="E1308"/>
      <c r="F1308"/>
    </row>
    <row r="1309" spans="1:6" ht="15" x14ac:dyDescent="0.25">
      <c r="A1309"/>
      <c r="B1309"/>
      <c r="C1309"/>
      <c r="D1309"/>
      <c r="E1309"/>
      <c r="F1309"/>
    </row>
    <row r="1310" spans="1:6" ht="15" x14ac:dyDescent="0.25">
      <c r="A1310"/>
      <c r="B1310"/>
      <c r="C1310"/>
      <c r="D1310"/>
      <c r="E1310"/>
      <c r="F1310"/>
    </row>
    <row r="1311" spans="1:6" ht="15" x14ac:dyDescent="0.25">
      <c r="A1311"/>
      <c r="B1311"/>
      <c r="C1311"/>
      <c r="D1311"/>
      <c r="E1311"/>
      <c r="F1311"/>
    </row>
    <row r="1312" spans="1:6" ht="15" x14ac:dyDescent="0.25">
      <c r="A1312"/>
      <c r="B1312"/>
      <c r="C1312"/>
      <c r="D1312"/>
      <c r="E1312"/>
      <c r="F1312"/>
    </row>
    <row r="1313" spans="1:6" ht="15" x14ac:dyDescent="0.25">
      <c r="A1313"/>
      <c r="B1313"/>
      <c r="C1313"/>
      <c r="D1313"/>
      <c r="E1313"/>
      <c r="F1313"/>
    </row>
    <row r="1314" spans="1:6" ht="15" x14ac:dyDescent="0.25">
      <c r="A1314"/>
      <c r="B1314"/>
      <c r="C1314"/>
      <c r="D1314"/>
      <c r="E1314"/>
      <c r="F1314"/>
    </row>
    <row r="1315" spans="1:6" ht="15" x14ac:dyDescent="0.25">
      <c r="A1315"/>
      <c r="B1315"/>
      <c r="C1315"/>
      <c r="D1315"/>
      <c r="E1315"/>
      <c r="F1315"/>
    </row>
    <row r="1316" spans="1:6" ht="15" x14ac:dyDescent="0.25">
      <c r="A1316"/>
      <c r="B1316"/>
      <c r="C1316"/>
      <c r="D1316"/>
      <c r="E1316"/>
      <c r="F1316"/>
    </row>
    <row r="1317" spans="1:6" ht="15" x14ac:dyDescent="0.25">
      <c r="A1317"/>
      <c r="B1317"/>
      <c r="C1317"/>
      <c r="D1317"/>
      <c r="E1317"/>
      <c r="F1317"/>
    </row>
    <row r="1318" spans="1:6" ht="15" x14ac:dyDescent="0.25">
      <c r="A1318"/>
      <c r="B1318"/>
      <c r="C1318"/>
      <c r="D1318"/>
      <c r="E1318"/>
      <c r="F1318"/>
    </row>
    <row r="1319" spans="1:6" ht="15" x14ac:dyDescent="0.25">
      <c r="A1319"/>
      <c r="B1319"/>
      <c r="C1319"/>
      <c r="D1319"/>
      <c r="E1319"/>
      <c r="F1319"/>
    </row>
    <row r="1320" spans="1:6" ht="15" x14ac:dyDescent="0.25">
      <c r="A1320"/>
      <c r="B1320"/>
      <c r="C1320"/>
      <c r="D1320"/>
      <c r="E1320"/>
      <c r="F1320"/>
    </row>
    <row r="1321" spans="1:6" ht="15" x14ac:dyDescent="0.25">
      <c r="A1321"/>
      <c r="B1321"/>
      <c r="C1321"/>
      <c r="D1321"/>
      <c r="E1321"/>
      <c r="F1321"/>
    </row>
    <row r="1322" spans="1:6" ht="15" x14ac:dyDescent="0.25">
      <c r="A1322"/>
      <c r="B1322"/>
      <c r="C1322"/>
      <c r="D1322"/>
      <c r="E1322"/>
      <c r="F1322"/>
    </row>
    <row r="1323" spans="1:6" ht="15" x14ac:dyDescent="0.25">
      <c r="A1323"/>
      <c r="B1323"/>
      <c r="C1323"/>
      <c r="D1323"/>
      <c r="E1323"/>
      <c r="F1323"/>
    </row>
    <row r="1324" spans="1:6" ht="15" x14ac:dyDescent="0.25">
      <c r="A1324"/>
      <c r="B1324"/>
      <c r="C1324"/>
      <c r="D1324"/>
      <c r="E1324"/>
      <c r="F1324"/>
    </row>
    <row r="1325" spans="1:6" ht="15" x14ac:dyDescent="0.25">
      <c r="A1325"/>
      <c r="B1325"/>
      <c r="C1325"/>
      <c r="D1325"/>
      <c r="E1325"/>
      <c r="F1325"/>
    </row>
    <row r="1326" spans="1:6" ht="15" x14ac:dyDescent="0.25">
      <c r="A1326"/>
      <c r="B1326"/>
      <c r="C1326"/>
      <c r="D1326"/>
      <c r="E1326"/>
      <c r="F1326"/>
    </row>
    <row r="1327" spans="1:6" ht="15" x14ac:dyDescent="0.25">
      <c r="A1327"/>
      <c r="B1327"/>
      <c r="C1327"/>
      <c r="D1327"/>
      <c r="E1327"/>
      <c r="F1327"/>
    </row>
    <row r="1328" spans="1:6" ht="15" x14ac:dyDescent="0.25">
      <c r="A1328"/>
      <c r="B1328"/>
      <c r="C1328"/>
      <c r="D1328"/>
      <c r="E1328"/>
      <c r="F1328"/>
    </row>
    <row r="1329" spans="1:6" ht="15" x14ac:dyDescent="0.25">
      <c r="A1329"/>
      <c r="B1329"/>
      <c r="C1329"/>
      <c r="D1329"/>
      <c r="E1329"/>
      <c r="F1329"/>
    </row>
    <row r="1330" spans="1:6" ht="15" x14ac:dyDescent="0.25">
      <c r="A1330"/>
      <c r="B1330"/>
      <c r="C1330"/>
      <c r="D1330"/>
      <c r="E1330"/>
      <c r="F1330"/>
    </row>
    <row r="1331" spans="1:6" ht="15" x14ac:dyDescent="0.25">
      <c r="A1331"/>
      <c r="B1331"/>
      <c r="C1331"/>
      <c r="D1331"/>
      <c r="E1331"/>
      <c r="F1331"/>
    </row>
    <row r="1332" spans="1:6" ht="15" x14ac:dyDescent="0.25">
      <c r="A1332"/>
      <c r="B1332"/>
      <c r="C1332"/>
      <c r="D1332"/>
      <c r="E1332"/>
      <c r="F1332"/>
    </row>
    <row r="1333" spans="1:6" ht="15" x14ac:dyDescent="0.25">
      <c r="A1333"/>
      <c r="B1333"/>
      <c r="C1333"/>
      <c r="D1333"/>
      <c r="E1333"/>
      <c r="F1333"/>
    </row>
    <row r="1334" spans="1:6" ht="15" x14ac:dyDescent="0.25">
      <c r="A1334"/>
      <c r="B1334"/>
      <c r="C1334"/>
      <c r="D1334"/>
      <c r="E1334"/>
      <c r="F1334"/>
    </row>
    <row r="1335" spans="1:6" ht="15" x14ac:dyDescent="0.25">
      <c r="A1335"/>
      <c r="B1335"/>
      <c r="C1335"/>
      <c r="D1335"/>
      <c r="E1335"/>
      <c r="F1335"/>
    </row>
    <row r="1336" spans="1:6" ht="15" x14ac:dyDescent="0.25">
      <c r="A1336"/>
      <c r="B1336"/>
      <c r="C1336"/>
      <c r="D1336"/>
      <c r="E1336"/>
      <c r="F1336"/>
    </row>
    <row r="1337" spans="1:6" ht="15" x14ac:dyDescent="0.25">
      <c r="A1337"/>
      <c r="B1337"/>
      <c r="C1337"/>
      <c r="D1337"/>
      <c r="E1337"/>
      <c r="F1337"/>
    </row>
    <row r="1338" spans="1:6" ht="15" x14ac:dyDescent="0.25">
      <c r="A1338"/>
      <c r="B1338"/>
      <c r="C1338"/>
      <c r="D1338"/>
      <c r="E1338"/>
      <c r="F1338"/>
    </row>
    <row r="1339" spans="1:6" ht="15" x14ac:dyDescent="0.25">
      <c r="A1339"/>
      <c r="B1339"/>
      <c r="C1339"/>
      <c r="D1339"/>
      <c r="E1339"/>
      <c r="F1339"/>
    </row>
    <row r="1340" spans="1:6" ht="15" x14ac:dyDescent="0.25">
      <c r="A1340"/>
      <c r="B1340"/>
      <c r="C1340"/>
      <c r="D1340"/>
      <c r="E1340"/>
      <c r="F1340"/>
    </row>
    <row r="1341" spans="1:6" ht="15" x14ac:dyDescent="0.25">
      <c r="A1341"/>
      <c r="B1341"/>
      <c r="C1341"/>
      <c r="D1341"/>
      <c r="E1341"/>
      <c r="F1341"/>
    </row>
    <row r="1342" spans="1:6" ht="15" x14ac:dyDescent="0.25">
      <c r="A1342"/>
      <c r="B1342"/>
      <c r="C1342"/>
      <c r="D1342"/>
      <c r="E1342"/>
      <c r="F1342"/>
    </row>
    <row r="1343" spans="1:6" ht="15" x14ac:dyDescent="0.25">
      <c r="A1343"/>
      <c r="B1343"/>
      <c r="C1343"/>
      <c r="D1343"/>
      <c r="E1343"/>
      <c r="F1343"/>
    </row>
    <row r="1344" spans="1:6" ht="15" x14ac:dyDescent="0.25">
      <c r="A1344"/>
      <c r="B1344"/>
      <c r="C1344"/>
      <c r="D1344"/>
      <c r="E1344"/>
      <c r="F1344"/>
    </row>
    <row r="1345" spans="1:6" ht="15" x14ac:dyDescent="0.25">
      <c r="A1345"/>
      <c r="B1345"/>
      <c r="C1345"/>
      <c r="D1345"/>
      <c r="E1345"/>
      <c r="F1345"/>
    </row>
    <row r="1346" spans="1:6" ht="15" x14ac:dyDescent="0.25">
      <c r="A1346"/>
      <c r="B1346"/>
      <c r="C1346"/>
      <c r="D1346"/>
      <c r="E1346"/>
      <c r="F1346"/>
    </row>
    <row r="1347" spans="1:6" ht="15" x14ac:dyDescent="0.25">
      <c r="A1347"/>
      <c r="B1347"/>
      <c r="C1347"/>
      <c r="D1347"/>
      <c r="E1347"/>
      <c r="F1347"/>
    </row>
    <row r="1348" spans="1:6" ht="15" x14ac:dyDescent="0.25">
      <c r="A1348"/>
      <c r="B1348"/>
      <c r="C1348"/>
      <c r="D1348"/>
      <c r="E1348"/>
      <c r="F1348"/>
    </row>
    <row r="1349" spans="1:6" ht="15" x14ac:dyDescent="0.25">
      <c r="A1349"/>
      <c r="B1349"/>
      <c r="C1349"/>
      <c r="D1349"/>
      <c r="E1349"/>
      <c r="F1349"/>
    </row>
    <row r="1350" spans="1:6" ht="15" x14ac:dyDescent="0.25">
      <c r="A1350"/>
      <c r="B1350"/>
      <c r="C1350"/>
      <c r="D1350"/>
      <c r="E1350"/>
      <c r="F1350"/>
    </row>
    <row r="1351" spans="1:6" ht="15" x14ac:dyDescent="0.25">
      <c r="A1351"/>
      <c r="B1351"/>
      <c r="C1351"/>
      <c r="D1351"/>
      <c r="E1351"/>
      <c r="F1351"/>
    </row>
    <row r="1352" spans="1:6" ht="15" x14ac:dyDescent="0.25">
      <c r="A1352"/>
      <c r="B1352"/>
      <c r="C1352"/>
      <c r="D1352"/>
      <c r="E1352"/>
      <c r="F1352"/>
    </row>
    <row r="1353" spans="1:6" ht="15" x14ac:dyDescent="0.25">
      <c r="A1353"/>
      <c r="B1353"/>
      <c r="C1353"/>
      <c r="D1353"/>
      <c r="E1353"/>
      <c r="F1353"/>
    </row>
    <row r="1354" spans="1:6" ht="15" x14ac:dyDescent="0.25">
      <c r="A1354"/>
      <c r="B1354"/>
      <c r="C1354"/>
      <c r="D1354"/>
      <c r="E1354"/>
      <c r="F1354"/>
    </row>
    <row r="1355" spans="1:6" ht="15" x14ac:dyDescent="0.25">
      <c r="A1355"/>
      <c r="B1355"/>
      <c r="C1355"/>
      <c r="D1355"/>
      <c r="E1355"/>
      <c r="F1355"/>
    </row>
    <row r="1356" spans="1:6" ht="15" x14ac:dyDescent="0.25">
      <c r="A1356"/>
      <c r="B1356"/>
      <c r="C1356"/>
      <c r="D1356"/>
      <c r="E1356"/>
      <c r="F1356"/>
    </row>
    <row r="1357" spans="1:6" ht="15" x14ac:dyDescent="0.25">
      <c r="A1357"/>
      <c r="B1357"/>
      <c r="C1357"/>
      <c r="D1357"/>
      <c r="E1357"/>
      <c r="F1357"/>
    </row>
    <row r="1358" spans="1:6" ht="15" x14ac:dyDescent="0.25">
      <c r="A1358"/>
      <c r="B1358"/>
      <c r="C1358"/>
      <c r="D1358"/>
      <c r="E1358"/>
      <c r="F1358"/>
    </row>
    <row r="1359" spans="1:6" ht="15" x14ac:dyDescent="0.25">
      <c r="A1359"/>
      <c r="B1359"/>
      <c r="C1359"/>
      <c r="D1359"/>
      <c r="E1359"/>
      <c r="F1359"/>
    </row>
    <row r="1360" spans="1:6" ht="15" x14ac:dyDescent="0.25">
      <c r="A1360"/>
      <c r="B1360"/>
      <c r="C1360"/>
      <c r="D1360"/>
      <c r="E1360"/>
      <c r="F1360"/>
    </row>
    <row r="1361" spans="1:6" ht="15" x14ac:dyDescent="0.25">
      <c r="A1361"/>
      <c r="B1361"/>
      <c r="C1361"/>
      <c r="D1361"/>
      <c r="E1361"/>
      <c r="F1361"/>
    </row>
    <row r="1362" spans="1:6" ht="15" x14ac:dyDescent="0.25">
      <c r="A1362"/>
      <c r="B1362"/>
      <c r="C1362"/>
      <c r="D1362"/>
      <c r="E1362"/>
      <c r="F1362"/>
    </row>
    <row r="1363" spans="1:6" ht="15" x14ac:dyDescent="0.25">
      <c r="A1363"/>
      <c r="B1363"/>
      <c r="C1363"/>
      <c r="D1363"/>
      <c r="E1363"/>
      <c r="F1363"/>
    </row>
    <row r="1364" spans="1:6" ht="15" x14ac:dyDescent="0.25">
      <c r="A1364"/>
      <c r="B1364"/>
      <c r="C1364"/>
      <c r="D1364"/>
      <c r="E1364"/>
      <c r="F1364"/>
    </row>
    <row r="1365" spans="1:6" ht="15" x14ac:dyDescent="0.25">
      <c r="A1365"/>
      <c r="B1365"/>
      <c r="C1365"/>
      <c r="D1365"/>
      <c r="E1365"/>
      <c r="F1365"/>
    </row>
    <row r="1366" spans="1:6" ht="15" x14ac:dyDescent="0.25">
      <c r="A1366"/>
      <c r="B1366"/>
      <c r="C1366"/>
      <c r="D1366"/>
      <c r="E1366"/>
      <c r="F1366"/>
    </row>
    <row r="1367" spans="1:6" ht="15" x14ac:dyDescent="0.25">
      <c r="A1367"/>
      <c r="B1367"/>
      <c r="C1367"/>
      <c r="D1367"/>
      <c r="E1367"/>
      <c r="F1367"/>
    </row>
    <row r="1368" spans="1:6" ht="15" x14ac:dyDescent="0.25">
      <c r="A1368"/>
      <c r="B1368"/>
      <c r="C1368"/>
      <c r="D1368"/>
      <c r="E1368"/>
      <c r="F1368"/>
    </row>
    <row r="1369" spans="1:6" ht="15" x14ac:dyDescent="0.25">
      <c r="A1369"/>
      <c r="B1369"/>
      <c r="C1369"/>
      <c r="D1369"/>
      <c r="E1369"/>
      <c r="F1369"/>
    </row>
    <row r="1370" spans="1:6" ht="15" x14ac:dyDescent="0.25">
      <c r="A1370"/>
      <c r="B1370"/>
      <c r="C1370"/>
      <c r="D1370"/>
      <c r="E1370"/>
      <c r="F1370"/>
    </row>
    <row r="1371" spans="1:6" ht="15" x14ac:dyDescent="0.25">
      <c r="A1371"/>
      <c r="B1371"/>
      <c r="C1371"/>
      <c r="D1371"/>
      <c r="E1371"/>
      <c r="F1371"/>
    </row>
    <row r="1372" spans="1:6" ht="15" x14ac:dyDescent="0.25">
      <c r="A1372"/>
      <c r="B1372"/>
      <c r="C1372"/>
      <c r="D1372"/>
      <c r="E1372"/>
      <c r="F1372"/>
    </row>
    <row r="1373" spans="1:6" ht="15" x14ac:dyDescent="0.25">
      <c r="A1373"/>
      <c r="B1373"/>
      <c r="C1373"/>
      <c r="D1373"/>
      <c r="E1373"/>
      <c r="F1373"/>
    </row>
    <row r="1374" spans="1:6" ht="15" x14ac:dyDescent="0.25">
      <c r="A1374"/>
      <c r="B1374"/>
      <c r="C1374"/>
      <c r="D1374"/>
      <c r="E1374"/>
      <c r="F1374"/>
    </row>
    <row r="1375" spans="1:6" ht="15" x14ac:dyDescent="0.25">
      <c r="A1375"/>
      <c r="B1375"/>
      <c r="C1375"/>
      <c r="D1375"/>
      <c r="E1375"/>
      <c r="F1375"/>
    </row>
    <row r="1376" spans="1:6" ht="15" x14ac:dyDescent="0.25">
      <c r="A1376"/>
      <c r="B1376"/>
      <c r="C1376"/>
      <c r="D1376"/>
      <c r="E1376"/>
      <c r="F1376"/>
    </row>
    <row r="1377" spans="1:6" ht="15" x14ac:dyDescent="0.25">
      <c r="A1377"/>
      <c r="B1377"/>
      <c r="C1377"/>
      <c r="D1377"/>
      <c r="E1377"/>
      <c r="F1377"/>
    </row>
    <row r="1378" spans="1:6" ht="15" x14ac:dyDescent="0.25">
      <c r="A1378"/>
      <c r="B1378"/>
      <c r="C1378"/>
      <c r="D1378"/>
      <c r="E1378"/>
      <c r="F1378"/>
    </row>
    <row r="1379" spans="1:6" ht="15" x14ac:dyDescent="0.25">
      <c r="A1379"/>
      <c r="B1379"/>
      <c r="C1379"/>
      <c r="D1379"/>
      <c r="E1379"/>
      <c r="F1379"/>
    </row>
    <row r="1380" spans="1:6" ht="15" x14ac:dyDescent="0.25">
      <c r="A1380"/>
      <c r="B1380"/>
      <c r="C1380"/>
      <c r="D1380"/>
      <c r="E1380"/>
      <c r="F1380"/>
    </row>
    <row r="1381" spans="1:6" ht="15" x14ac:dyDescent="0.25">
      <c r="A1381"/>
      <c r="B1381"/>
      <c r="C1381"/>
      <c r="D1381"/>
      <c r="E1381"/>
      <c r="F1381"/>
    </row>
    <row r="1382" spans="1:6" ht="15" x14ac:dyDescent="0.25">
      <c r="A1382"/>
      <c r="B1382"/>
      <c r="C1382"/>
      <c r="D1382"/>
      <c r="E1382"/>
      <c r="F1382"/>
    </row>
    <row r="1383" spans="1:6" ht="15" x14ac:dyDescent="0.25">
      <c r="A1383"/>
      <c r="B1383"/>
      <c r="C1383"/>
      <c r="D1383"/>
      <c r="E1383"/>
      <c r="F1383"/>
    </row>
    <row r="1384" spans="1:6" ht="15" x14ac:dyDescent="0.25">
      <c r="A1384"/>
      <c r="B1384"/>
      <c r="C1384"/>
      <c r="D1384"/>
      <c r="E1384"/>
      <c r="F1384"/>
    </row>
    <row r="1385" spans="1:6" ht="15" x14ac:dyDescent="0.25">
      <c r="A1385"/>
      <c r="B1385"/>
      <c r="C1385"/>
      <c r="D1385"/>
      <c r="E1385"/>
      <c r="F1385"/>
    </row>
    <row r="1386" spans="1:6" ht="15" x14ac:dyDescent="0.25">
      <c r="A1386"/>
      <c r="B1386"/>
      <c r="C1386"/>
      <c r="D1386"/>
      <c r="E1386"/>
      <c r="F1386"/>
    </row>
    <row r="1387" spans="1:6" ht="15" x14ac:dyDescent="0.25">
      <c r="A1387"/>
      <c r="B1387"/>
      <c r="C1387"/>
      <c r="D1387"/>
      <c r="E1387"/>
      <c r="F1387"/>
    </row>
    <row r="1388" spans="1:6" ht="15" x14ac:dyDescent="0.25">
      <c r="A1388"/>
      <c r="B1388"/>
      <c r="C1388"/>
      <c r="D1388"/>
      <c r="E1388"/>
      <c r="F1388"/>
    </row>
    <row r="1389" spans="1:6" ht="15" x14ac:dyDescent="0.25">
      <c r="A1389"/>
      <c r="B1389"/>
      <c r="C1389"/>
      <c r="D1389"/>
      <c r="E1389"/>
      <c r="F1389"/>
    </row>
    <row r="1390" spans="1:6" ht="15" x14ac:dyDescent="0.25">
      <c r="A1390"/>
      <c r="B1390"/>
      <c r="C1390"/>
      <c r="D1390"/>
      <c r="E1390"/>
      <c r="F1390"/>
    </row>
    <row r="1391" spans="1:6" ht="15" x14ac:dyDescent="0.25">
      <c r="A1391"/>
      <c r="B1391"/>
      <c r="C1391"/>
      <c r="D1391"/>
      <c r="E1391"/>
      <c r="F1391"/>
    </row>
    <row r="1392" spans="1:6" ht="15" x14ac:dyDescent="0.25">
      <c r="A1392"/>
      <c r="B1392"/>
      <c r="C1392"/>
      <c r="D1392"/>
      <c r="E1392"/>
      <c r="F1392"/>
    </row>
    <row r="1393" spans="1:6" ht="15" x14ac:dyDescent="0.25">
      <c r="A1393"/>
      <c r="B1393"/>
      <c r="C1393"/>
      <c r="D1393"/>
      <c r="E1393"/>
      <c r="F1393"/>
    </row>
    <row r="1394" spans="1:6" ht="15" x14ac:dyDescent="0.25">
      <c r="A1394"/>
      <c r="B1394"/>
      <c r="C1394"/>
      <c r="D1394"/>
      <c r="E1394"/>
      <c r="F1394"/>
    </row>
    <row r="1395" spans="1:6" ht="15" x14ac:dyDescent="0.25">
      <c r="A1395"/>
      <c r="B1395"/>
      <c r="C1395"/>
      <c r="D1395"/>
      <c r="E1395"/>
      <c r="F1395"/>
    </row>
    <row r="1396" spans="1:6" ht="15" x14ac:dyDescent="0.25">
      <c r="A1396"/>
      <c r="B1396"/>
      <c r="C1396"/>
      <c r="D1396"/>
      <c r="E1396"/>
      <c r="F1396"/>
    </row>
    <row r="1397" spans="1:6" ht="15" x14ac:dyDescent="0.25">
      <c r="A1397"/>
      <c r="B1397"/>
      <c r="C1397"/>
      <c r="D1397"/>
      <c r="E1397"/>
      <c r="F1397"/>
    </row>
    <row r="1398" spans="1:6" ht="15" x14ac:dyDescent="0.25">
      <c r="A1398"/>
      <c r="B1398"/>
      <c r="C1398"/>
      <c r="D1398"/>
      <c r="E1398"/>
      <c r="F1398"/>
    </row>
    <row r="1399" spans="1:6" ht="15" x14ac:dyDescent="0.25">
      <c r="A1399"/>
      <c r="B1399"/>
      <c r="C1399"/>
      <c r="D1399"/>
      <c r="E1399"/>
      <c r="F1399"/>
    </row>
    <row r="1400" spans="1:6" ht="15" x14ac:dyDescent="0.25">
      <c r="A1400"/>
      <c r="B1400"/>
      <c r="C1400"/>
      <c r="D1400"/>
      <c r="E1400"/>
      <c r="F1400"/>
    </row>
    <row r="1401" spans="1:6" ht="15" x14ac:dyDescent="0.25">
      <c r="A1401"/>
      <c r="B1401"/>
      <c r="C1401"/>
      <c r="D1401"/>
      <c r="E1401"/>
      <c r="F1401"/>
    </row>
    <row r="1402" spans="1:6" ht="15" x14ac:dyDescent="0.25">
      <c r="A1402"/>
      <c r="B1402"/>
      <c r="C1402"/>
      <c r="D1402"/>
      <c r="E1402"/>
      <c r="F1402"/>
    </row>
    <row r="1403" spans="1:6" ht="15" x14ac:dyDescent="0.25">
      <c r="A1403"/>
      <c r="B1403"/>
      <c r="C1403"/>
      <c r="D1403"/>
      <c r="E1403"/>
      <c r="F1403"/>
    </row>
    <row r="1404" spans="1:6" ht="15" x14ac:dyDescent="0.25">
      <c r="A1404"/>
      <c r="B1404"/>
      <c r="C1404"/>
      <c r="D1404"/>
      <c r="E1404"/>
      <c r="F1404"/>
    </row>
    <row r="1405" spans="1:6" ht="15" x14ac:dyDescent="0.25">
      <c r="A1405"/>
      <c r="B1405"/>
      <c r="C1405"/>
      <c r="D1405"/>
      <c r="E1405"/>
      <c r="F1405"/>
    </row>
    <row r="1406" spans="1:6" ht="15" x14ac:dyDescent="0.25">
      <c r="A1406"/>
      <c r="B1406"/>
      <c r="C1406"/>
      <c r="D1406"/>
      <c r="E1406"/>
      <c r="F1406"/>
    </row>
    <row r="1407" spans="1:6" ht="15" x14ac:dyDescent="0.25">
      <c r="A1407"/>
      <c r="B1407"/>
      <c r="C1407"/>
      <c r="D1407"/>
      <c r="E1407"/>
      <c r="F1407"/>
    </row>
    <row r="1408" spans="1:6" ht="15" x14ac:dyDescent="0.25">
      <c r="A1408"/>
      <c r="B1408"/>
      <c r="C1408"/>
      <c r="D1408"/>
      <c r="E1408"/>
      <c r="F1408"/>
    </row>
    <row r="1409" spans="1:6" ht="15" x14ac:dyDescent="0.25">
      <c r="A1409"/>
      <c r="B1409"/>
      <c r="C1409"/>
      <c r="D1409"/>
      <c r="E1409"/>
      <c r="F1409"/>
    </row>
    <row r="1410" spans="1:6" ht="15" x14ac:dyDescent="0.25">
      <c r="A1410"/>
      <c r="B1410"/>
      <c r="C1410"/>
      <c r="D1410"/>
      <c r="E1410"/>
      <c r="F1410"/>
    </row>
    <row r="1411" spans="1:6" ht="15" x14ac:dyDescent="0.25">
      <c r="A1411"/>
      <c r="B1411"/>
      <c r="C1411"/>
      <c r="D1411"/>
      <c r="E1411"/>
      <c r="F1411"/>
    </row>
    <row r="1412" spans="1:6" ht="15" x14ac:dyDescent="0.25">
      <c r="A1412"/>
      <c r="B1412"/>
      <c r="C1412"/>
      <c r="D1412"/>
      <c r="E1412"/>
      <c r="F1412"/>
    </row>
    <row r="1413" spans="1:6" ht="15" x14ac:dyDescent="0.25">
      <c r="A1413"/>
      <c r="B1413"/>
      <c r="C1413"/>
      <c r="D1413"/>
      <c r="E1413"/>
      <c r="F1413"/>
    </row>
    <row r="1414" spans="1:6" ht="15" x14ac:dyDescent="0.25">
      <c r="A1414"/>
      <c r="B1414"/>
      <c r="C1414"/>
      <c r="D1414"/>
      <c r="E1414"/>
      <c r="F1414"/>
    </row>
    <row r="1415" spans="1:6" ht="15" x14ac:dyDescent="0.25">
      <c r="A1415"/>
      <c r="B1415"/>
      <c r="C1415"/>
      <c r="D1415"/>
      <c r="E1415"/>
      <c r="F1415"/>
    </row>
    <row r="1416" spans="1:6" ht="15" x14ac:dyDescent="0.25">
      <c r="A1416"/>
      <c r="B1416"/>
      <c r="C1416"/>
      <c r="D1416"/>
      <c r="E1416"/>
      <c r="F1416"/>
    </row>
    <row r="1417" spans="1:6" ht="15" x14ac:dyDescent="0.25">
      <c r="A1417"/>
      <c r="B1417"/>
      <c r="C1417"/>
      <c r="D1417"/>
      <c r="E1417"/>
      <c r="F1417"/>
    </row>
    <row r="1418" spans="1:6" ht="15" x14ac:dyDescent="0.25">
      <c r="A1418"/>
      <c r="B1418"/>
      <c r="C1418"/>
      <c r="D1418"/>
      <c r="E1418"/>
      <c r="F1418"/>
    </row>
    <row r="1419" spans="1:6" ht="15" x14ac:dyDescent="0.25">
      <c r="A1419"/>
      <c r="B1419"/>
      <c r="C1419"/>
      <c r="D1419"/>
      <c r="E1419"/>
      <c r="F1419"/>
    </row>
    <row r="1420" spans="1:6" ht="15" x14ac:dyDescent="0.25">
      <c r="A1420"/>
      <c r="B1420"/>
      <c r="C1420"/>
      <c r="D1420"/>
      <c r="E1420"/>
      <c r="F1420"/>
    </row>
    <row r="1421" spans="1:6" ht="15" x14ac:dyDescent="0.25">
      <c r="A1421"/>
      <c r="B1421"/>
      <c r="C1421"/>
      <c r="D1421"/>
      <c r="E1421"/>
      <c r="F1421"/>
    </row>
    <row r="1422" spans="1:6" ht="15" x14ac:dyDescent="0.25">
      <c r="A1422"/>
      <c r="B1422"/>
      <c r="C1422"/>
      <c r="D1422"/>
      <c r="E1422"/>
      <c r="F1422"/>
    </row>
    <row r="1423" spans="1:6" ht="15" x14ac:dyDescent="0.25">
      <c r="A1423"/>
      <c r="B1423"/>
      <c r="C1423"/>
      <c r="D1423"/>
      <c r="E1423"/>
      <c r="F1423"/>
    </row>
    <row r="1424" spans="1:6" ht="15" x14ac:dyDescent="0.25">
      <c r="A1424"/>
      <c r="B1424"/>
      <c r="C1424"/>
      <c r="D1424"/>
      <c r="E1424"/>
      <c r="F1424"/>
    </row>
    <row r="1425" spans="1:6" ht="15" x14ac:dyDescent="0.25">
      <c r="A1425"/>
      <c r="B1425"/>
      <c r="C1425"/>
      <c r="D1425"/>
      <c r="E1425"/>
      <c r="F1425"/>
    </row>
    <row r="1426" spans="1:6" ht="15" x14ac:dyDescent="0.25">
      <c r="A1426"/>
      <c r="B1426"/>
      <c r="C1426"/>
      <c r="D1426"/>
      <c r="E1426"/>
      <c r="F1426"/>
    </row>
    <row r="1427" spans="1:6" ht="15" x14ac:dyDescent="0.25">
      <c r="A1427"/>
      <c r="B1427"/>
      <c r="C1427"/>
      <c r="D1427"/>
      <c r="E1427"/>
      <c r="F1427"/>
    </row>
    <row r="1428" spans="1:6" ht="15" x14ac:dyDescent="0.25">
      <c r="A1428"/>
      <c r="B1428"/>
      <c r="C1428"/>
      <c r="D1428"/>
      <c r="E1428"/>
      <c r="F1428"/>
    </row>
    <row r="1429" spans="1:6" ht="15" x14ac:dyDescent="0.25">
      <c r="A1429"/>
      <c r="B1429"/>
      <c r="C1429"/>
      <c r="D1429"/>
      <c r="E1429"/>
      <c r="F1429"/>
    </row>
    <row r="1430" spans="1:6" ht="15" x14ac:dyDescent="0.25">
      <c r="A1430"/>
      <c r="B1430"/>
      <c r="C1430"/>
      <c r="D1430"/>
      <c r="E1430"/>
      <c r="F1430"/>
    </row>
    <row r="1431" spans="1:6" ht="15" x14ac:dyDescent="0.25">
      <c r="A1431"/>
      <c r="B1431"/>
      <c r="C1431"/>
      <c r="D1431"/>
      <c r="E1431"/>
      <c r="F1431"/>
    </row>
    <row r="1432" spans="1:6" ht="15" x14ac:dyDescent="0.25">
      <c r="A1432"/>
      <c r="B1432"/>
      <c r="C1432"/>
      <c r="D1432"/>
      <c r="E1432"/>
      <c r="F1432"/>
    </row>
    <row r="1433" spans="1:6" ht="15" x14ac:dyDescent="0.25">
      <c r="A1433"/>
      <c r="B1433"/>
      <c r="C1433"/>
      <c r="D1433"/>
      <c r="E1433"/>
      <c r="F1433"/>
    </row>
    <row r="1434" spans="1:6" ht="15" x14ac:dyDescent="0.25">
      <c r="A1434"/>
      <c r="B1434"/>
      <c r="C1434"/>
      <c r="D1434"/>
      <c r="E1434"/>
      <c r="F1434"/>
    </row>
    <row r="1435" spans="1:6" ht="15" x14ac:dyDescent="0.25">
      <c r="A1435"/>
      <c r="B1435"/>
      <c r="C1435"/>
      <c r="D1435"/>
      <c r="E1435"/>
      <c r="F1435"/>
    </row>
    <row r="1436" spans="1:6" ht="15" x14ac:dyDescent="0.25">
      <c r="A1436"/>
      <c r="B1436"/>
      <c r="C1436"/>
      <c r="D1436"/>
      <c r="E1436"/>
      <c r="F1436"/>
    </row>
    <row r="1437" spans="1:6" ht="15" x14ac:dyDescent="0.25">
      <c r="A1437"/>
      <c r="B1437"/>
      <c r="C1437"/>
      <c r="D1437"/>
      <c r="E1437"/>
      <c r="F1437"/>
    </row>
    <row r="1438" spans="1:6" ht="15" x14ac:dyDescent="0.25">
      <c r="A1438"/>
      <c r="B1438"/>
      <c r="C1438"/>
      <c r="D1438"/>
      <c r="E1438"/>
      <c r="F1438"/>
    </row>
    <row r="1439" spans="1:6" ht="15" x14ac:dyDescent="0.25">
      <c r="A1439"/>
      <c r="B1439"/>
      <c r="C1439"/>
      <c r="D1439"/>
      <c r="E1439"/>
      <c r="F1439"/>
    </row>
    <row r="1440" spans="1:6" ht="15" x14ac:dyDescent="0.25">
      <c r="A1440"/>
      <c r="B1440"/>
      <c r="C1440"/>
      <c r="D1440"/>
      <c r="E1440"/>
      <c r="F1440"/>
    </row>
    <row r="1441" spans="1:6" ht="15" x14ac:dyDescent="0.25">
      <c r="A1441"/>
      <c r="B1441"/>
      <c r="C1441"/>
      <c r="D1441"/>
      <c r="E1441"/>
      <c r="F1441"/>
    </row>
    <row r="1442" spans="1:6" ht="15" x14ac:dyDescent="0.25">
      <c r="A1442"/>
      <c r="B1442"/>
      <c r="C1442"/>
      <c r="D1442"/>
      <c r="E1442"/>
      <c r="F1442"/>
    </row>
    <row r="1443" spans="1:6" ht="15" x14ac:dyDescent="0.25">
      <c r="A1443"/>
      <c r="B1443"/>
      <c r="C1443"/>
      <c r="D1443"/>
      <c r="E1443"/>
      <c r="F1443"/>
    </row>
    <row r="1444" spans="1:6" ht="15" x14ac:dyDescent="0.25">
      <c r="A1444"/>
      <c r="B1444"/>
      <c r="C1444"/>
      <c r="D1444"/>
      <c r="E1444"/>
      <c r="F1444"/>
    </row>
    <row r="1445" spans="1:6" ht="15" x14ac:dyDescent="0.25">
      <c r="A1445"/>
      <c r="B1445"/>
      <c r="C1445"/>
      <c r="D1445"/>
      <c r="E1445"/>
      <c r="F1445"/>
    </row>
    <row r="1446" spans="1:6" ht="15" x14ac:dyDescent="0.25">
      <c r="A1446"/>
      <c r="B1446"/>
      <c r="C1446"/>
      <c r="D1446"/>
      <c r="E1446"/>
      <c r="F1446"/>
    </row>
    <row r="1447" spans="1:6" ht="15" x14ac:dyDescent="0.25">
      <c r="A1447"/>
      <c r="B1447"/>
      <c r="C1447"/>
      <c r="D1447"/>
      <c r="E1447"/>
      <c r="F1447"/>
    </row>
    <row r="1448" spans="1:6" ht="15" x14ac:dyDescent="0.25">
      <c r="A1448"/>
      <c r="B1448"/>
      <c r="C1448"/>
      <c r="D1448"/>
      <c r="E1448"/>
      <c r="F1448"/>
    </row>
    <row r="1449" spans="1:6" ht="15" x14ac:dyDescent="0.25">
      <c r="A1449"/>
      <c r="B1449"/>
      <c r="C1449"/>
      <c r="D1449"/>
      <c r="E1449"/>
      <c r="F1449"/>
    </row>
    <row r="1450" spans="1:6" ht="15" x14ac:dyDescent="0.25">
      <c r="A1450"/>
      <c r="B1450"/>
      <c r="C1450"/>
      <c r="D1450"/>
      <c r="E1450"/>
      <c r="F1450"/>
    </row>
    <row r="1451" spans="1:6" ht="15" x14ac:dyDescent="0.25">
      <c r="A1451"/>
      <c r="B1451"/>
      <c r="C1451"/>
      <c r="D1451"/>
      <c r="E1451"/>
      <c r="F1451"/>
    </row>
    <row r="1452" spans="1:6" ht="15" x14ac:dyDescent="0.25">
      <c r="A1452"/>
      <c r="B1452"/>
      <c r="C1452"/>
      <c r="D1452"/>
      <c r="E1452"/>
      <c r="F1452"/>
    </row>
    <row r="1453" spans="1:6" ht="15" x14ac:dyDescent="0.25">
      <c r="A1453"/>
      <c r="B1453"/>
      <c r="C1453"/>
      <c r="D1453"/>
      <c r="E1453"/>
      <c r="F1453"/>
    </row>
    <row r="1454" spans="1:6" ht="15" x14ac:dyDescent="0.25">
      <c r="A1454"/>
      <c r="B1454"/>
      <c r="C1454"/>
      <c r="D1454"/>
      <c r="E1454"/>
      <c r="F1454"/>
    </row>
    <row r="1455" spans="1:6" ht="15" x14ac:dyDescent="0.25">
      <c r="A1455"/>
      <c r="B1455"/>
      <c r="C1455"/>
      <c r="D1455"/>
      <c r="E1455"/>
      <c r="F1455"/>
    </row>
    <row r="1456" spans="1:6" ht="15" x14ac:dyDescent="0.25">
      <c r="A1456"/>
      <c r="B1456"/>
      <c r="C1456"/>
      <c r="D1456"/>
      <c r="E1456"/>
      <c r="F1456"/>
    </row>
    <row r="1457" spans="1:6" ht="15" x14ac:dyDescent="0.25">
      <c r="A1457"/>
      <c r="B1457"/>
      <c r="C1457"/>
      <c r="D1457"/>
      <c r="E1457"/>
      <c r="F1457"/>
    </row>
    <row r="1458" spans="1:6" ht="15" x14ac:dyDescent="0.25">
      <c r="A1458"/>
      <c r="B1458"/>
      <c r="C1458"/>
      <c r="D1458"/>
      <c r="E1458"/>
      <c r="F1458"/>
    </row>
    <row r="1459" spans="1:6" ht="15" x14ac:dyDescent="0.25">
      <c r="A1459"/>
      <c r="B1459"/>
      <c r="C1459"/>
      <c r="D1459"/>
      <c r="E1459"/>
      <c r="F1459"/>
    </row>
    <row r="1460" spans="1:6" ht="15" x14ac:dyDescent="0.25">
      <c r="A1460"/>
      <c r="B1460"/>
      <c r="C1460"/>
      <c r="D1460"/>
      <c r="E1460"/>
      <c r="F1460"/>
    </row>
    <row r="1461" spans="1:6" ht="15" x14ac:dyDescent="0.25">
      <c r="A1461"/>
      <c r="B1461"/>
      <c r="C1461"/>
      <c r="D1461"/>
      <c r="E1461"/>
      <c r="F1461"/>
    </row>
    <row r="1462" spans="1:6" ht="15" x14ac:dyDescent="0.25">
      <c r="A1462"/>
      <c r="B1462"/>
      <c r="C1462"/>
      <c r="D1462"/>
      <c r="E1462"/>
      <c r="F1462"/>
    </row>
    <row r="1463" spans="1:6" ht="15" x14ac:dyDescent="0.25">
      <c r="A1463"/>
      <c r="B1463"/>
      <c r="C1463"/>
      <c r="D1463"/>
      <c r="E1463"/>
      <c r="F1463"/>
    </row>
    <row r="1464" spans="1:6" ht="15" x14ac:dyDescent="0.25">
      <c r="A1464"/>
      <c r="B1464"/>
      <c r="C1464"/>
      <c r="D1464"/>
      <c r="E1464"/>
      <c r="F1464"/>
    </row>
    <row r="1465" spans="1:6" ht="15" x14ac:dyDescent="0.25">
      <c r="A1465"/>
      <c r="B1465"/>
      <c r="C1465"/>
      <c r="D1465"/>
      <c r="E1465"/>
      <c r="F1465"/>
    </row>
    <row r="1466" spans="1:6" ht="15" x14ac:dyDescent="0.25">
      <c r="A1466"/>
      <c r="B1466"/>
      <c r="C1466"/>
      <c r="D1466"/>
      <c r="E1466"/>
      <c r="F1466"/>
    </row>
    <row r="1467" spans="1:6" ht="15" x14ac:dyDescent="0.25">
      <c r="A1467"/>
      <c r="B1467"/>
      <c r="C1467"/>
      <c r="D1467"/>
      <c r="E1467"/>
      <c r="F1467"/>
    </row>
    <row r="1468" spans="1:6" ht="15" x14ac:dyDescent="0.25">
      <c r="A1468"/>
      <c r="B1468"/>
      <c r="C1468"/>
      <c r="D1468"/>
      <c r="E1468"/>
      <c r="F1468"/>
    </row>
    <row r="1469" spans="1:6" ht="15" x14ac:dyDescent="0.25">
      <c r="A1469"/>
      <c r="B1469"/>
      <c r="C1469"/>
      <c r="D1469"/>
      <c r="E1469"/>
      <c r="F1469"/>
    </row>
    <row r="1470" spans="1:6" ht="15" x14ac:dyDescent="0.25">
      <c r="A1470"/>
      <c r="B1470"/>
      <c r="C1470"/>
      <c r="D1470"/>
      <c r="E1470"/>
      <c r="F1470"/>
    </row>
    <row r="1471" spans="1:6" ht="15" x14ac:dyDescent="0.25">
      <c r="A1471"/>
      <c r="B1471"/>
      <c r="C1471"/>
      <c r="D1471"/>
      <c r="E1471"/>
      <c r="F1471"/>
    </row>
    <row r="1472" spans="1:6" ht="15" x14ac:dyDescent="0.25">
      <c r="A1472"/>
      <c r="B1472"/>
      <c r="C1472"/>
      <c r="D1472"/>
      <c r="E1472"/>
      <c r="F1472"/>
    </row>
    <row r="1473" spans="1:6" ht="15" x14ac:dyDescent="0.25">
      <c r="A1473"/>
      <c r="B1473"/>
      <c r="C1473"/>
      <c r="D1473"/>
      <c r="E1473"/>
      <c r="F1473"/>
    </row>
    <row r="1474" spans="1:6" ht="15" x14ac:dyDescent="0.25">
      <c r="A1474"/>
      <c r="B1474"/>
      <c r="C1474"/>
      <c r="D1474"/>
      <c r="E1474"/>
      <c r="F1474"/>
    </row>
    <row r="1475" spans="1:6" ht="15" x14ac:dyDescent="0.25">
      <c r="A1475"/>
      <c r="B1475"/>
      <c r="C1475"/>
      <c r="D1475"/>
      <c r="E1475"/>
      <c r="F1475"/>
    </row>
    <row r="1476" spans="1:6" ht="15" x14ac:dyDescent="0.25">
      <c r="A1476"/>
      <c r="B1476"/>
      <c r="C1476"/>
      <c r="D1476"/>
      <c r="E1476"/>
      <c r="F1476"/>
    </row>
    <row r="1477" spans="1:6" ht="15" x14ac:dyDescent="0.25">
      <c r="A1477"/>
      <c r="B1477"/>
      <c r="C1477"/>
      <c r="D1477"/>
      <c r="E1477"/>
      <c r="F1477"/>
    </row>
    <row r="1478" spans="1:6" ht="15" x14ac:dyDescent="0.25">
      <c r="A1478"/>
      <c r="B1478"/>
      <c r="C1478"/>
      <c r="D1478"/>
      <c r="E1478"/>
      <c r="F1478"/>
    </row>
    <row r="1479" spans="1:6" ht="15" x14ac:dyDescent="0.25">
      <c r="A1479"/>
      <c r="B1479"/>
      <c r="C1479"/>
      <c r="D1479"/>
      <c r="E1479"/>
      <c r="F1479"/>
    </row>
    <row r="1480" spans="1:6" ht="15" x14ac:dyDescent="0.25">
      <c r="A1480"/>
      <c r="B1480"/>
      <c r="C1480"/>
      <c r="D1480"/>
      <c r="E1480"/>
      <c r="F1480"/>
    </row>
    <row r="1481" spans="1:6" ht="15" x14ac:dyDescent="0.25">
      <c r="A1481"/>
      <c r="B1481"/>
      <c r="C1481"/>
      <c r="D1481"/>
      <c r="E1481"/>
      <c r="F1481"/>
    </row>
    <row r="1482" spans="1:6" ht="15" x14ac:dyDescent="0.25">
      <c r="A1482"/>
      <c r="B1482"/>
      <c r="C1482"/>
      <c r="D1482"/>
      <c r="E1482"/>
      <c r="F1482"/>
    </row>
    <row r="1483" spans="1:6" ht="15" x14ac:dyDescent="0.25">
      <c r="A1483"/>
      <c r="B1483"/>
      <c r="C1483"/>
      <c r="D1483"/>
      <c r="E1483"/>
      <c r="F1483"/>
    </row>
    <row r="1484" spans="1:6" ht="15" x14ac:dyDescent="0.25">
      <c r="A1484"/>
      <c r="B1484"/>
      <c r="C1484"/>
      <c r="D1484"/>
      <c r="E1484"/>
      <c r="F1484"/>
    </row>
    <row r="1485" spans="1:6" ht="15" x14ac:dyDescent="0.25">
      <c r="A1485"/>
      <c r="B1485"/>
      <c r="C1485"/>
      <c r="D1485"/>
      <c r="E1485"/>
      <c r="F1485"/>
    </row>
    <row r="1486" spans="1:6" ht="15" x14ac:dyDescent="0.25">
      <c r="A1486"/>
      <c r="B1486"/>
      <c r="C1486"/>
      <c r="D1486"/>
      <c r="E1486"/>
      <c r="F1486"/>
    </row>
    <row r="1487" spans="1:6" ht="15" x14ac:dyDescent="0.25">
      <c r="A1487"/>
      <c r="B1487"/>
      <c r="C1487"/>
      <c r="D1487"/>
      <c r="E1487"/>
      <c r="F1487"/>
    </row>
    <row r="1488" spans="1:6" ht="15" x14ac:dyDescent="0.25">
      <c r="A1488"/>
      <c r="B1488"/>
      <c r="C1488"/>
      <c r="D1488"/>
      <c r="E1488"/>
      <c r="F1488"/>
    </row>
    <row r="1489" spans="1:6" ht="15" x14ac:dyDescent="0.25">
      <c r="A1489"/>
      <c r="B1489"/>
      <c r="C1489"/>
      <c r="D1489"/>
      <c r="E1489"/>
      <c r="F1489"/>
    </row>
    <row r="1490" spans="1:6" ht="15" x14ac:dyDescent="0.25">
      <c r="A1490"/>
      <c r="B1490"/>
      <c r="C1490"/>
      <c r="D1490"/>
      <c r="E1490"/>
      <c r="F1490"/>
    </row>
    <row r="1491" spans="1:6" ht="15" x14ac:dyDescent="0.25">
      <c r="A1491"/>
      <c r="B1491"/>
      <c r="C1491"/>
      <c r="D1491"/>
      <c r="E1491"/>
      <c r="F1491"/>
    </row>
    <row r="1492" spans="1:6" ht="15" x14ac:dyDescent="0.25">
      <c r="A1492"/>
      <c r="B1492"/>
      <c r="C1492"/>
      <c r="D1492"/>
      <c r="E1492"/>
      <c r="F1492"/>
    </row>
    <row r="1493" spans="1:6" ht="15" x14ac:dyDescent="0.25">
      <c r="A1493"/>
      <c r="B1493"/>
      <c r="C1493"/>
      <c r="D1493"/>
      <c r="E1493"/>
      <c r="F1493"/>
    </row>
    <row r="1494" spans="1:6" ht="15" x14ac:dyDescent="0.25">
      <c r="A1494"/>
      <c r="B1494"/>
      <c r="C1494"/>
      <c r="D1494"/>
      <c r="E1494"/>
      <c r="F1494"/>
    </row>
    <row r="1495" spans="1:6" ht="15" x14ac:dyDescent="0.25">
      <c r="A1495"/>
      <c r="B1495"/>
      <c r="C1495"/>
      <c r="D1495"/>
      <c r="E1495"/>
      <c r="F1495"/>
    </row>
    <row r="1496" spans="1:6" ht="15" x14ac:dyDescent="0.25">
      <c r="A1496"/>
      <c r="B1496"/>
      <c r="C1496"/>
      <c r="D1496"/>
      <c r="E1496"/>
      <c r="F1496"/>
    </row>
    <row r="1497" spans="1:6" ht="15" x14ac:dyDescent="0.25">
      <c r="A1497"/>
      <c r="B1497"/>
      <c r="C1497"/>
      <c r="D1497"/>
      <c r="E1497"/>
      <c r="F1497"/>
    </row>
    <row r="1498" spans="1:6" ht="15" x14ac:dyDescent="0.25">
      <c r="A1498"/>
      <c r="B1498"/>
      <c r="C1498"/>
      <c r="D1498"/>
      <c r="E1498"/>
      <c r="F1498"/>
    </row>
    <row r="1499" spans="1:6" ht="15" x14ac:dyDescent="0.25">
      <c r="A1499"/>
      <c r="B1499"/>
      <c r="C1499"/>
      <c r="D1499"/>
      <c r="E1499"/>
      <c r="F1499"/>
    </row>
    <row r="1500" spans="1:6" ht="15" x14ac:dyDescent="0.25">
      <c r="A1500"/>
      <c r="B1500"/>
      <c r="C1500"/>
      <c r="D1500"/>
      <c r="E1500"/>
      <c r="F1500"/>
    </row>
    <row r="1501" spans="1:6" ht="15" x14ac:dyDescent="0.25">
      <c r="A1501"/>
      <c r="B1501"/>
      <c r="C1501"/>
      <c r="D1501"/>
      <c r="E1501"/>
      <c r="F1501"/>
    </row>
    <row r="1502" spans="1:6" ht="15" x14ac:dyDescent="0.25">
      <c r="A1502"/>
      <c r="B1502"/>
      <c r="C1502"/>
      <c r="D1502"/>
      <c r="E1502"/>
      <c r="F1502"/>
    </row>
    <row r="1503" spans="1:6" ht="15" x14ac:dyDescent="0.25">
      <c r="A1503"/>
      <c r="B1503"/>
      <c r="C1503"/>
      <c r="D1503"/>
      <c r="E1503"/>
      <c r="F1503"/>
    </row>
    <row r="1504" spans="1:6" ht="15" x14ac:dyDescent="0.25">
      <c r="A1504"/>
      <c r="B1504"/>
      <c r="C1504"/>
      <c r="D1504"/>
      <c r="E1504"/>
      <c r="F1504"/>
    </row>
    <row r="1505" spans="1:6" ht="15" x14ac:dyDescent="0.25">
      <c r="A1505"/>
      <c r="B1505"/>
      <c r="C1505"/>
      <c r="D1505"/>
      <c r="E1505"/>
      <c r="F1505"/>
    </row>
    <row r="1506" spans="1:6" ht="15" x14ac:dyDescent="0.25">
      <c r="A1506"/>
      <c r="B1506"/>
      <c r="C1506"/>
      <c r="D1506"/>
      <c r="E1506"/>
      <c r="F1506"/>
    </row>
    <row r="1507" spans="1:6" ht="15" x14ac:dyDescent="0.25">
      <c r="A1507"/>
      <c r="B1507"/>
      <c r="C1507"/>
      <c r="D1507"/>
      <c r="E1507"/>
      <c r="F1507"/>
    </row>
    <row r="1508" spans="1:6" ht="15" x14ac:dyDescent="0.25">
      <c r="A1508"/>
      <c r="B1508"/>
      <c r="C1508"/>
      <c r="D1508"/>
      <c r="E1508"/>
      <c r="F1508"/>
    </row>
    <row r="1509" spans="1:6" ht="15" x14ac:dyDescent="0.25">
      <c r="A1509"/>
      <c r="B1509"/>
      <c r="C1509"/>
      <c r="D1509"/>
      <c r="E1509"/>
      <c r="F1509"/>
    </row>
    <row r="1510" spans="1:6" ht="15" x14ac:dyDescent="0.25">
      <c r="A1510"/>
      <c r="B1510"/>
      <c r="C1510"/>
      <c r="D1510"/>
      <c r="E1510"/>
      <c r="F1510"/>
    </row>
    <row r="1511" spans="1:6" ht="15" x14ac:dyDescent="0.25">
      <c r="A1511"/>
      <c r="B1511"/>
      <c r="C1511"/>
      <c r="D1511"/>
      <c r="E1511"/>
      <c r="F1511"/>
    </row>
    <row r="1512" spans="1:6" ht="15" x14ac:dyDescent="0.25">
      <c r="A1512"/>
      <c r="B1512"/>
      <c r="C1512"/>
      <c r="D1512"/>
      <c r="E1512"/>
      <c r="F1512"/>
    </row>
    <row r="1513" spans="1:6" ht="15" x14ac:dyDescent="0.25">
      <c r="A1513"/>
      <c r="B1513"/>
      <c r="C1513"/>
      <c r="D1513"/>
      <c r="E1513"/>
      <c r="F1513"/>
    </row>
    <row r="1514" spans="1:6" ht="15" x14ac:dyDescent="0.25">
      <c r="A1514"/>
      <c r="B1514"/>
      <c r="C1514"/>
      <c r="D1514"/>
      <c r="E1514"/>
      <c r="F1514"/>
    </row>
    <row r="1515" spans="1:6" ht="15" x14ac:dyDescent="0.25">
      <c r="A1515"/>
      <c r="B1515"/>
      <c r="C1515"/>
      <c r="D1515"/>
      <c r="E1515"/>
      <c r="F1515"/>
    </row>
    <row r="1516" spans="1:6" ht="15" x14ac:dyDescent="0.25">
      <c r="A1516"/>
      <c r="B1516"/>
      <c r="C1516"/>
      <c r="D1516"/>
      <c r="E1516"/>
      <c r="F1516"/>
    </row>
    <row r="1517" spans="1:6" ht="15" x14ac:dyDescent="0.25">
      <c r="A1517"/>
      <c r="B1517"/>
      <c r="C1517"/>
      <c r="D1517"/>
      <c r="E1517"/>
      <c r="F1517"/>
    </row>
    <row r="1518" spans="1:6" ht="15" x14ac:dyDescent="0.25">
      <c r="A1518"/>
      <c r="B1518"/>
      <c r="C1518"/>
      <c r="D1518"/>
      <c r="E1518"/>
      <c r="F1518"/>
    </row>
    <row r="1519" spans="1:6" ht="15" x14ac:dyDescent="0.25">
      <c r="A1519"/>
      <c r="B1519"/>
      <c r="C1519"/>
      <c r="D1519"/>
      <c r="E1519"/>
      <c r="F1519"/>
    </row>
    <row r="1520" spans="1:6" ht="15" x14ac:dyDescent="0.25">
      <c r="A1520"/>
      <c r="B1520"/>
      <c r="C1520"/>
      <c r="D1520"/>
      <c r="E1520"/>
      <c r="F1520"/>
    </row>
    <row r="1521" spans="1:6" ht="15" x14ac:dyDescent="0.25">
      <c r="A1521"/>
      <c r="B1521"/>
      <c r="C1521"/>
      <c r="D1521"/>
      <c r="E1521"/>
      <c r="F1521"/>
    </row>
    <row r="1522" spans="1:6" ht="15" x14ac:dyDescent="0.25">
      <c r="A1522"/>
      <c r="B1522"/>
      <c r="C1522"/>
      <c r="D1522"/>
      <c r="E1522"/>
      <c r="F1522"/>
    </row>
    <row r="1523" spans="1:6" ht="15" x14ac:dyDescent="0.25">
      <c r="A1523"/>
      <c r="B1523"/>
      <c r="C1523"/>
      <c r="D1523"/>
      <c r="E1523"/>
      <c r="F1523"/>
    </row>
    <row r="1524" spans="1:6" ht="15" x14ac:dyDescent="0.25">
      <c r="A1524"/>
      <c r="B1524"/>
      <c r="C1524"/>
      <c r="D1524"/>
      <c r="E1524"/>
      <c r="F1524"/>
    </row>
    <row r="1525" spans="1:6" ht="15" x14ac:dyDescent="0.25">
      <c r="A1525"/>
      <c r="B1525"/>
      <c r="C1525"/>
      <c r="D1525"/>
      <c r="E1525"/>
      <c r="F1525"/>
    </row>
    <row r="1526" spans="1:6" ht="15" x14ac:dyDescent="0.25">
      <c r="A1526"/>
      <c r="B1526"/>
      <c r="C1526"/>
      <c r="D1526"/>
      <c r="E1526"/>
      <c r="F1526"/>
    </row>
    <row r="1527" spans="1:6" ht="15" x14ac:dyDescent="0.25">
      <c r="A1527"/>
      <c r="B1527"/>
      <c r="C1527"/>
      <c r="D1527"/>
      <c r="E1527"/>
      <c r="F1527"/>
    </row>
    <row r="1528" spans="1:6" ht="15" x14ac:dyDescent="0.25">
      <c r="A1528"/>
      <c r="B1528"/>
      <c r="C1528"/>
      <c r="D1528"/>
      <c r="E1528"/>
      <c r="F1528"/>
    </row>
    <row r="1529" spans="1:6" ht="15" x14ac:dyDescent="0.25">
      <c r="A1529"/>
      <c r="B1529"/>
      <c r="C1529"/>
      <c r="D1529"/>
      <c r="E1529"/>
      <c r="F1529"/>
    </row>
    <row r="1530" spans="1:6" ht="15" x14ac:dyDescent="0.25">
      <c r="A1530"/>
      <c r="B1530"/>
      <c r="C1530"/>
      <c r="D1530"/>
      <c r="E1530"/>
      <c r="F1530"/>
    </row>
    <row r="1531" spans="1:6" ht="15" x14ac:dyDescent="0.25">
      <c r="A1531"/>
      <c r="B1531"/>
      <c r="C1531"/>
      <c r="D1531"/>
      <c r="E1531"/>
      <c r="F1531"/>
    </row>
    <row r="1532" spans="1:6" ht="15" x14ac:dyDescent="0.25">
      <c r="A1532"/>
      <c r="B1532"/>
      <c r="C1532"/>
      <c r="D1532"/>
      <c r="E1532"/>
      <c r="F1532"/>
    </row>
    <row r="1533" spans="1:6" ht="15" x14ac:dyDescent="0.25">
      <c r="A1533"/>
      <c r="B1533"/>
      <c r="C1533"/>
      <c r="D1533"/>
      <c r="E1533"/>
      <c r="F1533"/>
    </row>
    <row r="1534" spans="1:6" ht="15" x14ac:dyDescent="0.25">
      <c r="A1534"/>
      <c r="B1534"/>
      <c r="C1534"/>
      <c r="D1534"/>
      <c r="E1534"/>
      <c r="F1534"/>
    </row>
    <row r="1535" spans="1:6" ht="15" x14ac:dyDescent="0.25">
      <c r="A1535"/>
      <c r="B1535"/>
      <c r="C1535"/>
      <c r="D1535"/>
      <c r="E1535"/>
      <c r="F1535"/>
    </row>
    <row r="1536" spans="1:6" ht="15" x14ac:dyDescent="0.25">
      <c r="A1536"/>
      <c r="B1536"/>
      <c r="C1536"/>
      <c r="D1536"/>
      <c r="E1536"/>
      <c r="F1536"/>
    </row>
    <row r="1537" spans="1:6" ht="15" x14ac:dyDescent="0.25">
      <c r="A1537"/>
      <c r="B1537"/>
      <c r="C1537"/>
      <c r="D1537"/>
      <c r="E1537"/>
      <c r="F1537"/>
    </row>
    <row r="1538" spans="1:6" ht="15" x14ac:dyDescent="0.25">
      <c r="A1538"/>
      <c r="B1538"/>
      <c r="C1538"/>
      <c r="D1538"/>
      <c r="E1538"/>
      <c r="F1538"/>
    </row>
    <row r="1539" spans="1:6" ht="15" x14ac:dyDescent="0.25">
      <c r="A1539"/>
      <c r="B1539"/>
      <c r="C1539"/>
      <c r="D1539"/>
      <c r="E1539"/>
      <c r="F1539"/>
    </row>
    <row r="1540" spans="1:6" ht="15" x14ac:dyDescent="0.25">
      <c r="A1540"/>
      <c r="B1540"/>
      <c r="C1540"/>
      <c r="D1540"/>
      <c r="E1540"/>
      <c r="F1540"/>
    </row>
    <row r="1541" spans="1:6" ht="15" x14ac:dyDescent="0.25">
      <c r="A1541"/>
      <c r="B1541"/>
      <c r="C1541"/>
      <c r="D1541"/>
      <c r="E1541"/>
      <c r="F1541"/>
    </row>
    <row r="1542" spans="1:6" ht="15" x14ac:dyDescent="0.25">
      <c r="A1542"/>
      <c r="B1542"/>
      <c r="C1542"/>
      <c r="D1542"/>
      <c r="E1542"/>
      <c r="F1542"/>
    </row>
    <row r="1543" spans="1:6" ht="15" x14ac:dyDescent="0.25">
      <c r="A1543"/>
      <c r="B1543"/>
      <c r="C1543"/>
      <c r="D1543"/>
      <c r="E1543"/>
      <c r="F1543"/>
    </row>
    <row r="1544" spans="1:6" ht="15" x14ac:dyDescent="0.25">
      <c r="A1544"/>
      <c r="B1544"/>
      <c r="C1544"/>
      <c r="D1544"/>
      <c r="E1544"/>
      <c r="F1544"/>
    </row>
    <row r="1545" spans="1:6" ht="15" x14ac:dyDescent="0.25">
      <c r="A1545"/>
      <c r="B1545"/>
      <c r="C1545"/>
      <c r="D1545"/>
      <c r="E1545"/>
      <c r="F1545"/>
    </row>
    <row r="1546" spans="1:6" ht="15" x14ac:dyDescent="0.25">
      <c r="A1546"/>
      <c r="B1546"/>
      <c r="C1546"/>
      <c r="D1546"/>
      <c r="E1546"/>
      <c r="F1546"/>
    </row>
    <row r="1547" spans="1:6" ht="15" x14ac:dyDescent="0.25">
      <c r="A1547"/>
      <c r="B1547"/>
      <c r="C1547"/>
      <c r="D1547"/>
      <c r="E1547"/>
      <c r="F1547"/>
    </row>
    <row r="1548" spans="1:6" ht="15" x14ac:dyDescent="0.25">
      <c r="A1548"/>
      <c r="B1548"/>
      <c r="C1548"/>
      <c r="D1548"/>
      <c r="E1548"/>
      <c r="F1548"/>
    </row>
    <row r="1549" spans="1:6" ht="15" x14ac:dyDescent="0.25">
      <c r="A1549"/>
      <c r="B1549"/>
      <c r="C1549"/>
      <c r="D1549"/>
      <c r="E1549"/>
      <c r="F1549"/>
    </row>
    <row r="1550" spans="1:6" ht="15" x14ac:dyDescent="0.25">
      <c r="A1550"/>
      <c r="B1550"/>
      <c r="C1550"/>
      <c r="D1550"/>
      <c r="E1550"/>
      <c r="F1550"/>
    </row>
    <row r="1551" spans="1:6" ht="15" x14ac:dyDescent="0.25">
      <c r="A1551"/>
      <c r="B1551"/>
      <c r="C1551"/>
      <c r="D1551"/>
      <c r="E1551"/>
      <c r="F1551"/>
    </row>
    <row r="1552" spans="1:6" ht="15" x14ac:dyDescent="0.25">
      <c r="A1552"/>
      <c r="B1552"/>
      <c r="C1552"/>
      <c r="D1552"/>
      <c r="E1552"/>
      <c r="F1552"/>
    </row>
    <row r="1553" spans="1:6" ht="15" x14ac:dyDescent="0.25">
      <c r="A1553"/>
      <c r="B1553"/>
      <c r="C1553"/>
      <c r="D1553"/>
      <c r="E1553"/>
      <c r="F1553"/>
    </row>
    <row r="1554" spans="1:6" ht="15" x14ac:dyDescent="0.25">
      <c r="A1554"/>
      <c r="B1554"/>
      <c r="C1554"/>
      <c r="D1554"/>
      <c r="E1554"/>
      <c r="F1554"/>
    </row>
    <row r="1555" spans="1:6" ht="15" x14ac:dyDescent="0.25">
      <c r="A1555"/>
      <c r="B1555"/>
      <c r="C1555"/>
      <c r="D1555"/>
      <c r="E1555"/>
      <c r="F1555"/>
    </row>
    <row r="1556" spans="1:6" ht="15" x14ac:dyDescent="0.25">
      <c r="A1556"/>
      <c r="B1556"/>
      <c r="C1556"/>
      <c r="D1556"/>
      <c r="E1556"/>
      <c r="F1556"/>
    </row>
    <row r="1557" spans="1:6" ht="15" x14ac:dyDescent="0.25">
      <c r="A1557"/>
      <c r="B1557"/>
      <c r="C1557"/>
      <c r="D1557"/>
      <c r="E1557"/>
      <c r="F1557"/>
    </row>
    <row r="1558" spans="1:6" ht="15" x14ac:dyDescent="0.25">
      <c r="A1558"/>
      <c r="B1558"/>
      <c r="C1558"/>
      <c r="D1558"/>
      <c r="E1558"/>
      <c r="F1558"/>
    </row>
    <row r="1559" spans="1:6" ht="15" x14ac:dyDescent="0.25">
      <c r="A1559"/>
      <c r="B1559"/>
      <c r="C1559"/>
      <c r="D1559"/>
      <c r="E1559"/>
      <c r="F1559"/>
    </row>
    <row r="1560" spans="1:6" ht="15" x14ac:dyDescent="0.25">
      <c r="A1560"/>
      <c r="B1560"/>
      <c r="C1560"/>
      <c r="D1560"/>
      <c r="E1560"/>
      <c r="F1560"/>
    </row>
    <row r="1561" spans="1:6" ht="15" x14ac:dyDescent="0.25">
      <c r="A1561"/>
      <c r="B1561"/>
      <c r="C1561"/>
      <c r="D1561"/>
      <c r="E1561"/>
      <c r="F1561"/>
    </row>
    <row r="1562" spans="1:6" ht="15" x14ac:dyDescent="0.25">
      <c r="A1562"/>
      <c r="B1562"/>
      <c r="C1562"/>
      <c r="D1562"/>
      <c r="E1562"/>
      <c r="F1562"/>
    </row>
    <row r="1563" spans="1:6" ht="15" x14ac:dyDescent="0.25">
      <c r="A1563"/>
      <c r="B1563"/>
      <c r="C1563"/>
      <c r="D1563"/>
      <c r="E1563"/>
      <c r="F1563"/>
    </row>
    <row r="1564" spans="1:6" ht="15" x14ac:dyDescent="0.25">
      <c r="A1564"/>
      <c r="B1564"/>
      <c r="C1564"/>
      <c r="D1564"/>
      <c r="E1564"/>
      <c r="F1564"/>
    </row>
    <row r="1565" spans="1:6" ht="15" x14ac:dyDescent="0.25">
      <c r="A1565"/>
      <c r="B1565"/>
      <c r="C1565"/>
      <c r="D1565"/>
      <c r="E1565"/>
      <c r="F1565"/>
    </row>
    <row r="1566" spans="1:6" ht="15" x14ac:dyDescent="0.25">
      <c r="A1566"/>
      <c r="B1566"/>
      <c r="C1566"/>
      <c r="D1566"/>
      <c r="E1566"/>
      <c r="F1566"/>
    </row>
    <row r="1567" spans="1:6" ht="15" x14ac:dyDescent="0.25">
      <c r="A1567"/>
      <c r="B1567"/>
      <c r="C1567"/>
      <c r="D1567"/>
      <c r="E1567"/>
      <c r="F1567"/>
    </row>
    <row r="1568" spans="1:6" ht="15" x14ac:dyDescent="0.25">
      <c r="A1568"/>
      <c r="B1568"/>
      <c r="C1568"/>
      <c r="D1568"/>
      <c r="E1568"/>
      <c r="F1568"/>
    </row>
    <row r="1569" spans="1:6" ht="15" x14ac:dyDescent="0.25">
      <c r="A1569"/>
      <c r="B1569"/>
      <c r="C1569"/>
      <c r="D1569"/>
      <c r="E1569"/>
      <c r="F1569"/>
    </row>
    <row r="1570" spans="1:6" ht="15" x14ac:dyDescent="0.25">
      <c r="A1570"/>
      <c r="B1570"/>
      <c r="C1570"/>
      <c r="D1570"/>
      <c r="E1570"/>
      <c r="F1570"/>
    </row>
    <row r="1571" spans="1:6" ht="15" x14ac:dyDescent="0.25">
      <c r="A1571"/>
      <c r="B1571"/>
      <c r="C1571"/>
      <c r="D1571"/>
      <c r="E1571"/>
      <c r="F1571"/>
    </row>
    <row r="1572" spans="1:6" ht="15" x14ac:dyDescent="0.25">
      <c r="A1572"/>
      <c r="B1572"/>
      <c r="C1572"/>
      <c r="D1572"/>
      <c r="E1572"/>
      <c r="F1572"/>
    </row>
    <row r="1573" spans="1:6" ht="15" x14ac:dyDescent="0.25">
      <c r="A1573"/>
      <c r="B1573"/>
      <c r="C1573"/>
      <c r="D1573"/>
      <c r="E1573"/>
      <c r="F1573"/>
    </row>
    <row r="1574" spans="1:6" ht="15" x14ac:dyDescent="0.25">
      <c r="A1574"/>
      <c r="B1574"/>
      <c r="C1574"/>
      <c r="D1574"/>
      <c r="E1574"/>
      <c r="F1574"/>
    </row>
    <row r="1575" spans="1:6" ht="15" x14ac:dyDescent="0.25">
      <c r="A1575"/>
      <c r="B1575"/>
      <c r="C1575"/>
      <c r="D1575"/>
      <c r="E1575"/>
      <c r="F1575"/>
    </row>
    <row r="1576" spans="1:6" ht="15" x14ac:dyDescent="0.25">
      <c r="A1576"/>
      <c r="B1576"/>
      <c r="C1576"/>
      <c r="D1576"/>
      <c r="E1576"/>
      <c r="F1576"/>
    </row>
    <row r="1577" spans="1:6" ht="15" x14ac:dyDescent="0.25">
      <c r="A1577"/>
      <c r="B1577"/>
      <c r="C1577"/>
      <c r="D1577"/>
      <c r="E1577"/>
      <c r="F1577"/>
    </row>
    <row r="1578" spans="1:6" ht="15" x14ac:dyDescent="0.25">
      <c r="A1578"/>
      <c r="B1578"/>
      <c r="C1578"/>
      <c r="D1578"/>
      <c r="E1578"/>
      <c r="F1578"/>
    </row>
    <row r="1579" spans="1:6" ht="15" x14ac:dyDescent="0.25">
      <c r="A1579"/>
      <c r="B1579"/>
      <c r="C1579"/>
      <c r="D1579"/>
      <c r="E1579"/>
      <c r="F1579"/>
    </row>
    <row r="1580" spans="1:6" ht="15" x14ac:dyDescent="0.25">
      <c r="A1580"/>
      <c r="B1580"/>
      <c r="C1580"/>
      <c r="D1580"/>
      <c r="E1580"/>
      <c r="F1580"/>
    </row>
    <row r="1581" spans="1:6" ht="15" x14ac:dyDescent="0.25">
      <c r="A1581"/>
      <c r="B1581"/>
      <c r="C1581"/>
      <c r="D1581"/>
      <c r="E1581"/>
      <c r="F1581"/>
    </row>
    <row r="1582" spans="1:6" ht="15" x14ac:dyDescent="0.25">
      <c r="A1582"/>
      <c r="B1582"/>
      <c r="C1582"/>
      <c r="D1582"/>
      <c r="E1582"/>
      <c r="F1582"/>
    </row>
    <row r="1583" spans="1:6" ht="15" x14ac:dyDescent="0.25">
      <c r="A1583"/>
      <c r="B1583"/>
      <c r="C1583"/>
      <c r="D1583"/>
      <c r="E1583"/>
      <c r="F1583"/>
    </row>
    <row r="1584" spans="1:6" ht="15" x14ac:dyDescent="0.25">
      <c r="A1584"/>
      <c r="B1584"/>
      <c r="C1584"/>
      <c r="D1584"/>
      <c r="E1584"/>
      <c r="F1584"/>
    </row>
    <row r="1585" spans="1:6" ht="15" x14ac:dyDescent="0.25">
      <c r="A1585"/>
      <c r="B1585"/>
      <c r="C1585"/>
      <c r="D1585"/>
      <c r="E1585"/>
      <c r="F1585"/>
    </row>
    <row r="1586" spans="1:6" ht="15" x14ac:dyDescent="0.25">
      <c r="A1586"/>
      <c r="B1586"/>
      <c r="C1586"/>
      <c r="D1586"/>
      <c r="E1586"/>
      <c r="F1586"/>
    </row>
    <row r="1587" spans="1:6" ht="15" x14ac:dyDescent="0.25">
      <c r="A1587"/>
      <c r="B1587"/>
      <c r="C1587"/>
      <c r="D1587"/>
      <c r="E1587"/>
      <c r="F1587"/>
    </row>
    <row r="1588" spans="1:6" ht="15" x14ac:dyDescent="0.25">
      <c r="A1588"/>
      <c r="B1588"/>
      <c r="C1588"/>
      <c r="D1588"/>
      <c r="E1588"/>
      <c r="F1588"/>
    </row>
    <row r="1589" spans="1:6" ht="15" x14ac:dyDescent="0.25">
      <c r="A1589"/>
      <c r="B1589"/>
      <c r="C1589"/>
      <c r="D1589"/>
      <c r="E1589"/>
      <c r="F1589"/>
    </row>
    <row r="1590" spans="1:6" ht="15" x14ac:dyDescent="0.25">
      <c r="A1590"/>
      <c r="B1590"/>
      <c r="C1590"/>
      <c r="D1590"/>
      <c r="E1590"/>
      <c r="F1590"/>
    </row>
    <row r="1591" spans="1:6" ht="15" x14ac:dyDescent="0.25">
      <c r="A1591"/>
      <c r="B1591"/>
      <c r="C1591"/>
      <c r="D1591"/>
      <c r="E1591"/>
      <c r="F1591"/>
    </row>
    <row r="1592" spans="1:6" ht="15" x14ac:dyDescent="0.25">
      <c r="A1592"/>
      <c r="B1592"/>
      <c r="C1592"/>
      <c r="D1592"/>
      <c r="E1592"/>
      <c r="F1592"/>
    </row>
    <row r="1593" spans="1:6" ht="15" x14ac:dyDescent="0.25">
      <c r="A1593"/>
      <c r="B1593"/>
      <c r="C1593"/>
      <c r="D1593"/>
      <c r="E1593"/>
      <c r="F1593"/>
    </row>
    <row r="1594" spans="1:6" ht="15" x14ac:dyDescent="0.25">
      <c r="A1594"/>
      <c r="B1594"/>
      <c r="C1594"/>
      <c r="D1594"/>
      <c r="E1594"/>
      <c r="F1594"/>
    </row>
    <row r="1595" spans="1:6" ht="15" x14ac:dyDescent="0.25">
      <c r="A1595"/>
      <c r="B1595"/>
      <c r="C1595"/>
      <c r="D1595"/>
      <c r="E1595"/>
      <c r="F1595"/>
    </row>
    <row r="1596" spans="1:6" ht="15" x14ac:dyDescent="0.25">
      <c r="A1596"/>
      <c r="B1596"/>
      <c r="C1596"/>
      <c r="D1596"/>
      <c r="E1596"/>
      <c r="F1596"/>
    </row>
    <row r="1597" spans="1:6" ht="15" x14ac:dyDescent="0.25">
      <c r="A1597"/>
      <c r="B1597"/>
      <c r="C1597"/>
      <c r="D1597"/>
      <c r="E1597"/>
      <c r="F1597"/>
    </row>
    <row r="1598" spans="1:6" ht="15" x14ac:dyDescent="0.25">
      <c r="A1598"/>
      <c r="B1598"/>
      <c r="C1598"/>
      <c r="D1598"/>
      <c r="E1598"/>
      <c r="F1598"/>
    </row>
    <row r="1599" spans="1:6" ht="15" x14ac:dyDescent="0.25">
      <c r="A1599"/>
      <c r="B1599"/>
      <c r="C1599"/>
      <c r="D1599"/>
      <c r="E1599"/>
      <c r="F1599"/>
    </row>
    <row r="1600" spans="1:6" ht="15" x14ac:dyDescent="0.25">
      <c r="A1600"/>
      <c r="B1600"/>
      <c r="C1600"/>
      <c r="D1600"/>
      <c r="E1600"/>
      <c r="F1600"/>
    </row>
    <row r="1601" spans="1:6" ht="15" x14ac:dyDescent="0.25">
      <c r="A1601"/>
      <c r="B1601"/>
      <c r="C1601"/>
      <c r="D1601"/>
      <c r="E1601"/>
      <c r="F1601"/>
    </row>
    <row r="1602" spans="1:6" ht="15" x14ac:dyDescent="0.25">
      <c r="A1602"/>
      <c r="B1602"/>
      <c r="C1602"/>
      <c r="D1602"/>
      <c r="E1602"/>
      <c r="F1602"/>
    </row>
    <row r="1603" spans="1:6" ht="15" x14ac:dyDescent="0.25">
      <c r="A1603"/>
      <c r="B1603"/>
      <c r="C1603"/>
      <c r="D1603"/>
      <c r="E1603"/>
      <c r="F1603"/>
    </row>
    <row r="1604" spans="1:6" ht="15" x14ac:dyDescent="0.25">
      <c r="A1604"/>
      <c r="B1604"/>
      <c r="C1604"/>
      <c r="D1604"/>
      <c r="E1604"/>
      <c r="F1604"/>
    </row>
    <row r="1605" spans="1:6" ht="15" x14ac:dyDescent="0.25">
      <c r="A1605"/>
      <c r="B1605"/>
      <c r="C1605"/>
      <c r="D1605"/>
      <c r="E1605"/>
      <c r="F1605"/>
    </row>
    <row r="1606" spans="1:6" ht="15" x14ac:dyDescent="0.25">
      <c r="A1606"/>
      <c r="B1606"/>
      <c r="C1606"/>
      <c r="D1606"/>
      <c r="E1606"/>
      <c r="F1606"/>
    </row>
    <row r="1607" spans="1:6" ht="15" x14ac:dyDescent="0.25">
      <c r="A1607"/>
      <c r="B1607"/>
      <c r="C1607"/>
      <c r="D1607"/>
      <c r="E1607"/>
      <c r="F1607"/>
    </row>
    <row r="1608" spans="1:6" ht="15" x14ac:dyDescent="0.25">
      <c r="A1608"/>
      <c r="B1608"/>
      <c r="C1608"/>
      <c r="D1608"/>
      <c r="E1608"/>
      <c r="F1608"/>
    </row>
    <row r="1609" spans="1:6" ht="15" x14ac:dyDescent="0.25">
      <c r="A1609"/>
      <c r="B1609"/>
      <c r="C1609"/>
      <c r="D1609"/>
      <c r="E1609"/>
      <c r="F1609"/>
    </row>
    <row r="1610" spans="1:6" ht="15" x14ac:dyDescent="0.25">
      <c r="A1610"/>
      <c r="B1610"/>
      <c r="C1610"/>
      <c r="D1610"/>
      <c r="E1610"/>
      <c r="F1610"/>
    </row>
    <row r="1611" spans="1:6" ht="15" x14ac:dyDescent="0.25">
      <c r="A1611"/>
      <c r="B1611"/>
      <c r="C1611"/>
      <c r="D1611"/>
      <c r="E1611"/>
      <c r="F1611"/>
    </row>
    <row r="1612" spans="1:6" ht="15" x14ac:dyDescent="0.25">
      <c r="A1612"/>
      <c r="B1612"/>
      <c r="C1612"/>
      <c r="D1612"/>
      <c r="E1612"/>
      <c r="F1612"/>
    </row>
    <row r="1613" spans="1:6" ht="15" x14ac:dyDescent="0.25">
      <c r="A1613"/>
      <c r="B1613"/>
      <c r="C1613"/>
      <c r="D1613"/>
      <c r="E1613"/>
      <c r="F1613"/>
    </row>
    <row r="1614" spans="1:6" ht="15" x14ac:dyDescent="0.25">
      <c r="A1614"/>
      <c r="B1614"/>
      <c r="C1614"/>
      <c r="D1614"/>
      <c r="E1614"/>
      <c r="F1614"/>
    </row>
    <row r="1615" spans="1:6" ht="15" x14ac:dyDescent="0.25">
      <c r="A1615"/>
      <c r="B1615"/>
      <c r="C1615"/>
      <c r="D1615"/>
      <c r="E1615"/>
      <c r="F1615"/>
    </row>
    <row r="1616" spans="1:6" ht="15" x14ac:dyDescent="0.25">
      <c r="A1616"/>
      <c r="B1616"/>
      <c r="C1616"/>
      <c r="D1616"/>
      <c r="E1616"/>
      <c r="F1616"/>
    </row>
    <row r="1617" spans="1:6" ht="15" x14ac:dyDescent="0.25">
      <c r="A1617"/>
      <c r="B1617"/>
      <c r="C1617"/>
      <c r="D1617"/>
      <c r="E1617"/>
      <c r="F1617"/>
    </row>
    <row r="1618" spans="1:6" ht="15" x14ac:dyDescent="0.25">
      <c r="A1618"/>
      <c r="B1618"/>
      <c r="C1618"/>
      <c r="D1618"/>
      <c r="E1618"/>
      <c r="F1618"/>
    </row>
    <row r="1619" spans="1:6" ht="15" x14ac:dyDescent="0.25">
      <c r="A1619"/>
      <c r="B1619"/>
      <c r="C1619"/>
      <c r="D1619"/>
      <c r="E1619"/>
      <c r="F1619"/>
    </row>
    <row r="1620" spans="1:6" ht="15" x14ac:dyDescent="0.25">
      <c r="A1620"/>
      <c r="B1620"/>
      <c r="C1620"/>
      <c r="D1620"/>
      <c r="E1620"/>
      <c r="F1620"/>
    </row>
    <row r="1621" spans="1:6" ht="15" x14ac:dyDescent="0.25">
      <c r="A1621"/>
      <c r="B1621"/>
      <c r="C1621"/>
      <c r="D1621"/>
      <c r="E1621"/>
      <c r="F1621"/>
    </row>
    <row r="1622" spans="1:6" ht="15" x14ac:dyDescent="0.25">
      <c r="A1622"/>
      <c r="B1622"/>
      <c r="C1622"/>
      <c r="D1622"/>
      <c r="E1622"/>
      <c r="F1622"/>
    </row>
    <row r="1623" spans="1:6" ht="15" x14ac:dyDescent="0.25">
      <c r="A1623"/>
      <c r="B1623"/>
      <c r="C1623"/>
      <c r="D1623"/>
      <c r="E1623"/>
      <c r="F1623"/>
    </row>
    <row r="1624" spans="1:6" ht="15" x14ac:dyDescent="0.25">
      <c r="A1624"/>
      <c r="B1624"/>
      <c r="C1624"/>
      <c r="D1624"/>
      <c r="E1624"/>
      <c r="F1624"/>
    </row>
    <row r="1625" spans="1:6" ht="15" x14ac:dyDescent="0.25">
      <c r="A1625"/>
      <c r="B1625"/>
      <c r="C1625"/>
      <c r="D1625"/>
      <c r="E1625"/>
      <c r="F1625"/>
    </row>
    <row r="1626" spans="1:6" ht="15" x14ac:dyDescent="0.25">
      <c r="A1626"/>
      <c r="B1626"/>
      <c r="C1626"/>
      <c r="D1626"/>
      <c r="E1626"/>
      <c r="F1626"/>
    </row>
    <row r="1627" spans="1:6" ht="15" x14ac:dyDescent="0.25">
      <c r="A1627"/>
      <c r="B1627"/>
      <c r="C1627"/>
      <c r="D1627"/>
      <c r="E1627"/>
      <c r="F1627"/>
    </row>
    <row r="1628" spans="1:6" ht="15" x14ac:dyDescent="0.25">
      <c r="A1628"/>
      <c r="B1628"/>
      <c r="C1628"/>
      <c r="D1628"/>
      <c r="E1628"/>
      <c r="F1628"/>
    </row>
    <row r="1629" spans="1:6" ht="15" x14ac:dyDescent="0.25">
      <c r="A1629"/>
      <c r="B1629"/>
      <c r="C1629"/>
      <c r="D1629"/>
      <c r="E1629"/>
      <c r="F1629"/>
    </row>
    <row r="1630" spans="1:6" ht="15" x14ac:dyDescent="0.25">
      <c r="A1630"/>
      <c r="B1630"/>
      <c r="C1630"/>
      <c r="D1630"/>
      <c r="E1630"/>
      <c r="F1630"/>
    </row>
    <row r="1631" spans="1:6" ht="15" x14ac:dyDescent="0.25">
      <c r="A1631"/>
      <c r="B1631"/>
      <c r="C1631"/>
      <c r="D1631"/>
      <c r="E1631"/>
      <c r="F1631"/>
    </row>
    <row r="1632" spans="1:6" ht="15" x14ac:dyDescent="0.25">
      <c r="A1632"/>
      <c r="B1632"/>
      <c r="C1632"/>
      <c r="D1632"/>
      <c r="E1632"/>
      <c r="F1632"/>
    </row>
    <row r="1633" spans="1:6" ht="15" x14ac:dyDescent="0.25">
      <c r="A1633"/>
      <c r="B1633"/>
      <c r="C1633"/>
      <c r="D1633"/>
      <c r="E1633"/>
      <c r="F1633"/>
    </row>
    <row r="1634" spans="1:6" ht="15" x14ac:dyDescent="0.25">
      <c r="A1634"/>
      <c r="B1634"/>
      <c r="C1634"/>
      <c r="D1634"/>
      <c r="E1634"/>
      <c r="F1634"/>
    </row>
    <row r="1635" spans="1:6" ht="15" x14ac:dyDescent="0.25">
      <c r="A1635"/>
      <c r="B1635"/>
      <c r="C1635"/>
      <c r="D1635"/>
      <c r="E1635"/>
      <c r="F1635"/>
    </row>
    <row r="1636" spans="1:6" ht="15" x14ac:dyDescent="0.25">
      <c r="A1636"/>
      <c r="B1636"/>
      <c r="C1636"/>
      <c r="D1636"/>
      <c r="E1636"/>
      <c r="F1636"/>
    </row>
    <row r="1637" spans="1:6" ht="15" x14ac:dyDescent="0.25">
      <c r="A1637"/>
      <c r="B1637"/>
      <c r="C1637"/>
      <c r="D1637"/>
      <c r="E1637"/>
      <c r="F1637"/>
    </row>
    <row r="1638" spans="1:6" ht="15" x14ac:dyDescent="0.25">
      <c r="A1638"/>
      <c r="B1638"/>
      <c r="C1638"/>
      <c r="D1638"/>
      <c r="E1638"/>
      <c r="F1638"/>
    </row>
    <row r="1639" spans="1:6" ht="15" x14ac:dyDescent="0.25">
      <c r="A1639"/>
      <c r="B1639"/>
      <c r="C1639"/>
      <c r="D1639"/>
      <c r="E1639"/>
      <c r="F1639"/>
    </row>
    <row r="1640" spans="1:6" ht="15" x14ac:dyDescent="0.25">
      <c r="A1640"/>
      <c r="B1640"/>
      <c r="C1640"/>
      <c r="D1640"/>
      <c r="E1640"/>
      <c r="F1640"/>
    </row>
    <row r="1641" spans="1:6" ht="15" x14ac:dyDescent="0.25">
      <c r="A1641"/>
      <c r="B1641"/>
      <c r="C1641"/>
      <c r="D1641"/>
      <c r="E1641"/>
      <c r="F1641"/>
    </row>
    <row r="1642" spans="1:6" ht="15" x14ac:dyDescent="0.25">
      <c r="A1642"/>
      <c r="B1642"/>
      <c r="C1642"/>
      <c r="D1642"/>
      <c r="E1642"/>
      <c r="F1642"/>
    </row>
    <row r="1643" spans="1:6" ht="15" x14ac:dyDescent="0.25">
      <c r="A1643"/>
      <c r="B1643"/>
      <c r="C1643"/>
      <c r="D1643"/>
      <c r="E1643"/>
      <c r="F1643"/>
    </row>
    <row r="1644" spans="1:6" ht="15" x14ac:dyDescent="0.25">
      <c r="A1644"/>
      <c r="B1644"/>
      <c r="C1644"/>
      <c r="D1644"/>
      <c r="E1644"/>
      <c r="F1644"/>
    </row>
    <row r="1645" spans="1:6" ht="15" x14ac:dyDescent="0.25">
      <c r="A1645"/>
      <c r="B1645"/>
      <c r="C1645"/>
      <c r="D1645"/>
      <c r="E1645"/>
      <c r="F1645"/>
    </row>
    <row r="1646" spans="1:6" ht="15" x14ac:dyDescent="0.25">
      <c r="A1646"/>
      <c r="B1646"/>
      <c r="C1646"/>
      <c r="D1646"/>
      <c r="E1646"/>
      <c r="F1646"/>
    </row>
    <row r="1647" spans="1:6" ht="15" x14ac:dyDescent="0.25">
      <c r="A1647"/>
      <c r="B1647"/>
      <c r="C1647"/>
      <c r="D1647"/>
      <c r="E1647"/>
      <c r="F1647"/>
    </row>
    <row r="1648" spans="1:6" ht="15" x14ac:dyDescent="0.25">
      <c r="A1648"/>
      <c r="B1648"/>
      <c r="C1648"/>
      <c r="D1648"/>
      <c r="E1648"/>
      <c r="F1648"/>
    </row>
    <row r="1649" spans="1:6" ht="15" x14ac:dyDescent="0.25">
      <c r="A1649"/>
      <c r="B1649"/>
      <c r="C1649"/>
      <c r="D1649"/>
      <c r="E1649"/>
      <c r="F1649"/>
    </row>
    <row r="1650" spans="1:6" ht="15" x14ac:dyDescent="0.25">
      <c r="A1650"/>
      <c r="B1650"/>
      <c r="C1650"/>
      <c r="D1650"/>
      <c r="E1650"/>
      <c r="F1650"/>
    </row>
    <row r="1651" spans="1:6" ht="15" x14ac:dyDescent="0.25">
      <c r="A1651"/>
      <c r="B1651"/>
      <c r="C1651"/>
      <c r="D1651"/>
      <c r="E1651"/>
      <c r="F1651"/>
    </row>
    <row r="1652" spans="1:6" ht="15" x14ac:dyDescent="0.25">
      <c r="A1652"/>
      <c r="B1652"/>
      <c r="C1652"/>
      <c r="D1652"/>
      <c r="E1652"/>
      <c r="F1652"/>
    </row>
    <row r="1653" spans="1:6" ht="15" x14ac:dyDescent="0.25">
      <c r="A1653"/>
      <c r="B1653"/>
      <c r="C1653"/>
      <c r="D1653"/>
      <c r="E1653"/>
      <c r="F1653"/>
    </row>
    <row r="1654" spans="1:6" ht="15" x14ac:dyDescent="0.25">
      <c r="A1654"/>
      <c r="B1654"/>
      <c r="C1654"/>
      <c r="D1654"/>
      <c r="E1654"/>
      <c r="F1654"/>
    </row>
    <row r="1655" spans="1:6" ht="15" x14ac:dyDescent="0.25">
      <c r="A1655"/>
      <c r="B1655"/>
      <c r="C1655"/>
      <c r="D1655"/>
      <c r="E1655"/>
      <c r="F1655"/>
    </row>
    <row r="1656" spans="1:6" ht="15" x14ac:dyDescent="0.25">
      <c r="A1656"/>
      <c r="B1656"/>
      <c r="C1656"/>
      <c r="D1656"/>
      <c r="E1656"/>
      <c r="F1656"/>
    </row>
    <row r="1657" spans="1:6" ht="15" x14ac:dyDescent="0.25">
      <c r="A1657"/>
      <c r="B1657"/>
      <c r="C1657"/>
      <c r="D1657"/>
      <c r="E1657"/>
      <c r="F1657"/>
    </row>
    <row r="1658" spans="1:6" ht="15" x14ac:dyDescent="0.25">
      <c r="A1658"/>
      <c r="B1658"/>
      <c r="C1658"/>
      <c r="D1658"/>
      <c r="E1658"/>
      <c r="F1658"/>
    </row>
    <row r="1659" spans="1:6" ht="15" x14ac:dyDescent="0.25">
      <c r="A1659"/>
      <c r="B1659"/>
      <c r="C1659"/>
      <c r="D1659"/>
      <c r="E1659"/>
      <c r="F1659"/>
    </row>
    <row r="1660" spans="1:6" ht="15" x14ac:dyDescent="0.25">
      <c r="A1660"/>
      <c r="B1660"/>
      <c r="C1660"/>
      <c r="D1660"/>
      <c r="E1660"/>
      <c r="F1660"/>
    </row>
    <row r="1661" spans="1:6" ht="15" x14ac:dyDescent="0.25">
      <c r="A1661"/>
      <c r="B1661"/>
      <c r="C1661"/>
      <c r="D1661"/>
      <c r="E1661"/>
      <c r="F1661"/>
    </row>
    <row r="1662" spans="1:6" ht="15" x14ac:dyDescent="0.25">
      <c r="A1662"/>
      <c r="B1662"/>
      <c r="C1662"/>
      <c r="D1662"/>
      <c r="E1662"/>
      <c r="F1662"/>
    </row>
    <row r="1663" spans="1:6" ht="15" x14ac:dyDescent="0.25">
      <c r="A1663"/>
      <c r="B1663"/>
      <c r="C1663"/>
      <c r="D1663"/>
      <c r="E1663"/>
      <c r="F1663"/>
    </row>
    <row r="1664" spans="1:6" ht="15" x14ac:dyDescent="0.25">
      <c r="A1664"/>
      <c r="B1664"/>
      <c r="C1664"/>
      <c r="D1664"/>
      <c r="E1664"/>
      <c r="F1664"/>
    </row>
    <row r="1665" spans="1:6" ht="15" x14ac:dyDescent="0.25">
      <c r="A1665"/>
      <c r="B1665"/>
      <c r="C1665"/>
      <c r="D1665"/>
      <c r="E1665"/>
      <c r="F1665"/>
    </row>
    <row r="1666" spans="1:6" ht="15" x14ac:dyDescent="0.25">
      <c r="A1666"/>
      <c r="B1666"/>
      <c r="C1666"/>
      <c r="D1666"/>
      <c r="E1666"/>
      <c r="F1666"/>
    </row>
    <row r="1667" spans="1:6" ht="15" x14ac:dyDescent="0.25">
      <c r="A1667"/>
      <c r="B1667"/>
      <c r="C1667"/>
      <c r="D1667"/>
      <c r="E1667"/>
      <c r="F1667"/>
    </row>
    <row r="1668" spans="1:6" ht="15" x14ac:dyDescent="0.25">
      <c r="A1668"/>
      <c r="B1668"/>
      <c r="C1668"/>
      <c r="D1668"/>
      <c r="E1668"/>
      <c r="F1668"/>
    </row>
    <row r="1669" spans="1:6" ht="15" x14ac:dyDescent="0.25">
      <c r="A1669"/>
      <c r="B1669"/>
      <c r="C1669"/>
      <c r="D1669"/>
      <c r="E1669"/>
      <c r="F1669"/>
    </row>
    <row r="1670" spans="1:6" ht="15" x14ac:dyDescent="0.25">
      <c r="A1670"/>
      <c r="B1670"/>
      <c r="C1670"/>
      <c r="D1670"/>
      <c r="E1670"/>
      <c r="F1670"/>
    </row>
    <row r="1671" spans="1:6" ht="15" x14ac:dyDescent="0.25">
      <c r="A1671"/>
      <c r="B1671"/>
      <c r="C1671"/>
      <c r="D1671"/>
      <c r="E1671"/>
      <c r="F1671"/>
    </row>
    <row r="1672" spans="1:6" ht="15" x14ac:dyDescent="0.25">
      <c r="A1672"/>
      <c r="B1672"/>
      <c r="C1672"/>
      <c r="D1672"/>
      <c r="E1672"/>
      <c r="F1672"/>
    </row>
    <row r="1673" spans="1:6" ht="15" x14ac:dyDescent="0.25">
      <c r="A1673"/>
      <c r="B1673"/>
      <c r="C1673"/>
      <c r="D1673"/>
      <c r="E1673"/>
      <c r="F1673"/>
    </row>
    <row r="1674" spans="1:6" ht="15" x14ac:dyDescent="0.25">
      <c r="A1674"/>
      <c r="B1674"/>
      <c r="C1674"/>
      <c r="D1674"/>
      <c r="E1674"/>
      <c r="F1674"/>
    </row>
    <row r="1675" spans="1:6" ht="15" x14ac:dyDescent="0.25">
      <c r="A1675"/>
      <c r="B1675"/>
      <c r="C1675"/>
      <c r="D1675"/>
      <c r="E1675"/>
      <c r="F1675"/>
    </row>
    <row r="1676" spans="1:6" ht="15" x14ac:dyDescent="0.25">
      <c r="A1676"/>
      <c r="B1676"/>
      <c r="C1676"/>
      <c r="D1676"/>
      <c r="E1676"/>
      <c r="F1676"/>
    </row>
    <row r="1677" spans="1:6" ht="15" x14ac:dyDescent="0.25">
      <c r="A1677"/>
      <c r="B1677"/>
      <c r="C1677"/>
      <c r="D1677"/>
      <c r="E1677"/>
      <c r="F1677"/>
    </row>
    <row r="1678" spans="1:6" ht="15" x14ac:dyDescent="0.25">
      <c r="A1678"/>
      <c r="B1678"/>
      <c r="C1678"/>
      <c r="D1678"/>
      <c r="E1678"/>
      <c r="F1678"/>
    </row>
    <row r="1679" spans="1:6" ht="15" x14ac:dyDescent="0.25">
      <c r="A1679"/>
      <c r="B1679"/>
      <c r="C1679"/>
      <c r="D1679"/>
      <c r="E1679"/>
      <c r="F1679"/>
    </row>
    <row r="1680" spans="1:6" ht="15" x14ac:dyDescent="0.25">
      <c r="A1680"/>
      <c r="B1680"/>
      <c r="C1680"/>
      <c r="D1680"/>
      <c r="E1680"/>
      <c r="F1680"/>
    </row>
    <row r="1681" spans="1:6" ht="15" x14ac:dyDescent="0.25">
      <c r="A1681"/>
      <c r="B1681"/>
      <c r="C1681"/>
      <c r="D1681"/>
      <c r="E1681"/>
      <c r="F1681"/>
    </row>
    <row r="1682" spans="1:6" ht="15" x14ac:dyDescent="0.25">
      <c r="A1682"/>
      <c r="B1682"/>
      <c r="C1682"/>
      <c r="D1682"/>
      <c r="E1682"/>
      <c r="F1682"/>
    </row>
    <row r="1683" spans="1:6" ht="15" x14ac:dyDescent="0.25">
      <c r="A1683"/>
      <c r="B1683"/>
      <c r="C1683"/>
      <c r="D1683"/>
      <c r="E1683"/>
      <c r="F1683"/>
    </row>
    <row r="1684" spans="1:6" ht="15" x14ac:dyDescent="0.25">
      <c r="A1684"/>
      <c r="B1684"/>
      <c r="C1684"/>
      <c r="D1684"/>
      <c r="E1684"/>
      <c r="F1684"/>
    </row>
    <row r="1685" spans="1:6" ht="15" x14ac:dyDescent="0.25">
      <c r="A1685"/>
      <c r="B1685"/>
      <c r="C1685"/>
      <c r="D1685"/>
      <c r="E1685"/>
      <c r="F1685"/>
    </row>
    <row r="1686" spans="1:6" ht="15" x14ac:dyDescent="0.25">
      <c r="A1686"/>
      <c r="B1686"/>
      <c r="C1686"/>
      <c r="D1686"/>
      <c r="E1686"/>
      <c r="F1686"/>
    </row>
    <row r="1687" spans="1:6" ht="15" x14ac:dyDescent="0.25">
      <c r="A1687"/>
      <c r="B1687"/>
      <c r="C1687"/>
      <c r="D1687"/>
      <c r="E1687"/>
      <c r="F1687"/>
    </row>
    <row r="1688" spans="1:6" ht="15" x14ac:dyDescent="0.25">
      <c r="A1688"/>
      <c r="B1688"/>
      <c r="C1688"/>
      <c r="D1688"/>
      <c r="E1688"/>
      <c r="F1688"/>
    </row>
    <row r="1689" spans="1:6" ht="15" x14ac:dyDescent="0.25">
      <c r="A1689"/>
      <c r="B1689"/>
      <c r="C1689"/>
      <c r="D1689"/>
      <c r="E1689"/>
      <c r="F1689"/>
    </row>
    <row r="1690" spans="1:6" ht="15" x14ac:dyDescent="0.25">
      <c r="A1690"/>
      <c r="B1690"/>
      <c r="C1690"/>
      <c r="D1690"/>
      <c r="E1690"/>
      <c r="F1690"/>
    </row>
    <row r="1691" spans="1:6" ht="15" x14ac:dyDescent="0.25">
      <c r="A1691"/>
      <c r="B1691"/>
      <c r="C1691"/>
      <c r="D1691"/>
      <c r="E1691"/>
      <c r="F1691"/>
    </row>
    <row r="1692" spans="1:6" ht="15" x14ac:dyDescent="0.25">
      <c r="A1692"/>
      <c r="B1692"/>
      <c r="C1692"/>
      <c r="D1692"/>
      <c r="E1692"/>
      <c r="F1692"/>
    </row>
    <row r="1693" spans="1:6" ht="15" x14ac:dyDescent="0.25">
      <c r="A1693"/>
      <c r="B1693"/>
      <c r="C1693"/>
      <c r="D1693"/>
      <c r="E1693"/>
      <c r="F1693"/>
    </row>
    <row r="1694" spans="1:6" ht="15" x14ac:dyDescent="0.25">
      <c r="A1694"/>
      <c r="B1694"/>
      <c r="C1694"/>
      <c r="D1694"/>
      <c r="E1694"/>
      <c r="F1694"/>
    </row>
    <row r="1695" spans="1:6" ht="15" x14ac:dyDescent="0.25">
      <c r="A1695"/>
      <c r="B1695"/>
      <c r="C1695"/>
      <c r="D1695"/>
      <c r="E1695"/>
      <c r="F1695"/>
    </row>
    <row r="1696" spans="1:6" ht="15" x14ac:dyDescent="0.25">
      <c r="A1696"/>
      <c r="B1696"/>
      <c r="C1696"/>
      <c r="D1696"/>
      <c r="E1696"/>
      <c r="F1696"/>
    </row>
    <row r="1697" spans="1:6" ht="15" x14ac:dyDescent="0.25">
      <c r="A1697"/>
      <c r="B1697"/>
      <c r="C1697"/>
      <c r="D1697"/>
      <c r="E1697"/>
      <c r="F1697"/>
    </row>
    <row r="1698" spans="1:6" ht="15" x14ac:dyDescent="0.25">
      <c r="A1698"/>
      <c r="B1698"/>
      <c r="C1698"/>
      <c r="D1698"/>
      <c r="E1698"/>
      <c r="F1698"/>
    </row>
    <row r="1699" spans="1:6" ht="15" x14ac:dyDescent="0.25">
      <c r="A1699"/>
      <c r="B1699"/>
      <c r="C1699"/>
      <c r="D1699"/>
      <c r="E1699"/>
      <c r="F1699"/>
    </row>
    <row r="1700" spans="1:6" ht="15" x14ac:dyDescent="0.25">
      <c r="A1700"/>
      <c r="B1700"/>
      <c r="C1700"/>
      <c r="D1700"/>
      <c r="E1700"/>
      <c r="F1700"/>
    </row>
    <row r="1701" spans="1:6" ht="15" x14ac:dyDescent="0.25">
      <c r="A1701"/>
      <c r="B1701"/>
      <c r="C1701"/>
      <c r="D1701"/>
      <c r="E1701"/>
      <c r="F1701"/>
    </row>
    <row r="1702" spans="1:6" ht="15" x14ac:dyDescent="0.25">
      <c r="A1702"/>
      <c r="B1702"/>
      <c r="C1702"/>
      <c r="D1702"/>
      <c r="E1702"/>
      <c r="F1702"/>
    </row>
    <row r="1703" spans="1:6" ht="15" x14ac:dyDescent="0.25">
      <c r="A1703"/>
      <c r="B1703"/>
      <c r="C1703"/>
      <c r="D1703"/>
      <c r="E1703"/>
      <c r="F1703"/>
    </row>
    <row r="1704" spans="1:6" ht="15" x14ac:dyDescent="0.25">
      <c r="A1704"/>
      <c r="B1704"/>
      <c r="C1704"/>
      <c r="D1704"/>
      <c r="E1704"/>
      <c r="F1704"/>
    </row>
    <row r="1705" spans="1:6" ht="15" x14ac:dyDescent="0.25">
      <c r="A1705"/>
      <c r="B1705"/>
      <c r="C1705"/>
      <c r="D1705"/>
      <c r="E1705"/>
      <c r="F1705"/>
    </row>
    <row r="1706" spans="1:6" ht="15" x14ac:dyDescent="0.25">
      <c r="A1706"/>
      <c r="B1706"/>
      <c r="C1706"/>
      <c r="D1706"/>
      <c r="E1706"/>
      <c r="F1706"/>
    </row>
    <row r="1707" spans="1:6" ht="15" x14ac:dyDescent="0.25">
      <c r="A1707"/>
      <c r="B1707"/>
      <c r="C1707"/>
      <c r="D1707"/>
      <c r="E1707"/>
      <c r="F1707"/>
    </row>
    <row r="1708" spans="1:6" ht="15" x14ac:dyDescent="0.25">
      <c r="A1708"/>
      <c r="B1708"/>
      <c r="C1708"/>
      <c r="D1708"/>
      <c r="E1708"/>
      <c r="F1708"/>
    </row>
    <row r="1709" spans="1:6" ht="15" x14ac:dyDescent="0.25">
      <c r="A1709"/>
      <c r="B1709"/>
      <c r="C1709"/>
      <c r="D1709"/>
      <c r="E1709"/>
      <c r="F1709"/>
    </row>
    <row r="1710" spans="1:6" ht="15" x14ac:dyDescent="0.25">
      <c r="A1710"/>
      <c r="B1710"/>
      <c r="C1710"/>
      <c r="D1710"/>
      <c r="E1710"/>
      <c r="F1710"/>
    </row>
    <row r="1711" spans="1:6" ht="15" x14ac:dyDescent="0.25">
      <c r="A1711"/>
      <c r="B1711"/>
      <c r="C1711"/>
      <c r="D1711"/>
      <c r="E1711"/>
      <c r="F1711"/>
    </row>
    <row r="1712" spans="1:6" ht="15" x14ac:dyDescent="0.25">
      <c r="A1712"/>
      <c r="B1712"/>
      <c r="C1712"/>
      <c r="D1712"/>
      <c r="E1712"/>
      <c r="F1712"/>
    </row>
    <row r="1713" spans="1:6" ht="15" x14ac:dyDescent="0.25">
      <c r="A1713"/>
      <c r="B1713"/>
      <c r="C1713"/>
      <c r="D1713"/>
      <c r="E1713"/>
      <c r="F1713"/>
    </row>
    <row r="1714" spans="1:6" ht="15" x14ac:dyDescent="0.25">
      <c r="A1714"/>
      <c r="B1714"/>
      <c r="C1714"/>
      <c r="D1714"/>
      <c r="E1714"/>
      <c r="F1714"/>
    </row>
    <row r="1715" spans="1:6" ht="15" x14ac:dyDescent="0.25">
      <c r="A1715"/>
      <c r="B1715"/>
      <c r="C1715"/>
      <c r="D1715"/>
      <c r="E1715"/>
      <c r="F1715"/>
    </row>
    <row r="1716" spans="1:6" ht="15" x14ac:dyDescent="0.25">
      <c r="A1716"/>
      <c r="B1716"/>
      <c r="C1716"/>
      <c r="D1716"/>
      <c r="E1716"/>
      <c r="F1716"/>
    </row>
    <row r="1717" spans="1:6" ht="15" x14ac:dyDescent="0.25">
      <c r="A1717"/>
      <c r="B1717"/>
      <c r="C1717"/>
      <c r="D1717"/>
      <c r="E1717"/>
      <c r="F1717"/>
    </row>
    <row r="1718" spans="1:6" ht="15" x14ac:dyDescent="0.25">
      <c r="A1718"/>
      <c r="B1718"/>
      <c r="C1718"/>
      <c r="D1718"/>
      <c r="E1718"/>
      <c r="F1718"/>
    </row>
    <row r="1719" spans="1:6" ht="15" x14ac:dyDescent="0.25">
      <c r="A1719"/>
      <c r="B1719"/>
      <c r="C1719"/>
      <c r="D1719"/>
      <c r="E1719"/>
      <c r="F1719"/>
    </row>
    <row r="1720" spans="1:6" ht="15" x14ac:dyDescent="0.25">
      <c r="A1720"/>
      <c r="B1720"/>
      <c r="C1720"/>
      <c r="D1720"/>
      <c r="E1720"/>
      <c r="F1720"/>
    </row>
    <row r="1721" spans="1:6" ht="15" x14ac:dyDescent="0.25">
      <c r="A1721"/>
      <c r="B1721"/>
      <c r="C1721"/>
      <c r="D1721"/>
      <c r="E1721"/>
      <c r="F1721"/>
    </row>
    <row r="1722" spans="1:6" ht="15" x14ac:dyDescent="0.25">
      <c r="A1722"/>
      <c r="B1722"/>
      <c r="C1722"/>
      <c r="D1722"/>
      <c r="E1722"/>
      <c r="F1722"/>
    </row>
    <row r="1723" spans="1:6" ht="15" x14ac:dyDescent="0.25">
      <c r="A1723"/>
      <c r="B1723"/>
      <c r="C1723"/>
      <c r="D1723"/>
      <c r="E1723"/>
      <c r="F1723"/>
    </row>
    <row r="1724" spans="1:6" ht="15" x14ac:dyDescent="0.25">
      <c r="A1724"/>
      <c r="B1724"/>
      <c r="C1724"/>
      <c r="D1724"/>
      <c r="E1724"/>
      <c r="F1724"/>
    </row>
    <row r="1725" spans="1:6" ht="15" x14ac:dyDescent="0.25">
      <c r="A1725"/>
      <c r="B1725"/>
      <c r="C1725"/>
      <c r="D1725"/>
      <c r="E1725"/>
      <c r="F1725"/>
    </row>
    <row r="1726" spans="1:6" ht="15" x14ac:dyDescent="0.25">
      <c r="A1726"/>
      <c r="B1726"/>
      <c r="C1726"/>
      <c r="D1726"/>
      <c r="E1726"/>
      <c r="F1726"/>
    </row>
    <row r="1727" spans="1:6" ht="15" x14ac:dyDescent="0.25">
      <c r="A1727"/>
      <c r="B1727"/>
      <c r="C1727"/>
      <c r="D1727"/>
      <c r="E1727"/>
      <c r="F1727"/>
    </row>
    <row r="1728" spans="1:6" ht="15" x14ac:dyDescent="0.25">
      <c r="A1728"/>
      <c r="B1728"/>
      <c r="C1728"/>
      <c r="D1728"/>
      <c r="E1728"/>
      <c r="F1728"/>
    </row>
    <row r="1729" spans="1:6" ht="15" x14ac:dyDescent="0.25">
      <c r="A1729"/>
      <c r="B1729"/>
      <c r="C1729"/>
      <c r="D1729"/>
      <c r="E1729"/>
      <c r="F1729"/>
    </row>
    <row r="1730" spans="1:6" ht="15" x14ac:dyDescent="0.25">
      <c r="A1730"/>
      <c r="B1730"/>
      <c r="C1730"/>
      <c r="D1730"/>
      <c r="E1730"/>
      <c r="F1730"/>
    </row>
    <row r="1731" spans="1:6" ht="15" x14ac:dyDescent="0.25">
      <c r="A1731"/>
      <c r="B1731"/>
      <c r="C1731"/>
      <c r="D1731"/>
      <c r="E1731"/>
      <c r="F1731"/>
    </row>
    <row r="1732" spans="1:6" ht="15" x14ac:dyDescent="0.25">
      <c r="A1732"/>
      <c r="B1732"/>
      <c r="C1732"/>
      <c r="D1732"/>
      <c r="E1732"/>
      <c r="F1732"/>
    </row>
    <row r="1733" spans="1:6" ht="15" x14ac:dyDescent="0.25">
      <c r="A1733"/>
      <c r="B1733"/>
      <c r="C1733"/>
      <c r="D1733"/>
      <c r="E1733"/>
      <c r="F1733"/>
    </row>
    <row r="1734" spans="1:6" ht="15" x14ac:dyDescent="0.25">
      <c r="A1734"/>
      <c r="B1734"/>
      <c r="C1734"/>
      <c r="D1734"/>
      <c r="E1734"/>
      <c r="F1734"/>
    </row>
    <row r="1735" spans="1:6" ht="15" x14ac:dyDescent="0.25">
      <c r="A1735"/>
      <c r="B1735"/>
      <c r="C1735"/>
      <c r="D1735"/>
      <c r="E1735"/>
      <c r="F1735"/>
    </row>
    <row r="1736" spans="1:6" ht="15" x14ac:dyDescent="0.25">
      <c r="A1736"/>
      <c r="B1736"/>
      <c r="C1736"/>
      <c r="D1736"/>
      <c r="E1736"/>
      <c r="F1736"/>
    </row>
    <row r="1737" spans="1:6" ht="15" x14ac:dyDescent="0.25">
      <c r="A1737"/>
      <c r="B1737"/>
      <c r="C1737"/>
      <c r="D1737"/>
      <c r="E1737"/>
      <c r="F1737"/>
    </row>
    <row r="1738" spans="1:6" ht="15" x14ac:dyDescent="0.25">
      <c r="A1738"/>
      <c r="B1738"/>
      <c r="C1738"/>
      <c r="D1738"/>
      <c r="E1738"/>
      <c r="F1738"/>
    </row>
    <row r="1739" spans="1:6" ht="15" x14ac:dyDescent="0.25">
      <c r="A1739"/>
      <c r="B1739"/>
      <c r="C1739"/>
      <c r="D1739"/>
      <c r="E1739"/>
      <c r="F1739"/>
    </row>
    <row r="1740" spans="1:6" ht="15" x14ac:dyDescent="0.25">
      <c r="A1740"/>
      <c r="B1740"/>
      <c r="C1740"/>
      <c r="D1740"/>
      <c r="E1740"/>
      <c r="F1740"/>
    </row>
    <row r="1741" spans="1:6" ht="15" x14ac:dyDescent="0.25">
      <c r="A1741"/>
      <c r="B1741"/>
      <c r="C1741"/>
      <c r="D1741"/>
      <c r="E1741"/>
      <c r="F1741"/>
    </row>
    <row r="1742" spans="1:6" ht="15" x14ac:dyDescent="0.25">
      <c r="A1742"/>
      <c r="B1742"/>
      <c r="C1742"/>
      <c r="D1742"/>
      <c r="E1742"/>
      <c r="F1742"/>
    </row>
    <row r="1743" spans="1:6" ht="15" x14ac:dyDescent="0.25">
      <c r="A1743"/>
      <c r="B1743"/>
      <c r="C1743"/>
      <c r="D1743"/>
      <c r="E1743"/>
      <c r="F1743"/>
    </row>
    <row r="1744" spans="1:6" ht="15" x14ac:dyDescent="0.25">
      <c r="A1744"/>
      <c r="B1744"/>
      <c r="C1744"/>
      <c r="D1744"/>
      <c r="E1744"/>
      <c r="F1744"/>
    </row>
    <row r="1745" spans="1:6" ht="15" x14ac:dyDescent="0.25">
      <c r="A1745"/>
      <c r="B1745"/>
      <c r="C1745"/>
      <c r="D1745"/>
      <c r="E1745"/>
      <c r="F1745"/>
    </row>
    <row r="1746" spans="1:6" ht="15" x14ac:dyDescent="0.25">
      <c r="A1746"/>
      <c r="B1746"/>
      <c r="C1746"/>
      <c r="D1746"/>
      <c r="E1746"/>
      <c r="F1746"/>
    </row>
    <row r="1747" spans="1:6" ht="15" x14ac:dyDescent="0.25">
      <c r="A1747"/>
      <c r="B1747"/>
      <c r="C1747"/>
      <c r="D1747"/>
      <c r="E1747"/>
      <c r="F1747"/>
    </row>
    <row r="1748" spans="1:6" ht="15" x14ac:dyDescent="0.25">
      <c r="A1748"/>
      <c r="B1748"/>
      <c r="C1748"/>
      <c r="D1748"/>
      <c r="E1748"/>
      <c r="F1748"/>
    </row>
    <row r="1749" spans="1:6" ht="15" x14ac:dyDescent="0.25">
      <c r="A1749"/>
      <c r="B1749"/>
      <c r="C1749"/>
      <c r="D1749"/>
      <c r="E1749"/>
      <c r="F1749"/>
    </row>
    <row r="1750" spans="1:6" ht="15" x14ac:dyDescent="0.25">
      <c r="A1750"/>
      <c r="B1750"/>
      <c r="C1750"/>
      <c r="D1750"/>
      <c r="E1750"/>
      <c r="F1750"/>
    </row>
    <row r="1751" spans="1:6" ht="15" x14ac:dyDescent="0.25">
      <c r="A1751"/>
      <c r="B1751"/>
      <c r="C1751"/>
      <c r="D1751"/>
      <c r="E1751"/>
      <c r="F1751"/>
    </row>
    <row r="1752" spans="1:6" ht="15" x14ac:dyDescent="0.25">
      <c r="A1752"/>
      <c r="B1752"/>
      <c r="C1752"/>
      <c r="D1752"/>
      <c r="E1752"/>
      <c r="F1752"/>
    </row>
    <row r="1753" spans="1:6" ht="15" x14ac:dyDescent="0.25">
      <c r="A1753"/>
      <c r="B1753"/>
      <c r="C1753"/>
      <c r="D1753"/>
      <c r="E1753"/>
      <c r="F1753"/>
    </row>
    <row r="1754" spans="1:6" ht="15" x14ac:dyDescent="0.25">
      <c r="A1754"/>
      <c r="B1754"/>
      <c r="C1754"/>
      <c r="D1754"/>
      <c r="E1754"/>
      <c r="F1754"/>
    </row>
    <row r="1755" spans="1:6" ht="15" x14ac:dyDescent="0.25">
      <c r="A1755"/>
      <c r="B1755"/>
      <c r="C1755"/>
      <c r="D1755"/>
      <c r="E1755"/>
      <c r="F1755"/>
    </row>
    <row r="1756" spans="1:6" ht="15" x14ac:dyDescent="0.25">
      <c r="A1756"/>
      <c r="B1756"/>
      <c r="C1756"/>
      <c r="D1756"/>
      <c r="E1756"/>
      <c r="F1756"/>
    </row>
    <row r="1757" spans="1:6" ht="15" x14ac:dyDescent="0.25">
      <c r="A1757"/>
      <c r="B1757"/>
      <c r="C1757"/>
      <c r="D1757"/>
      <c r="E1757"/>
      <c r="F1757"/>
    </row>
    <row r="1758" spans="1:6" ht="15" x14ac:dyDescent="0.25">
      <c r="A1758"/>
      <c r="B1758"/>
      <c r="C1758"/>
      <c r="D1758"/>
      <c r="E1758"/>
      <c r="F1758"/>
    </row>
    <row r="1759" spans="1:6" ht="15" x14ac:dyDescent="0.25">
      <c r="A1759"/>
      <c r="B1759"/>
      <c r="C1759"/>
      <c r="D1759"/>
      <c r="E1759"/>
      <c r="F1759"/>
    </row>
    <row r="1760" spans="1:6" ht="15" x14ac:dyDescent="0.25">
      <c r="A1760"/>
      <c r="B1760"/>
      <c r="C1760"/>
      <c r="D1760"/>
      <c r="E1760"/>
      <c r="F1760"/>
    </row>
    <row r="1761" spans="1:6" ht="15" x14ac:dyDescent="0.25">
      <c r="A1761"/>
      <c r="B1761"/>
      <c r="C1761"/>
      <c r="D1761"/>
      <c r="E1761"/>
      <c r="F1761"/>
    </row>
    <row r="1762" spans="1:6" ht="15" x14ac:dyDescent="0.25">
      <c r="A1762"/>
      <c r="B1762"/>
      <c r="C1762"/>
      <c r="D1762"/>
      <c r="E1762"/>
      <c r="F1762"/>
    </row>
    <row r="1763" spans="1:6" ht="15" x14ac:dyDescent="0.25">
      <c r="A1763"/>
      <c r="B1763"/>
      <c r="C1763"/>
      <c r="D1763"/>
      <c r="E1763"/>
      <c r="F1763"/>
    </row>
    <row r="1764" spans="1:6" ht="15" x14ac:dyDescent="0.25">
      <c r="A1764"/>
      <c r="B1764"/>
      <c r="C1764"/>
      <c r="D1764"/>
      <c r="E1764"/>
      <c r="F1764"/>
    </row>
    <row r="1765" spans="1:6" ht="15" x14ac:dyDescent="0.25">
      <c r="A1765"/>
      <c r="B1765"/>
      <c r="C1765"/>
      <c r="D1765"/>
      <c r="E1765"/>
      <c r="F1765"/>
    </row>
    <row r="1766" spans="1:6" ht="15" x14ac:dyDescent="0.25">
      <c r="A1766"/>
      <c r="B1766"/>
      <c r="C1766"/>
      <c r="D1766"/>
      <c r="E1766"/>
      <c r="F1766"/>
    </row>
    <row r="1767" spans="1:6" ht="15" x14ac:dyDescent="0.25">
      <c r="A1767"/>
      <c r="B1767"/>
      <c r="C1767"/>
      <c r="D1767"/>
      <c r="E1767"/>
      <c r="F1767"/>
    </row>
    <row r="1768" spans="1:6" ht="15" x14ac:dyDescent="0.25">
      <c r="A1768"/>
      <c r="B1768"/>
      <c r="C1768"/>
      <c r="D1768"/>
      <c r="E1768"/>
      <c r="F1768"/>
    </row>
    <row r="1769" spans="1:6" ht="15" x14ac:dyDescent="0.25">
      <c r="A1769"/>
      <c r="B1769"/>
      <c r="C1769"/>
      <c r="D1769"/>
      <c r="E1769"/>
      <c r="F1769"/>
    </row>
    <row r="1770" spans="1:6" ht="15" x14ac:dyDescent="0.25">
      <c r="A1770"/>
      <c r="B1770"/>
      <c r="C1770"/>
      <c r="D1770"/>
      <c r="E1770"/>
      <c r="F1770"/>
    </row>
    <row r="1771" spans="1:6" ht="15" x14ac:dyDescent="0.25">
      <c r="A1771"/>
      <c r="B1771"/>
      <c r="C1771"/>
      <c r="D1771"/>
      <c r="E1771"/>
      <c r="F1771"/>
    </row>
    <row r="1772" spans="1:6" ht="15" x14ac:dyDescent="0.25">
      <c r="A1772"/>
      <c r="B1772"/>
      <c r="C1772"/>
      <c r="D1772"/>
      <c r="E1772"/>
      <c r="F1772"/>
    </row>
    <row r="1773" spans="1:6" ht="15" x14ac:dyDescent="0.25">
      <c r="A1773"/>
      <c r="B1773"/>
      <c r="C1773"/>
      <c r="D1773"/>
      <c r="E1773"/>
      <c r="F1773"/>
    </row>
    <row r="1774" spans="1:6" ht="15" x14ac:dyDescent="0.25">
      <c r="A1774"/>
      <c r="B1774"/>
      <c r="C1774"/>
      <c r="D1774"/>
      <c r="E1774"/>
      <c r="F1774"/>
    </row>
    <row r="1775" spans="1:6" ht="15" x14ac:dyDescent="0.25">
      <c r="A1775"/>
      <c r="B1775"/>
      <c r="C1775"/>
      <c r="D1775"/>
      <c r="E1775"/>
      <c r="F1775"/>
    </row>
    <row r="1776" spans="1:6" ht="15" x14ac:dyDescent="0.25">
      <c r="A1776"/>
      <c r="B1776"/>
      <c r="C1776"/>
      <c r="D1776"/>
      <c r="E1776"/>
      <c r="F1776"/>
    </row>
    <row r="1777" spans="1:6" ht="15" x14ac:dyDescent="0.25">
      <c r="A1777"/>
      <c r="B1777"/>
      <c r="C1777"/>
      <c r="D1777"/>
      <c r="E1777"/>
      <c r="F1777"/>
    </row>
    <row r="1778" spans="1:6" ht="15" x14ac:dyDescent="0.25">
      <c r="A1778"/>
      <c r="B1778"/>
      <c r="C1778"/>
      <c r="D1778"/>
      <c r="E1778"/>
      <c r="F1778"/>
    </row>
    <row r="1779" spans="1:6" ht="15" x14ac:dyDescent="0.25">
      <c r="A1779"/>
      <c r="B1779"/>
      <c r="C1779"/>
      <c r="D1779"/>
      <c r="E1779"/>
      <c r="F1779"/>
    </row>
    <row r="1780" spans="1:6" ht="15" x14ac:dyDescent="0.25">
      <c r="A1780"/>
      <c r="B1780"/>
      <c r="C1780"/>
      <c r="D1780"/>
      <c r="E1780"/>
      <c r="F1780"/>
    </row>
    <row r="1781" spans="1:6" ht="15" x14ac:dyDescent="0.25">
      <c r="A1781"/>
      <c r="B1781"/>
      <c r="C1781"/>
      <c r="D1781"/>
      <c r="E1781"/>
      <c r="F1781"/>
    </row>
    <row r="1782" spans="1:6" ht="15" x14ac:dyDescent="0.25">
      <c r="A1782"/>
      <c r="B1782"/>
      <c r="C1782"/>
      <c r="D1782"/>
      <c r="E1782"/>
      <c r="F1782"/>
    </row>
    <row r="1783" spans="1:6" ht="15" x14ac:dyDescent="0.25">
      <c r="A1783"/>
      <c r="B1783"/>
      <c r="C1783"/>
      <c r="D1783"/>
      <c r="E1783"/>
      <c r="F1783"/>
    </row>
    <row r="1784" spans="1:6" ht="15" x14ac:dyDescent="0.25">
      <c r="A1784"/>
      <c r="B1784"/>
      <c r="C1784"/>
      <c r="D1784"/>
      <c r="E1784"/>
      <c r="F1784"/>
    </row>
    <row r="1785" spans="1:6" ht="15" x14ac:dyDescent="0.25">
      <c r="A1785"/>
      <c r="B1785"/>
      <c r="C1785"/>
      <c r="D1785"/>
      <c r="E1785"/>
      <c r="F1785"/>
    </row>
    <row r="1786" spans="1:6" ht="15" x14ac:dyDescent="0.25">
      <c r="A1786"/>
      <c r="B1786"/>
      <c r="C1786"/>
      <c r="D1786"/>
      <c r="E1786"/>
      <c r="F1786"/>
    </row>
    <row r="1787" spans="1:6" ht="15" x14ac:dyDescent="0.25">
      <c r="A1787"/>
      <c r="B1787"/>
      <c r="C1787"/>
      <c r="D1787"/>
      <c r="E1787"/>
      <c r="F1787"/>
    </row>
    <row r="1788" spans="1:6" ht="15" x14ac:dyDescent="0.25">
      <c r="A1788"/>
      <c r="B1788"/>
      <c r="C1788"/>
      <c r="D1788"/>
      <c r="E1788"/>
      <c r="F1788"/>
    </row>
    <row r="1789" spans="1:6" ht="15" x14ac:dyDescent="0.25">
      <c r="A1789"/>
      <c r="B1789"/>
      <c r="C1789"/>
      <c r="D1789"/>
      <c r="E1789"/>
      <c r="F1789"/>
    </row>
    <row r="1790" spans="1:6" ht="15" x14ac:dyDescent="0.25">
      <c r="A1790"/>
      <c r="B1790"/>
      <c r="C1790"/>
      <c r="D1790"/>
      <c r="E1790"/>
      <c r="F1790"/>
    </row>
    <row r="1791" spans="1:6" ht="15" x14ac:dyDescent="0.25">
      <c r="A1791"/>
      <c r="B1791"/>
      <c r="C1791"/>
      <c r="D1791"/>
      <c r="E1791"/>
      <c r="F1791"/>
    </row>
    <row r="1792" spans="1:6" ht="15" x14ac:dyDescent="0.25">
      <c r="A1792"/>
      <c r="B1792"/>
      <c r="C1792"/>
      <c r="D1792"/>
      <c r="E1792"/>
      <c r="F1792"/>
    </row>
    <row r="1793" spans="1:6" ht="15" x14ac:dyDescent="0.25">
      <c r="A1793"/>
      <c r="B1793"/>
      <c r="C1793"/>
      <c r="D1793"/>
      <c r="E1793"/>
      <c r="F1793"/>
    </row>
    <row r="1794" spans="1:6" ht="15" x14ac:dyDescent="0.25">
      <c r="A1794"/>
      <c r="B1794"/>
      <c r="C1794"/>
      <c r="D1794"/>
      <c r="E1794"/>
      <c r="F1794"/>
    </row>
    <row r="1795" spans="1:6" ht="15" x14ac:dyDescent="0.25">
      <c r="A1795"/>
      <c r="B1795"/>
      <c r="C1795"/>
      <c r="D1795"/>
      <c r="E1795"/>
      <c r="F1795"/>
    </row>
    <row r="1796" spans="1:6" ht="15" x14ac:dyDescent="0.25">
      <c r="A1796"/>
      <c r="B1796"/>
      <c r="C1796"/>
      <c r="D1796"/>
      <c r="E1796"/>
      <c r="F1796"/>
    </row>
    <row r="1797" spans="1:6" ht="15" x14ac:dyDescent="0.25">
      <c r="A1797"/>
      <c r="B1797"/>
      <c r="C1797"/>
      <c r="D1797"/>
      <c r="E1797"/>
      <c r="F1797"/>
    </row>
    <row r="1798" spans="1:6" ht="15" x14ac:dyDescent="0.25">
      <c r="A1798"/>
      <c r="B1798"/>
      <c r="C1798"/>
      <c r="D1798"/>
      <c r="E1798"/>
      <c r="F1798"/>
    </row>
    <row r="1799" spans="1:6" ht="15" x14ac:dyDescent="0.25">
      <c r="A1799"/>
      <c r="B1799"/>
      <c r="C1799"/>
      <c r="D1799"/>
      <c r="E1799"/>
      <c r="F1799"/>
    </row>
    <row r="1800" spans="1:6" ht="15" x14ac:dyDescent="0.25">
      <c r="A1800"/>
      <c r="B1800"/>
      <c r="C1800"/>
      <c r="D1800"/>
      <c r="E1800"/>
      <c r="F1800"/>
    </row>
    <row r="1801" spans="1:6" ht="15" x14ac:dyDescent="0.25">
      <c r="A1801"/>
      <c r="B1801"/>
      <c r="C1801"/>
      <c r="D1801"/>
      <c r="E1801"/>
      <c r="F1801"/>
    </row>
    <row r="1802" spans="1:6" ht="15" x14ac:dyDescent="0.25">
      <c r="A1802"/>
      <c r="B1802"/>
      <c r="C1802"/>
      <c r="D1802"/>
      <c r="E1802"/>
      <c r="F1802"/>
    </row>
    <row r="1803" spans="1:6" ht="15" x14ac:dyDescent="0.25">
      <c r="A1803"/>
      <c r="B1803"/>
      <c r="C1803"/>
      <c r="D1803"/>
      <c r="E1803"/>
      <c r="F1803"/>
    </row>
    <row r="1804" spans="1:6" ht="15" x14ac:dyDescent="0.25">
      <c r="A1804"/>
      <c r="B1804"/>
      <c r="C1804"/>
      <c r="D1804"/>
      <c r="E1804"/>
      <c r="F1804"/>
    </row>
    <row r="1805" spans="1:6" ht="15" x14ac:dyDescent="0.25">
      <c r="A1805"/>
      <c r="B1805"/>
      <c r="C1805"/>
      <c r="D1805"/>
      <c r="E1805"/>
      <c r="F1805"/>
    </row>
    <row r="1806" spans="1:6" ht="15" x14ac:dyDescent="0.25">
      <c r="A1806"/>
      <c r="B1806"/>
      <c r="C1806"/>
      <c r="D1806"/>
      <c r="E1806"/>
      <c r="F1806"/>
    </row>
    <row r="1807" spans="1:6" ht="15" x14ac:dyDescent="0.25">
      <c r="A1807"/>
      <c r="B1807"/>
      <c r="C1807"/>
      <c r="D1807"/>
      <c r="E1807"/>
      <c r="F1807"/>
    </row>
    <row r="1808" spans="1:6" ht="15" x14ac:dyDescent="0.25">
      <c r="A1808"/>
      <c r="B1808"/>
      <c r="C1808"/>
      <c r="D1808"/>
      <c r="E1808"/>
      <c r="F1808"/>
    </row>
    <row r="1809" spans="1:6" ht="15" x14ac:dyDescent="0.25">
      <c r="A1809"/>
      <c r="B1809"/>
      <c r="C1809"/>
      <c r="D1809"/>
      <c r="E1809"/>
      <c r="F1809"/>
    </row>
    <row r="1810" spans="1:6" ht="15" x14ac:dyDescent="0.25">
      <c r="A1810"/>
      <c r="B1810"/>
      <c r="C1810"/>
      <c r="D1810"/>
      <c r="E1810"/>
      <c r="F1810"/>
    </row>
    <row r="1811" spans="1:6" ht="15" x14ac:dyDescent="0.25">
      <c r="A1811"/>
      <c r="B1811"/>
      <c r="C1811"/>
      <c r="D1811"/>
      <c r="E1811"/>
      <c r="F1811"/>
    </row>
    <row r="1812" spans="1:6" ht="15" x14ac:dyDescent="0.25">
      <c r="A1812"/>
      <c r="B1812"/>
      <c r="C1812"/>
      <c r="D1812"/>
      <c r="E1812"/>
      <c r="F1812"/>
    </row>
    <row r="1813" spans="1:6" ht="15" x14ac:dyDescent="0.25">
      <c r="A1813"/>
      <c r="B1813"/>
      <c r="C1813"/>
      <c r="D1813"/>
      <c r="E1813"/>
      <c r="F1813"/>
    </row>
    <row r="1814" spans="1:6" ht="15" x14ac:dyDescent="0.25">
      <c r="A1814"/>
      <c r="B1814"/>
      <c r="C1814"/>
      <c r="D1814"/>
      <c r="E1814"/>
      <c r="F1814"/>
    </row>
    <row r="1815" spans="1:6" ht="15" x14ac:dyDescent="0.25">
      <c r="A1815"/>
      <c r="B1815"/>
      <c r="C1815"/>
      <c r="D1815"/>
      <c r="E1815"/>
      <c r="F1815"/>
    </row>
    <row r="1816" spans="1:6" ht="15" x14ac:dyDescent="0.25">
      <c r="A1816"/>
      <c r="B1816"/>
      <c r="C1816"/>
      <c r="D1816"/>
      <c r="E1816"/>
      <c r="F1816"/>
    </row>
    <row r="1817" spans="1:6" ht="15" x14ac:dyDescent="0.25">
      <c r="A1817"/>
      <c r="B1817"/>
      <c r="C1817"/>
      <c r="D1817"/>
      <c r="E1817"/>
      <c r="F1817"/>
    </row>
    <row r="1818" spans="1:6" ht="15" x14ac:dyDescent="0.25">
      <c r="A1818"/>
      <c r="B1818"/>
      <c r="C1818"/>
      <c r="D1818"/>
      <c r="E1818"/>
      <c r="F1818"/>
    </row>
    <row r="1819" spans="1:6" ht="15" x14ac:dyDescent="0.25">
      <c r="A1819"/>
      <c r="B1819"/>
      <c r="C1819"/>
      <c r="D1819"/>
      <c r="E1819"/>
      <c r="F1819"/>
    </row>
    <row r="1820" spans="1:6" ht="15" x14ac:dyDescent="0.25">
      <c r="A1820"/>
      <c r="B1820"/>
      <c r="C1820"/>
      <c r="D1820"/>
      <c r="E1820"/>
      <c r="F1820"/>
    </row>
    <row r="1821" spans="1:6" ht="15" x14ac:dyDescent="0.25">
      <c r="A1821"/>
      <c r="B1821"/>
      <c r="C1821"/>
      <c r="D1821"/>
      <c r="E1821"/>
      <c r="F1821"/>
    </row>
    <row r="1822" spans="1:6" ht="15" x14ac:dyDescent="0.25">
      <c r="A1822"/>
      <c r="B1822"/>
      <c r="C1822"/>
      <c r="D1822"/>
      <c r="E1822"/>
      <c r="F1822"/>
    </row>
    <row r="1823" spans="1:6" ht="15" x14ac:dyDescent="0.25">
      <c r="A1823"/>
      <c r="B1823"/>
      <c r="C1823"/>
      <c r="D1823"/>
      <c r="E1823"/>
      <c r="F1823"/>
    </row>
    <row r="1824" spans="1:6" ht="15" x14ac:dyDescent="0.25">
      <c r="A1824"/>
      <c r="B1824"/>
      <c r="C1824"/>
      <c r="D1824"/>
      <c r="E1824"/>
      <c r="F1824"/>
    </row>
    <row r="1825" spans="1:6" ht="15" x14ac:dyDescent="0.25">
      <c r="A1825"/>
      <c r="B1825"/>
      <c r="C1825"/>
      <c r="D1825"/>
      <c r="E1825"/>
      <c r="F1825"/>
    </row>
    <row r="1826" spans="1:6" ht="15" x14ac:dyDescent="0.25">
      <c r="A1826"/>
      <c r="B1826"/>
      <c r="C1826"/>
      <c r="D1826"/>
      <c r="E1826"/>
      <c r="F1826"/>
    </row>
    <row r="1827" spans="1:6" ht="15" x14ac:dyDescent="0.25">
      <c r="A1827"/>
      <c r="B1827"/>
      <c r="C1827"/>
      <c r="D1827"/>
      <c r="E1827"/>
      <c r="F1827"/>
    </row>
    <row r="1828" spans="1:6" ht="15" x14ac:dyDescent="0.25">
      <c r="A1828"/>
      <c r="B1828"/>
      <c r="C1828"/>
      <c r="D1828"/>
      <c r="E1828"/>
      <c r="F1828"/>
    </row>
    <row r="1829" spans="1:6" ht="15" x14ac:dyDescent="0.25">
      <c r="A1829"/>
      <c r="B1829"/>
      <c r="C1829"/>
      <c r="D1829"/>
      <c r="E1829"/>
      <c r="F1829"/>
    </row>
    <row r="1830" spans="1:6" ht="15" x14ac:dyDescent="0.25">
      <c r="A1830"/>
      <c r="B1830"/>
      <c r="C1830"/>
      <c r="D1830"/>
      <c r="E1830"/>
      <c r="F1830"/>
    </row>
    <row r="1831" spans="1:6" ht="15" x14ac:dyDescent="0.25">
      <c r="A1831"/>
      <c r="B1831"/>
      <c r="C1831"/>
      <c r="D1831"/>
      <c r="E1831"/>
      <c r="F1831"/>
    </row>
    <row r="1832" spans="1:6" ht="15" x14ac:dyDescent="0.25">
      <c r="A1832"/>
      <c r="B1832"/>
      <c r="C1832"/>
      <c r="D1832"/>
      <c r="E1832"/>
      <c r="F1832"/>
    </row>
    <row r="1833" spans="1:6" ht="15" x14ac:dyDescent="0.25">
      <c r="A1833"/>
      <c r="B1833"/>
      <c r="C1833"/>
      <c r="D1833"/>
      <c r="E1833"/>
      <c r="F1833"/>
    </row>
    <row r="1834" spans="1:6" ht="15" x14ac:dyDescent="0.25">
      <c r="A1834"/>
      <c r="B1834"/>
      <c r="C1834"/>
      <c r="D1834"/>
      <c r="E1834"/>
      <c r="F1834"/>
    </row>
    <row r="1835" spans="1:6" ht="15" x14ac:dyDescent="0.25">
      <c r="A1835"/>
      <c r="B1835"/>
      <c r="C1835"/>
      <c r="D1835"/>
      <c r="E1835"/>
      <c r="F1835"/>
    </row>
    <row r="1836" spans="1:6" ht="15" x14ac:dyDescent="0.25">
      <c r="A1836"/>
      <c r="B1836"/>
      <c r="C1836"/>
      <c r="D1836"/>
      <c r="E1836"/>
      <c r="F1836"/>
    </row>
    <row r="1837" spans="1:6" ht="15" x14ac:dyDescent="0.25">
      <c r="A1837"/>
      <c r="B1837"/>
      <c r="C1837"/>
      <c r="D1837"/>
      <c r="E1837"/>
      <c r="F1837"/>
    </row>
    <row r="1838" spans="1:6" ht="15" x14ac:dyDescent="0.25">
      <c r="A1838"/>
      <c r="B1838"/>
      <c r="C1838"/>
      <c r="D1838"/>
      <c r="E1838"/>
      <c r="F1838"/>
    </row>
    <row r="1839" spans="1:6" ht="15" x14ac:dyDescent="0.25">
      <c r="A1839"/>
      <c r="B1839"/>
      <c r="C1839"/>
      <c r="D1839"/>
      <c r="E1839"/>
      <c r="F1839"/>
    </row>
    <row r="1840" spans="1:6" ht="15" x14ac:dyDescent="0.25">
      <c r="A1840"/>
      <c r="B1840"/>
      <c r="C1840"/>
      <c r="D1840"/>
      <c r="E1840"/>
      <c r="F1840"/>
    </row>
    <row r="1841" spans="1:6" ht="15" x14ac:dyDescent="0.25">
      <c r="A1841"/>
      <c r="B1841"/>
      <c r="C1841"/>
      <c r="D1841"/>
      <c r="E1841"/>
      <c r="F1841"/>
    </row>
    <row r="1842" spans="1:6" ht="15" x14ac:dyDescent="0.25">
      <c r="A1842"/>
      <c r="B1842"/>
      <c r="C1842"/>
      <c r="D1842"/>
      <c r="E1842"/>
      <c r="F1842"/>
    </row>
    <row r="1843" spans="1:6" ht="15" x14ac:dyDescent="0.25">
      <c r="A1843"/>
      <c r="B1843"/>
      <c r="C1843"/>
      <c r="D1843"/>
      <c r="E1843"/>
      <c r="F1843"/>
    </row>
    <row r="1844" spans="1:6" ht="15" x14ac:dyDescent="0.25">
      <c r="A1844"/>
      <c r="B1844"/>
      <c r="C1844"/>
      <c r="D1844"/>
      <c r="E1844"/>
      <c r="F1844"/>
    </row>
    <row r="1845" spans="1:6" ht="15" x14ac:dyDescent="0.25">
      <c r="A1845"/>
      <c r="B1845"/>
      <c r="C1845"/>
      <c r="D1845"/>
      <c r="E1845"/>
      <c r="F1845"/>
    </row>
    <row r="1846" spans="1:6" ht="15" x14ac:dyDescent="0.25">
      <c r="A1846"/>
      <c r="B1846"/>
      <c r="C1846"/>
      <c r="D1846"/>
      <c r="E1846"/>
      <c r="F1846"/>
    </row>
    <row r="1847" spans="1:6" ht="15" x14ac:dyDescent="0.25">
      <c r="A1847"/>
      <c r="B1847"/>
      <c r="C1847"/>
      <c r="D1847"/>
      <c r="E1847"/>
      <c r="F1847"/>
    </row>
    <row r="1848" spans="1:6" ht="15" x14ac:dyDescent="0.25">
      <c r="A1848"/>
      <c r="B1848"/>
      <c r="C1848"/>
      <c r="D1848"/>
      <c r="E1848"/>
      <c r="F1848"/>
    </row>
    <row r="1849" spans="1:6" ht="15" x14ac:dyDescent="0.25">
      <c r="A1849"/>
      <c r="B1849"/>
      <c r="C1849"/>
      <c r="D1849"/>
      <c r="E1849"/>
      <c r="F1849"/>
    </row>
    <row r="1850" spans="1:6" ht="15" x14ac:dyDescent="0.25">
      <c r="A1850"/>
      <c r="B1850"/>
      <c r="C1850"/>
      <c r="D1850"/>
      <c r="E1850"/>
      <c r="F1850"/>
    </row>
    <row r="1851" spans="1:6" ht="15" x14ac:dyDescent="0.25">
      <c r="A1851"/>
      <c r="B1851"/>
      <c r="C1851"/>
      <c r="D1851"/>
      <c r="E1851"/>
      <c r="F1851"/>
    </row>
    <row r="1852" spans="1:6" ht="15" x14ac:dyDescent="0.25">
      <c r="A1852"/>
      <c r="B1852"/>
      <c r="C1852"/>
      <c r="D1852"/>
      <c r="E1852"/>
      <c r="F1852"/>
    </row>
    <row r="1853" spans="1:6" ht="15" x14ac:dyDescent="0.25">
      <c r="A1853"/>
      <c r="B1853"/>
      <c r="C1853"/>
      <c r="D1853"/>
      <c r="E1853"/>
      <c r="F1853"/>
    </row>
    <row r="1854" spans="1:6" ht="15" x14ac:dyDescent="0.25">
      <c r="A1854"/>
      <c r="B1854"/>
      <c r="C1854"/>
      <c r="D1854"/>
      <c r="E1854"/>
      <c r="F1854"/>
    </row>
    <row r="1855" spans="1:6" ht="15" x14ac:dyDescent="0.25">
      <c r="A1855"/>
      <c r="B1855"/>
      <c r="C1855"/>
      <c r="D1855"/>
      <c r="E1855"/>
      <c r="F1855"/>
    </row>
    <row r="1856" spans="1:6" ht="15" x14ac:dyDescent="0.25">
      <c r="A1856"/>
      <c r="B1856"/>
      <c r="C1856"/>
      <c r="D1856"/>
      <c r="E1856"/>
      <c r="F1856"/>
    </row>
    <row r="1857" spans="1:6" ht="15" x14ac:dyDescent="0.25">
      <c r="A1857"/>
      <c r="B1857"/>
      <c r="C1857"/>
      <c r="D1857"/>
      <c r="E1857"/>
      <c r="F1857"/>
    </row>
    <row r="1858" spans="1:6" ht="15" x14ac:dyDescent="0.25">
      <c r="A1858"/>
      <c r="B1858"/>
      <c r="C1858"/>
      <c r="D1858"/>
      <c r="E1858"/>
      <c r="F1858"/>
    </row>
    <row r="1859" spans="1:6" ht="15" x14ac:dyDescent="0.25">
      <c r="A1859"/>
      <c r="B1859"/>
      <c r="C1859"/>
      <c r="D1859"/>
      <c r="E1859"/>
      <c r="F1859"/>
    </row>
    <row r="1860" spans="1:6" ht="15" x14ac:dyDescent="0.25">
      <c r="A1860"/>
      <c r="B1860"/>
      <c r="C1860"/>
      <c r="D1860"/>
      <c r="E1860"/>
      <c r="F1860"/>
    </row>
    <row r="1861" spans="1:6" ht="15" x14ac:dyDescent="0.25">
      <c r="A1861"/>
      <c r="B1861"/>
      <c r="C1861"/>
      <c r="D1861"/>
      <c r="E1861"/>
      <c r="F1861"/>
    </row>
    <row r="1862" spans="1:6" ht="15" x14ac:dyDescent="0.25">
      <c r="A1862"/>
      <c r="B1862"/>
      <c r="C1862"/>
      <c r="D1862"/>
      <c r="E1862"/>
      <c r="F1862"/>
    </row>
    <row r="1863" spans="1:6" ht="15" x14ac:dyDescent="0.25">
      <c r="A1863"/>
      <c r="B1863"/>
      <c r="C1863"/>
      <c r="D1863"/>
      <c r="E1863"/>
      <c r="F1863"/>
    </row>
    <row r="1864" spans="1:6" ht="15" x14ac:dyDescent="0.25">
      <c r="A1864"/>
      <c r="B1864"/>
      <c r="C1864"/>
      <c r="D1864"/>
      <c r="E1864"/>
      <c r="F1864"/>
    </row>
    <row r="1865" spans="1:6" ht="15" x14ac:dyDescent="0.25">
      <c r="A1865"/>
      <c r="B1865"/>
      <c r="C1865"/>
      <c r="D1865"/>
      <c r="E1865"/>
      <c r="F1865"/>
    </row>
    <row r="1866" spans="1:6" ht="15" x14ac:dyDescent="0.25">
      <c r="A1866"/>
      <c r="B1866"/>
      <c r="C1866"/>
      <c r="D1866"/>
      <c r="E1866"/>
      <c r="F1866"/>
    </row>
    <row r="1867" spans="1:6" ht="15" x14ac:dyDescent="0.25">
      <c r="A1867"/>
      <c r="B1867"/>
      <c r="C1867"/>
      <c r="D1867"/>
      <c r="E1867"/>
      <c r="F1867"/>
    </row>
    <row r="1868" spans="1:6" ht="15" x14ac:dyDescent="0.25">
      <c r="A1868"/>
      <c r="B1868"/>
      <c r="C1868"/>
      <c r="D1868"/>
      <c r="E1868"/>
      <c r="F1868"/>
    </row>
    <row r="1869" spans="1:6" ht="15" x14ac:dyDescent="0.25">
      <c r="A1869"/>
      <c r="B1869"/>
      <c r="C1869"/>
      <c r="D1869"/>
      <c r="E1869"/>
      <c r="F1869"/>
    </row>
    <row r="1870" spans="1:6" ht="15" x14ac:dyDescent="0.25">
      <c r="A1870"/>
      <c r="B1870"/>
      <c r="C1870"/>
      <c r="D1870"/>
      <c r="E1870"/>
      <c r="F1870"/>
    </row>
    <row r="1871" spans="1:6" ht="15" x14ac:dyDescent="0.25">
      <c r="A1871"/>
      <c r="B1871"/>
      <c r="C1871"/>
      <c r="D1871"/>
      <c r="E1871"/>
      <c r="F1871"/>
    </row>
    <row r="1872" spans="1:6" ht="15" x14ac:dyDescent="0.25">
      <c r="A1872"/>
      <c r="B1872"/>
      <c r="C1872"/>
      <c r="D1872"/>
      <c r="E1872"/>
      <c r="F1872"/>
    </row>
    <row r="1873" spans="1:6" ht="15" x14ac:dyDescent="0.25">
      <c r="A1873"/>
      <c r="B1873"/>
      <c r="C1873"/>
      <c r="D1873"/>
      <c r="E1873"/>
      <c r="F1873"/>
    </row>
    <row r="1874" spans="1:6" ht="15" x14ac:dyDescent="0.25">
      <c r="A1874"/>
      <c r="B1874"/>
      <c r="C1874"/>
      <c r="D1874"/>
      <c r="E1874"/>
      <c r="F1874"/>
    </row>
    <row r="1875" spans="1:6" ht="15" x14ac:dyDescent="0.25">
      <c r="A1875"/>
      <c r="B1875"/>
      <c r="C1875"/>
      <c r="D1875"/>
      <c r="E1875"/>
      <c r="F1875"/>
    </row>
    <row r="1876" spans="1:6" ht="15" x14ac:dyDescent="0.25">
      <c r="A1876"/>
      <c r="B1876"/>
      <c r="C1876"/>
      <c r="D1876"/>
      <c r="E1876"/>
      <c r="F1876"/>
    </row>
    <row r="1877" spans="1:6" ht="15" x14ac:dyDescent="0.25">
      <c r="A1877"/>
      <c r="B1877"/>
      <c r="C1877"/>
      <c r="D1877"/>
      <c r="E1877"/>
      <c r="F1877"/>
    </row>
    <row r="1878" spans="1:6" ht="15" x14ac:dyDescent="0.25">
      <c r="A1878"/>
      <c r="B1878"/>
      <c r="C1878"/>
      <c r="D1878"/>
      <c r="E1878"/>
      <c r="F1878"/>
    </row>
    <row r="1879" spans="1:6" ht="15" x14ac:dyDescent="0.25">
      <c r="A1879"/>
      <c r="B1879"/>
      <c r="C1879"/>
      <c r="D1879"/>
      <c r="E1879"/>
      <c r="F1879"/>
    </row>
    <row r="1880" spans="1:6" ht="15" x14ac:dyDescent="0.25">
      <c r="A1880"/>
      <c r="B1880"/>
      <c r="C1880"/>
      <c r="D1880"/>
      <c r="E1880"/>
      <c r="F1880"/>
    </row>
    <row r="1881" spans="1:6" ht="15" x14ac:dyDescent="0.25">
      <c r="A1881"/>
      <c r="B1881"/>
      <c r="C1881"/>
      <c r="D1881"/>
      <c r="E1881"/>
      <c r="F1881"/>
    </row>
    <row r="1882" spans="1:6" ht="15" x14ac:dyDescent="0.25">
      <c r="A1882"/>
      <c r="B1882"/>
      <c r="C1882"/>
      <c r="D1882"/>
      <c r="E1882"/>
      <c r="F1882"/>
    </row>
    <row r="1883" spans="1:6" ht="15" x14ac:dyDescent="0.25">
      <c r="A1883"/>
      <c r="B1883"/>
      <c r="C1883"/>
      <c r="D1883"/>
      <c r="E1883"/>
      <c r="F1883"/>
    </row>
    <row r="1884" spans="1:6" ht="15" x14ac:dyDescent="0.25">
      <c r="A1884"/>
      <c r="B1884"/>
      <c r="C1884"/>
      <c r="D1884"/>
      <c r="E1884"/>
      <c r="F1884"/>
    </row>
    <row r="1885" spans="1:6" ht="15" x14ac:dyDescent="0.25">
      <c r="A1885"/>
      <c r="B1885"/>
      <c r="C1885"/>
      <c r="D1885"/>
      <c r="E1885"/>
      <c r="F1885"/>
    </row>
    <row r="1886" spans="1:6" ht="15" x14ac:dyDescent="0.25">
      <c r="A1886"/>
      <c r="B1886"/>
      <c r="C1886"/>
      <c r="D1886"/>
      <c r="E1886"/>
      <c r="F1886"/>
    </row>
    <row r="1887" spans="1:6" ht="15" x14ac:dyDescent="0.25">
      <c r="A1887"/>
      <c r="B1887"/>
      <c r="C1887"/>
      <c r="D1887"/>
      <c r="E1887"/>
      <c r="F1887"/>
    </row>
    <row r="1888" spans="1:6" ht="15" x14ac:dyDescent="0.25">
      <c r="A1888"/>
      <c r="B1888"/>
      <c r="C1888"/>
      <c r="D1888"/>
      <c r="E1888"/>
      <c r="F1888"/>
    </row>
    <row r="1889" spans="1:6" ht="15" x14ac:dyDescent="0.25">
      <c r="A1889"/>
      <c r="B1889"/>
      <c r="C1889"/>
      <c r="D1889"/>
      <c r="E1889"/>
      <c r="F1889"/>
    </row>
    <row r="1890" spans="1:6" ht="15" x14ac:dyDescent="0.25">
      <c r="A1890"/>
      <c r="B1890"/>
      <c r="C1890"/>
      <c r="D1890"/>
      <c r="E1890"/>
      <c r="F1890"/>
    </row>
    <row r="1891" spans="1:6" ht="15" x14ac:dyDescent="0.25">
      <c r="A1891"/>
      <c r="B1891"/>
      <c r="C1891"/>
      <c r="D1891"/>
      <c r="E1891"/>
      <c r="F1891"/>
    </row>
    <row r="1892" spans="1:6" ht="15" x14ac:dyDescent="0.25">
      <c r="A1892"/>
      <c r="B1892"/>
      <c r="C1892"/>
      <c r="D1892"/>
      <c r="E1892"/>
      <c r="F1892"/>
    </row>
    <row r="1893" spans="1:6" ht="15" x14ac:dyDescent="0.25">
      <c r="A1893"/>
      <c r="B1893"/>
      <c r="C1893"/>
      <c r="D1893"/>
      <c r="E1893"/>
      <c r="F1893"/>
    </row>
    <row r="1894" spans="1:6" ht="15" x14ac:dyDescent="0.25">
      <c r="A1894"/>
      <c r="B1894"/>
      <c r="C1894"/>
      <c r="D1894"/>
      <c r="E1894"/>
      <c r="F1894"/>
    </row>
    <row r="1895" spans="1:6" ht="15" x14ac:dyDescent="0.25">
      <c r="A1895"/>
      <c r="B1895"/>
      <c r="C1895"/>
      <c r="D1895"/>
      <c r="E1895"/>
      <c r="F1895"/>
    </row>
    <row r="1896" spans="1:6" ht="15" x14ac:dyDescent="0.25">
      <c r="A1896"/>
      <c r="B1896"/>
      <c r="C1896"/>
      <c r="D1896"/>
      <c r="E1896"/>
      <c r="F1896"/>
    </row>
    <row r="1897" spans="1:6" ht="15" x14ac:dyDescent="0.25">
      <c r="A1897"/>
      <c r="B1897"/>
      <c r="C1897"/>
      <c r="D1897"/>
      <c r="E1897"/>
      <c r="F1897"/>
    </row>
    <row r="1898" spans="1:6" ht="15" x14ac:dyDescent="0.25">
      <c r="A1898"/>
      <c r="B1898"/>
      <c r="C1898"/>
      <c r="D1898"/>
      <c r="E1898"/>
      <c r="F1898"/>
    </row>
    <row r="1899" spans="1:6" ht="15" x14ac:dyDescent="0.25">
      <c r="A1899"/>
      <c r="B1899"/>
      <c r="C1899"/>
      <c r="D1899"/>
      <c r="E1899"/>
      <c r="F1899"/>
    </row>
    <row r="1900" spans="1:6" ht="15" x14ac:dyDescent="0.25">
      <c r="A1900"/>
      <c r="B1900"/>
      <c r="C1900"/>
      <c r="D1900"/>
      <c r="E1900"/>
      <c r="F1900"/>
    </row>
    <row r="1901" spans="1:6" ht="15" x14ac:dyDescent="0.25">
      <c r="A1901"/>
      <c r="B1901"/>
      <c r="C1901"/>
      <c r="D1901"/>
      <c r="E1901"/>
      <c r="F1901"/>
    </row>
    <row r="1902" spans="1:6" ht="15" x14ac:dyDescent="0.25">
      <c r="A1902"/>
      <c r="B1902"/>
      <c r="C1902"/>
      <c r="D1902"/>
      <c r="E1902"/>
      <c r="F1902"/>
    </row>
    <row r="1903" spans="1:6" ht="15" x14ac:dyDescent="0.25">
      <c r="A1903"/>
      <c r="B1903"/>
      <c r="C1903"/>
      <c r="D1903"/>
      <c r="E1903"/>
      <c r="F1903"/>
    </row>
    <row r="1904" spans="1:6" ht="15" x14ac:dyDescent="0.25">
      <c r="A1904"/>
      <c r="B1904"/>
      <c r="C1904"/>
      <c r="D1904"/>
      <c r="E1904"/>
      <c r="F1904"/>
    </row>
    <row r="1905" spans="1:6" ht="15" x14ac:dyDescent="0.25">
      <c r="A1905"/>
      <c r="B1905"/>
      <c r="C1905"/>
      <c r="D1905"/>
      <c r="E1905"/>
      <c r="F1905"/>
    </row>
    <row r="1906" spans="1:6" ht="15" x14ac:dyDescent="0.25">
      <c r="A1906"/>
      <c r="B1906"/>
      <c r="C1906"/>
      <c r="D1906"/>
      <c r="E1906"/>
      <c r="F1906"/>
    </row>
    <row r="1907" spans="1:6" ht="15" x14ac:dyDescent="0.25">
      <c r="A1907"/>
      <c r="B1907"/>
      <c r="C1907"/>
      <c r="D1907"/>
      <c r="E1907"/>
      <c r="F1907"/>
    </row>
    <row r="1908" spans="1:6" ht="15" x14ac:dyDescent="0.25">
      <c r="A1908"/>
      <c r="B1908"/>
      <c r="C1908"/>
      <c r="D1908"/>
      <c r="E1908"/>
      <c r="F1908"/>
    </row>
    <row r="1909" spans="1:6" ht="15" x14ac:dyDescent="0.25">
      <c r="A1909"/>
      <c r="B1909"/>
      <c r="C1909"/>
      <c r="D1909"/>
      <c r="E1909"/>
      <c r="F1909"/>
    </row>
    <row r="1910" spans="1:6" ht="15" x14ac:dyDescent="0.25">
      <c r="A1910"/>
      <c r="B1910"/>
      <c r="C1910"/>
      <c r="D1910"/>
      <c r="E1910"/>
      <c r="F1910"/>
    </row>
    <row r="1911" spans="1:6" ht="15" x14ac:dyDescent="0.25">
      <c r="A1911"/>
      <c r="B1911"/>
      <c r="C1911"/>
      <c r="D1911"/>
      <c r="E1911"/>
      <c r="F1911"/>
    </row>
    <row r="1912" spans="1:6" ht="15" x14ac:dyDescent="0.25">
      <c r="A1912"/>
      <c r="B1912"/>
      <c r="C1912"/>
      <c r="D1912"/>
      <c r="E1912"/>
      <c r="F1912"/>
    </row>
    <row r="1913" spans="1:6" ht="15" x14ac:dyDescent="0.25">
      <c r="A1913"/>
      <c r="B1913"/>
      <c r="C1913"/>
      <c r="D1913"/>
      <c r="E1913"/>
      <c r="F1913"/>
    </row>
    <row r="1914" spans="1:6" ht="15" x14ac:dyDescent="0.25">
      <c r="A1914"/>
      <c r="B1914"/>
      <c r="C1914"/>
      <c r="D1914"/>
      <c r="E1914"/>
      <c r="F1914"/>
    </row>
    <row r="1915" spans="1:6" ht="15" x14ac:dyDescent="0.25">
      <c r="A1915"/>
      <c r="B1915"/>
      <c r="C1915"/>
      <c r="D1915"/>
      <c r="E1915"/>
      <c r="F1915"/>
    </row>
    <row r="1916" spans="1:6" ht="15" x14ac:dyDescent="0.25">
      <c r="A1916"/>
      <c r="B1916"/>
      <c r="C1916"/>
      <c r="D1916"/>
      <c r="E1916"/>
      <c r="F1916"/>
    </row>
    <row r="1917" spans="1:6" ht="15" x14ac:dyDescent="0.25">
      <c r="A1917"/>
      <c r="B1917"/>
      <c r="C1917"/>
      <c r="D1917"/>
      <c r="E1917"/>
      <c r="F1917"/>
    </row>
    <row r="1918" spans="1:6" ht="15" x14ac:dyDescent="0.25">
      <c r="A1918"/>
      <c r="B1918"/>
      <c r="C1918"/>
      <c r="D1918"/>
      <c r="E1918"/>
      <c r="F1918"/>
    </row>
    <row r="1919" spans="1:6" ht="15" x14ac:dyDescent="0.25">
      <c r="A1919"/>
      <c r="B1919"/>
      <c r="C1919"/>
      <c r="D1919"/>
      <c r="E1919"/>
      <c r="F1919"/>
    </row>
    <row r="1920" spans="1:6" ht="15" x14ac:dyDescent="0.25">
      <c r="A1920"/>
      <c r="B1920"/>
      <c r="C1920"/>
      <c r="D1920"/>
      <c r="E1920"/>
      <c r="F1920"/>
    </row>
    <row r="1921" spans="1:6" ht="15" x14ac:dyDescent="0.25">
      <c r="A1921"/>
      <c r="B1921"/>
      <c r="C1921"/>
      <c r="D1921"/>
      <c r="E1921"/>
      <c r="F1921"/>
    </row>
    <row r="1922" spans="1:6" ht="15" x14ac:dyDescent="0.25">
      <c r="A1922"/>
      <c r="B1922"/>
      <c r="C1922"/>
      <c r="D1922"/>
      <c r="E1922"/>
      <c r="F1922"/>
    </row>
    <row r="1923" spans="1:6" ht="15" x14ac:dyDescent="0.25">
      <c r="A1923"/>
      <c r="B1923"/>
      <c r="C1923"/>
      <c r="D1923"/>
      <c r="E1923"/>
      <c r="F1923"/>
    </row>
    <row r="1924" spans="1:6" ht="15" x14ac:dyDescent="0.25">
      <c r="A1924"/>
      <c r="B1924"/>
      <c r="C1924"/>
      <c r="D1924"/>
      <c r="E1924"/>
      <c r="F1924"/>
    </row>
    <row r="1925" spans="1:6" ht="15" x14ac:dyDescent="0.25">
      <c r="A1925"/>
      <c r="B1925"/>
      <c r="C1925"/>
      <c r="D1925"/>
      <c r="E1925"/>
      <c r="F1925"/>
    </row>
    <row r="1926" spans="1:6" ht="15" x14ac:dyDescent="0.25">
      <c r="A1926"/>
      <c r="B1926"/>
      <c r="C1926"/>
      <c r="D1926"/>
      <c r="E1926"/>
      <c r="F1926"/>
    </row>
    <row r="1927" spans="1:6" ht="15" x14ac:dyDescent="0.25">
      <c r="A1927"/>
      <c r="B1927"/>
      <c r="C1927"/>
      <c r="D1927"/>
      <c r="E1927"/>
      <c r="F1927"/>
    </row>
    <row r="1928" spans="1:6" ht="15" x14ac:dyDescent="0.25">
      <c r="A1928"/>
      <c r="B1928"/>
      <c r="C1928"/>
      <c r="D1928"/>
      <c r="E1928"/>
      <c r="F1928"/>
    </row>
    <row r="1929" spans="1:6" ht="15" x14ac:dyDescent="0.25">
      <c r="A1929"/>
      <c r="B1929"/>
      <c r="C1929"/>
      <c r="D1929"/>
      <c r="E1929"/>
      <c r="F1929"/>
    </row>
    <row r="1930" spans="1:6" ht="15" x14ac:dyDescent="0.25">
      <c r="A1930"/>
      <c r="B1930"/>
      <c r="C1930"/>
      <c r="D1930"/>
      <c r="E1930"/>
      <c r="F1930"/>
    </row>
    <row r="1931" spans="1:6" ht="15" x14ac:dyDescent="0.25">
      <c r="A1931"/>
      <c r="B1931"/>
      <c r="C1931"/>
      <c r="D1931"/>
      <c r="E1931"/>
      <c r="F1931"/>
    </row>
    <row r="1932" spans="1:6" ht="15" x14ac:dyDescent="0.25">
      <c r="A1932"/>
      <c r="B1932"/>
      <c r="C1932"/>
      <c r="D1932"/>
      <c r="E1932"/>
      <c r="F1932"/>
    </row>
    <row r="1933" spans="1:6" ht="15" x14ac:dyDescent="0.25">
      <c r="A1933"/>
      <c r="B1933"/>
      <c r="C1933"/>
      <c r="D1933"/>
      <c r="E1933"/>
      <c r="F1933"/>
    </row>
    <row r="1934" spans="1:6" ht="15" x14ac:dyDescent="0.25">
      <c r="A1934"/>
      <c r="B1934"/>
      <c r="C1934"/>
      <c r="D1934"/>
      <c r="E1934"/>
      <c r="F1934"/>
    </row>
    <row r="1935" spans="1:6" ht="15" x14ac:dyDescent="0.25">
      <c r="A1935"/>
      <c r="B1935"/>
      <c r="C1935"/>
      <c r="D1935"/>
      <c r="E1935"/>
      <c r="F1935"/>
    </row>
    <row r="1936" spans="1:6" ht="15" x14ac:dyDescent="0.25">
      <c r="A1936"/>
      <c r="B1936"/>
      <c r="C1936"/>
      <c r="D1936"/>
      <c r="E1936"/>
      <c r="F1936"/>
    </row>
    <row r="1937" spans="1:6" ht="15" x14ac:dyDescent="0.25">
      <c r="A1937"/>
      <c r="B1937"/>
      <c r="C1937"/>
      <c r="D1937"/>
      <c r="E1937"/>
      <c r="F1937"/>
    </row>
    <row r="1938" spans="1:6" ht="15" x14ac:dyDescent="0.25">
      <c r="A1938"/>
      <c r="B1938"/>
      <c r="C1938"/>
      <c r="D1938"/>
      <c r="E1938"/>
      <c r="F1938"/>
    </row>
    <row r="1939" spans="1:6" ht="15" x14ac:dyDescent="0.25">
      <c r="A1939"/>
      <c r="B1939"/>
      <c r="C1939"/>
      <c r="D1939"/>
      <c r="E1939"/>
      <c r="F1939"/>
    </row>
    <row r="1940" spans="1:6" ht="15" x14ac:dyDescent="0.25">
      <c r="A1940"/>
      <c r="B1940"/>
      <c r="C1940"/>
      <c r="D1940"/>
      <c r="E1940"/>
      <c r="F1940"/>
    </row>
    <row r="1941" spans="1:6" ht="15" x14ac:dyDescent="0.25">
      <c r="A1941"/>
      <c r="B1941"/>
      <c r="C1941"/>
      <c r="D1941"/>
      <c r="E1941"/>
      <c r="F1941"/>
    </row>
    <row r="1942" spans="1:6" ht="15" x14ac:dyDescent="0.25">
      <c r="A1942"/>
      <c r="B1942"/>
      <c r="C1942"/>
      <c r="D1942"/>
      <c r="E1942"/>
      <c r="F1942"/>
    </row>
    <row r="1943" spans="1:6" ht="15" x14ac:dyDescent="0.25">
      <c r="A1943"/>
      <c r="B1943"/>
      <c r="C1943"/>
      <c r="D1943"/>
      <c r="E1943"/>
      <c r="F1943"/>
    </row>
    <row r="1944" spans="1:6" ht="15" x14ac:dyDescent="0.25">
      <c r="A1944"/>
      <c r="B1944"/>
      <c r="C1944"/>
      <c r="D1944"/>
      <c r="E1944"/>
      <c r="F1944"/>
    </row>
    <row r="1945" spans="1:6" ht="15" x14ac:dyDescent="0.25">
      <c r="A1945"/>
      <c r="B1945"/>
      <c r="C1945"/>
      <c r="D1945"/>
      <c r="E1945"/>
      <c r="F1945"/>
    </row>
    <row r="1946" spans="1:6" ht="15" x14ac:dyDescent="0.25">
      <c r="A1946"/>
      <c r="B1946"/>
      <c r="C1946"/>
      <c r="D1946"/>
      <c r="E1946"/>
      <c r="F1946"/>
    </row>
    <row r="1947" spans="1:6" ht="15" x14ac:dyDescent="0.25">
      <c r="A1947"/>
      <c r="B1947"/>
      <c r="C1947"/>
      <c r="D1947"/>
      <c r="E1947"/>
      <c r="F1947"/>
    </row>
    <row r="1948" spans="1:6" ht="15" x14ac:dyDescent="0.25">
      <c r="A1948"/>
      <c r="B1948"/>
      <c r="C1948"/>
      <c r="D1948"/>
      <c r="E1948"/>
      <c r="F1948"/>
    </row>
    <row r="1949" spans="1:6" ht="15" x14ac:dyDescent="0.25">
      <c r="A1949"/>
      <c r="B1949"/>
      <c r="C1949"/>
      <c r="D1949"/>
      <c r="E1949"/>
      <c r="F1949"/>
    </row>
    <row r="1950" spans="1:6" ht="15" x14ac:dyDescent="0.25">
      <c r="A1950"/>
      <c r="B1950"/>
      <c r="C1950"/>
      <c r="D1950"/>
      <c r="E1950"/>
      <c r="F1950"/>
    </row>
    <row r="1951" spans="1:6" ht="15" x14ac:dyDescent="0.25">
      <c r="A1951"/>
      <c r="B1951"/>
      <c r="C1951"/>
      <c r="D1951"/>
      <c r="E1951"/>
      <c r="F1951"/>
    </row>
    <row r="1952" spans="1:6" ht="15" x14ac:dyDescent="0.25">
      <c r="A1952"/>
      <c r="B1952"/>
      <c r="C1952"/>
      <c r="D1952"/>
      <c r="E1952"/>
      <c r="F1952"/>
    </row>
    <row r="1953" spans="1:6" ht="15" x14ac:dyDescent="0.25">
      <c r="A1953"/>
      <c r="B1953"/>
      <c r="C1953"/>
      <c r="D1953"/>
      <c r="E1953"/>
      <c r="F1953"/>
    </row>
    <row r="1954" spans="1:6" ht="15" x14ac:dyDescent="0.25">
      <c r="A1954"/>
      <c r="B1954"/>
      <c r="C1954"/>
      <c r="D1954"/>
      <c r="E1954"/>
      <c r="F1954"/>
    </row>
    <row r="1955" spans="1:6" ht="15" x14ac:dyDescent="0.25">
      <c r="A1955"/>
      <c r="B1955"/>
      <c r="C1955"/>
      <c r="D1955"/>
      <c r="E1955"/>
      <c r="F1955"/>
    </row>
    <row r="1956" spans="1:6" ht="15" x14ac:dyDescent="0.25">
      <c r="A1956"/>
      <c r="B1956"/>
      <c r="C1956"/>
      <c r="D1956"/>
      <c r="E1956"/>
      <c r="F1956"/>
    </row>
    <row r="1957" spans="1:6" ht="15" x14ac:dyDescent="0.25">
      <c r="A1957"/>
      <c r="B1957"/>
      <c r="C1957"/>
      <c r="D1957"/>
      <c r="E1957"/>
      <c r="F1957"/>
    </row>
    <row r="1958" spans="1:6" ht="15" x14ac:dyDescent="0.25">
      <c r="A1958"/>
      <c r="B1958"/>
      <c r="C1958"/>
      <c r="D1958"/>
      <c r="E1958"/>
      <c r="F1958"/>
    </row>
    <row r="1959" spans="1:6" ht="15" x14ac:dyDescent="0.25">
      <c r="A1959"/>
      <c r="B1959"/>
      <c r="C1959"/>
      <c r="D1959"/>
      <c r="E1959"/>
      <c r="F1959"/>
    </row>
    <row r="1960" spans="1:6" ht="15" x14ac:dyDescent="0.25">
      <c r="A1960"/>
      <c r="B1960"/>
      <c r="C1960"/>
      <c r="D1960"/>
      <c r="E1960"/>
      <c r="F1960"/>
    </row>
    <row r="1961" spans="1:6" ht="15" x14ac:dyDescent="0.25">
      <c r="A1961"/>
      <c r="B1961"/>
      <c r="C1961"/>
      <c r="D1961"/>
      <c r="E1961"/>
      <c r="F1961"/>
    </row>
    <row r="1962" spans="1:6" ht="15" x14ac:dyDescent="0.25">
      <c r="A1962"/>
      <c r="B1962"/>
      <c r="C1962"/>
      <c r="D1962"/>
      <c r="E1962"/>
      <c r="F1962"/>
    </row>
    <row r="1963" spans="1:6" ht="15" x14ac:dyDescent="0.25">
      <c r="A1963"/>
      <c r="B1963"/>
      <c r="C1963"/>
      <c r="D1963"/>
      <c r="E1963"/>
      <c r="F1963"/>
    </row>
    <row r="1964" spans="1:6" ht="15" x14ac:dyDescent="0.25">
      <c r="A1964"/>
      <c r="B1964"/>
      <c r="C1964"/>
      <c r="D1964"/>
      <c r="E1964"/>
      <c r="F1964"/>
    </row>
    <row r="1965" spans="1:6" ht="15" x14ac:dyDescent="0.25">
      <c r="A1965"/>
      <c r="B1965"/>
      <c r="C1965"/>
      <c r="D1965"/>
      <c r="E1965"/>
      <c r="F1965"/>
    </row>
    <row r="1966" spans="1:6" ht="15" x14ac:dyDescent="0.25">
      <c r="A1966"/>
      <c r="B1966"/>
      <c r="C1966"/>
      <c r="D1966"/>
      <c r="E1966"/>
      <c r="F1966"/>
    </row>
    <row r="1967" spans="1:6" ht="15" x14ac:dyDescent="0.25">
      <c r="A1967"/>
      <c r="B1967"/>
      <c r="C1967"/>
      <c r="D1967"/>
      <c r="E1967"/>
      <c r="F1967"/>
    </row>
    <row r="1968" spans="1:6" ht="15" x14ac:dyDescent="0.25">
      <c r="A1968"/>
      <c r="B1968"/>
      <c r="C1968"/>
      <c r="D1968"/>
      <c r="E1968"/>
      <c r="F1968"/>
    </row>
    <row r="1969" spans="1:6" ht="15" x14ac:dyDescent="0.25">
      <c r="A1969"/>
      <c r="B1969"/>
      <c r="C1969"/>
      <c r="D1969"/>
      <c r="E1969"/>
      <c r="F1969"/>
    </row>
    <row r="1970" spans="1:6" ht="15" x14ac:dyDescent="0.25">
      <c r="A1970"/>
      <c r="B1970"/>
      <c r="C1970"/>
      <c r="D1970"/>
      <c r="E1970"/>
      <c r="F1970"/>
    </row>
    <row r="1971" spans="1:6" ht="15" x14ac:dyDescent="0.25">
      <c r="A1971"/>
      <c r="B1971"/>
      <c r="C1971"/>
      <c r="D1971"/>
      <c r="E1971"/>
      <c r="F1971"/>
    </row>
    <row r="1972" spans="1:6" ht="15" x14ac:dyDescent="0.25">
      <c r="A1972"/>
      <c r="B1972"/>
      <c r="C1972"/>
      <c r="D1972"/>
      <c r="E1972"/>
      <c r="F1972"/>
    </row>
    <row r="1973" spans="1:6" ht="15" x14ac:dyDescent="0.25">
      <c r="A1973"/>
      <c r="B1973"/>
      <c r="C1973"/>
      <c r="D1973"/>
      <c r="E1973"/>
      <c r="F1973"/>
    </row>
    <row r="1974" spans="1:6" ht="15" x14ac:dyDescent="0.25">
      <c r="A1974"/>
      <c r="B1974"/>
      <c r="C1974"/>
      <c r="D1974"/>
      <c r="E1974"/>
      <c r="F1974"/>
    </row>
    <row r="1975" spans="1:6" ht="15" x14ac:dyDescent="0.25">
      <c r="A1975"/>
      <c r="B1975"/>
      <c r="C1975"/>
      <c r="D1975"/>
      <c r="E1975"/>
      <c r="F1975"/>
    </row>
    <row r="1976" spans="1:6" ht="15" x14ac:dyDescent="0.25">
      <c r="A1976"/>
      <c r="B1976"/>
      <c r="C1976"/>
      <c r="D1976"/>
      <c r="E1976"/>
      <c r="F1976"/>
    </row>
    <row r="1977" spans="1:6" ht="15" x14ac:dyDescent="0.25">
      <c r="A1977"/>
      <c r="B1977"/>
      <c r="C1977"/>
      <c r="D1977"/>
      <c r="E1977"/>
      <c r="F1977"/>
    </row>
    <row r="1978" spans="1:6" ht="15" x14ac:dyDescent="0.25">
      <c r="A1978"/>
      <c r="B1978"/>
      <c r="C1978"/>
      <c r="D1978"/>
      <c r="E1978"/>
      <c r="F1978"/>
    </row>
    <row r="1979" spans="1:6" ht="15" x14ac:dyDescent="0.25">
      <c r="A1979"/>
      <c r="B1979"/>
      <c r="C1979"/>
      <c r="D1979"/>
      <c r="E1979"/>
      <c r="F1979"/>
    </row>
    <row r="1980" spans="1:6" ht="15" x14ac:dyDescent="0.25">
      <c r="A1980"/>
      <c r="B1980"/>
      <c r="C1980"/>
      <c r="D1980"/>
      <c r="E1980"/>
      <c r="F1980"/>
    </row>
    <row r="1981" spans="1:6" ht="15" x14ac:dyDescent="0.25">
      <c r="A1981"/>
      <c r="B1981"/>
      <c r="C1981"/>
      <c r="D1981"/>
      <c r="E1981"/>
      <c r="F1981"/>
    </row>
    <row r="1982" spans="1:6" ht="15" x14ac:dyDescent="0.25">
      <c r="A1982"/>
      <c r="B1982"/>
      <c r="C1982"/>
      <c r="D1982"/>
      <c r="E1982"/>
      <c r="F1982"/>
    </row>
    <row r="1983" spans="1:6" ht="15" x14ac:dyDescent="0.25">
      <c r="A1983"/>
      <c r="B1983"/>
      <c r="C1983"/>
      <c r="D1983"/>
      <c r="E1983"/>
      <c r="F1983"/>
    </row>
    <row r="1984" spans="1:6" ht="15" x14ac:dyDescent="0.25">
      <c r="A1984"/>
      <c r="B1984"/>
      <c r="C1984"/>
      <c r="D1984"/>
      <c r="E1984"/>
      <c r="F1984"/>
    </row>
    <row r="1985" spans="1:6" ht="15" x14ac:dyDescent="0.25">
      <c r="A1985"/>
      <c r="B1985"/>
      <c r="C1985"/>
      <c r="D1985"/>
      <c r="E1985"/>
      <c r="F1985"/>
    </row>
    <row r="1986" spans="1:6" ht="15" x14ac:dyDescent="0.25">
      <c r="A1986"/>
      <c r="B1986"/>
      <c r="C1986"/>
      <c r="D1986"/>
      <c r="E1986"/>
      <c r="F1986"/>
    </row>
    <row r="1987" spans="1:6" ht="15" x14ac:dyDescent="0.25">
      <c r="A1987"/>
      <c r="B1987"/>
      <c r="C1987"/>
      <c r="D1987"/>
      <c r="E1987"/>
      <c r="F1987"/>
    </row>
    <row r="1988" spans="1:6" ht="15" x14ac:dyDescent="0.25">
      <c r="A1988"/>
      <c r="B1988"/>
      <c r="C1988"/>
      <c r="D1988"/>
      <c r="E1988"/>
      <c r="F1988"/>
    </row>
    <row r="1989" spans="1:6" ht="15" x14ac:dyDescent="0.25">
      <c r="A1989"/>
      <c r="B1989"/>
      <c r="C1989"/>
      <c r="D1989"/>
      <c r="E1989"/>
      <c r="F1989"/>
    </row>
    <row r="1990" spans="1:6" ht="15" x14ac:dyDescent="0.25">
      <c r="A1990"/>
      <c r="B1990"/>
      <c r="C1990"/>
      <c r="D1990"/>
      <c r="E1990"/>
      <c r="F1990"/>
    </row>
    <row r="1991" spans="1:6" ht="15" x14ac:dyDescent="0.25">
      <c r="A1991"/>
      <c r="B1991"/>
      <c r="C1991"/>
      <c r="D1991"/>
      <c r="E1991"/>
      <c r="F1991"/>
    </row>
    <row r="1992" spans="1:6" ht="15" x14ac:dyDescent="0.25">
      <c r="A1992"/>
      <c r="B1992"/>
      <c r="C1992"/>
      <c r="D1992"/>
      <c r="E1992"/>
      <c r="F1992"/>
    </row>
    <row r="1993" spans="1:6" ht="15" x14ac:dyDescent="0.25">
      <c r="A1993"/>
      <c r="B1993"/>
      <c r="C1993"/>
      <c r="D1993"/>
      <c r="E1993"/>
      <c r="F1993"/>
    </row>
    <row r="1994" spans="1:6" ht="15" x14ac:dyDescent="0.25">
      <c r="A1994"/>
      <c r="B1994"/>
      <c r="C1994"/>
      <c r="D1994"/>
      <c r="E1994"/>
      <c r="F1994"/>
    </row>
    <row r="1995" spans="1:6" ht="15" x14ac:dyDescent="0.25">
      <c r="A1995"/>
      <c r="B1995"/>
      <c r="C1995"/>
      <c r="D1995"/>
      <c r="E1995"/>
      <c r="F1995"/>
    </row>
    <row r="1996" spans="1:6" ht="15" x14ac:dyDescent="0.25">
      <c r="A1996"/>
      <c r="B1996"/>
      <c r="C1996"/>
      <c r="D1996"/>
      <c r="E1996"/>
      <c r="F1996"/>
    </row>
    <row r="1997" spans="1:6" ht="15" x14ac:dyDescent="0.25">
      <c r="A1997"/>
      <c r="B1997"/>
      <c r="C1997"/>
      <c r="D1997"/>
      <c r="E1997"/>
      <c r="F1997"/>
    </row>
    <row r="1998" spans="1:6" ht="15" x14ac:dyDescent="0.25">
      <c r="A1998"/>
      <c r="B1998"/>
      <c r="C1998"/>
      <c r="D1998"/>
      <c r="E1998"/>
      <c r="F1998"/>
    </row>
  </sheetData>
  <sortState ref="A1:I1998">
    <sortCondition ref="B1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98"/>
  <sheetViews>
    <sheetView zoomScale="160" zoomScaleNormal="160" workbookViewId="0">
      <selection activeCell="D11" sqref="D11"/>
    </sheetView>
  </sheetViews>
  <sheetFormatPr defaultRowHeight="14.25" x14ac:dyDescent="0.2"/>
  <cols>
    <col min="1" max="1" width="4.42578125" style="2" customWidth="1"/>
    <col min="2" max="2" width="6.28515625" style="2" customWidth="1"/>
    <col min="3" max="3" width="12.7109375" style="2" customWidth="1"/>
    <col min="4" max="4" width="28.28515625" style="2" customWidth="1"/>
    <col min="5" max="5" width="6" style="2" customWidth="1"/>
    <col min="6" max="6" width="15.85546875" style="2" customWidth="1"/>
    <col min="7" max="7" width="13.7109375" style="2" customWidth="1"/>
    <col min="8" max="9" width="7.5703125" style="2" customWidth="1"/>
    <col min="10" max="10" width="6.7109375" style="2" customWidth="1"/>
    <col min="11" max="11" width="5.42578125" style="2" customWidth="1"/>
    <col min="12" max="16384" width="9.140625" style="2"/>
  </cols>
  <sheetData>
    <row r="1" spans="1:13" ht="15" x14ac:dyDescent="0.25">
      <c r="A1" s="2">
        <v>1</v>
      </c>
      <c r="B1" s="7" t="s">
        <v>11</v>
      </c>
      <c r="C1" s="5" t="s">
        <v>111</v>
      </c>
      <c r="D1" s="5" t="str">
        <f t="shared" ref="D1:D32" si="0">C1&amp;" | "&amp;J1&amp;" -Votos"</f>
        <v>Aerolândia | 9 -Votos</v>
      </c>
      <c r="E1" s="7">
        <v>80</v>
      </c>
      <c r="F1" s="8">
        <v>-3.7731491165125499</v>
      </c>
      <c r="G1" s="8">
        <v>-38.514716985329301</v>
      </c>
      <c r="H1" s="2" t="str">
        <f t="shared" ref="H1:H32" si="1">B1&amp;"-"&amp;I1&amp;" Votos"</f>
        <v>SER 6-0 Votos</v>
      </c>
      <c r="I1" s="2">
        <v>0</v>
      </c>
      <c r="J1">
        <v>9</v>
      </c>
      <c r="L1"/>
      <c r="M1"/>
    </row>
    <row r="2" spans="1:13" ht="15" x14ac:dyDescent="0.25">
      <c r="A2" s="2">
        <f t="shared" ref="A2:A33" si="2">A1+1</f>
        <v>2</v>
      </c>
      <c r="B2" s="7" t="s">
        <v>15</v>
      </c>
      <c r="C2" s="5" t="s">
        <v>112</v>
      </c>
      <c r="D2" s="5" t="str">
        <f t="shared" si="0"/>
        <v>Aeroporto | 1 -Votos</v>
      </c>
      <c r="E2" s="7">
        <v>118</v>
      </c>
      <c r="F2" s="8">
        <v>-3.78328157008503</v>
      </c>
      <c r="G2" s="8">
        <v>-38.531026819607298</v>
      </c>
      <c r="H2" s="2" t="str">
        <f t="shared" si="1"/>
        <v>SER 4-0 Votos</v>
      </c>
      <c r="I2" s="2">
        <v>0</v>
      </c>
      <c r="J2">
        <v>1</v>
      </c>
      <c r="L2"/>
      <c r="M2"/>
    </row>
    <row r="3" spans="1:13" ht="15" x14ac:dyDescent="0.25">
      <c r="A3" s="2">
        <f t="shared" si="2"/>
        <v>3</v>
      </c>
      <c r="B3" s="7" t="s">
        <v>10</v>
      </c>
      <c r="C3" s="7" t="s">
        <v>22</v>
      </c>
      <c r="D3" s="5" t="str">
        <f t="shared" si="0"/>
        <v>Aldeota | 66 -Votos</v>
      </c>
      <c r="E3" s="7">
        <v>1</v>
      </c>
      <c r="F3" s="8">
        <v>-3.7339856484838898</v>
      </c>
      <c r="G3" s="8">
        <v>-38.512272533062301</v>
      </c>
      <c r="H3" s="2" t="str">
        <f t="shared" si="1"/>
        <v>SER 2-0 Votos</v>
      </c>
      <c r="I3" s="2">
        <v>0</v>
      </c>
      <c r="J3">
        <v>66</v>
      </c>
      <c r="L3"/>
      <c r="M3"/>
    </row>
    <row r="4" spans="1:13" ht="15" x14ac:dyDescent="0.25">
      <c r="A4" s="2">
        <f t="shared" si="2"/>
        <v>4</v>
      </c>
      <c r="B4" s="7" t="s">
        <v>10</v>
      </c>
      <c r="C4" s="5" t="s">
        <v>113</v>
      </c>
      <c r="D4" s="5" t="str">
        <f t="shared" si="0"/>
        <v>Alto da Balança | 23 -Votos</v>
      </c>
      <c r="E4" s="7">
        <v>80</v>
      </c>
      <c r="F4" s="8">
        <v>-3.76511099022437</v>
      </c>
      <c r="G4" s="8">
        <v>-38.514011814644199</v>
      </c>
      <c r="H4" s="2" t="str">
        <f t="shared" si="1"/>
        <v>SER 2-0 Votos</v>
      </c>
      <c r="I4" s="2">
        <v>0</v>
      </c>
      <c r="J4">
        <v>23</v>
      </c>
      <c r="L4"/>
      <c r="M4"/>
    </row>
    <row r="5" spans="1:13" ht="15" x14ac:dyDescent="0.25">
      <c r="A5" s="2">
        <f t="shared" si="2"/>
        <v>5</v>
      </c>
      <c r="B5" s="7" t="s">
        <v>14</v>
      </c>
      <c r="C5" s="7" t="s">
        <v>23</v>
      </c>
      <c r="D5" s="5" t="str">
        <f t="shared" si="0"/>
        <v>Alvaro Weyne | 149 -Votos</v>
      </c>
      <c r="E5" s="7">
        <v>82</v>
      </c>
      <c r="F5" s="8">
        <v>-3.7158519544419502</v>
      </c>
      <c r="G5" s="8">
        <v>-38.572758193784402</v>
      </c>
      <c r="H5" s="2" t="str">
        <f t="shared" si="1"/>
        <v>SER 1-0 Votos</v>
      </c>
      <c r="I5" s="2">
        <v>0</v>
      </c>
      <c r="J5">
        <v>149</v>
      </c>
      <c r="L5"/>
      <c r="M5"/>
    </row>
    <row r="6" spans="1:13" ht="15" x14ac:dyDescent="0.25">
      <c r="A6" s="2">
        <f t="shared" si="2"/>
        <v>6</v>
      </c>
      <c r="B6" s="7" t="s">
        <v>17</v>
      </c>
      <c r="C6" s="7" t="s">
        <v>24</v>
      </c>
      <c r="D6" s="5" t="str">
        <f t="shared" si="0"/>
        <v>Amadeu Furtado | 10 -Votos</v>
      </c>
      <c r="E6" s="7">
        <v>113</v>
      </c>
      <c r="F6" s="8">
        <v>-3.7444480859003999</v>
      </c>
      <c r="G6" s="8">
        <v>-38.557486657117401</v>
      </c>
      <c r="H6" s="2" t="str">
        <f t="shared" si="1"/>
        <v>SER 3-0 Votos</v>
      </c>
      <c r="I6" s="2">
        <v>0</v>
      </c>
      <c r="J6">
        <v>10</v>
      </c>
      <c r="L6"/>
      <c r="M6"/>
    </row>
    <row r="7" spans="1:13" ht="15" x14ac:dyDescent="0.25">
      <c r="A7" s="2">
        <f t="shared" si="2"/>
        <v>7</v>
      </c>
      <c r="B7" s="7" t="s">
        <v>16</v>
      </c>
      <c r="C7" s="7" t="s">
        <v>70</v>
      </c>
      <c r="D7" s="5" t="str">
        <f t="shared" si="0"/>
        <v>Ancuri | 5 -Votos</v>
      </c>
      <c r="E7" s="7">
        <v>95</v>
      </c>
      <c r="F7" s="8">
        <v>-3.8648814584649198</v>
      </c>
      <c r="G7" s="8">
        <v>-38.5067770366255</v>
      </c>
      <c r="H7" s="2" t="str">
        <f t="shared" si="1"/>
        <v>SER 9-0 Votos</v>
      </c>
      <c r="I7" s="2">
        <v>0</v>
      </c>
      <c r="J7">
        <v>5</v>
      </c>
      <c r="L7"/>
      <c r="M7"/>
    </row>
    <row r="8" spans="1:13" ht="15" x14ac:dyDescent="0.25">
      <c r="A8" s="13">
        <f t="shared" si="2"/>
        <v>8</v>
      </c>
      <c r="B8" s="14" t="s">
        <v>17</v>
      </c>
      <c r="C8" s="14" t="s">
        <v>60</v>
      </c>
      <c r="D8" s="5" t="str">
        <f t="shared" si="0"/>
        <v>Antônio Bezerra | 52 -Votos</v>
      </c>
      <c r="E8" s="14">
        <v>85</v>
      </c>
      <c r="F8" s="15">
        <v>-3.7438599910555701</v>
      </c>
      <c r="G8" s="15">
        <v>-38.594170001002098</v>
      </c>
      <c r="H8" s="13" t="str">
        <f t="shared" si="1"/>
        <v>SER 3-0 Votos</v>
      </c>
      <c r="I8" s="13">
        <v>0</v>
      </c>
      <c r="J8">
        <v>52</v>
      </c>
      <c r="L8"/>
      <c r="M8"/>
    </row>
    <row r="9" spans="1:13" ht="15" x14ac:dyDescent="0.25">
      <c r="A9" s="2">
        <f t="shared" si="2"/>
        <v>9</v>
      </c>
      <c r="B9" s="7" t="s">
        <v>19</v>
      </c>
      <c r="C9" s="7" t="s">
        <v>139</v>
      </c>
      <c r="D9" s="5" t="str">
        <f t="shared" si="0"/>
        <v>Aracapé | 0 -Votos</v>
      </c>
      <c r="E9" s="7">
        <v>117</v>
      </c>
      <c r="F9" s="8">
        <v>-3.8318976001179301</v>
      </c>
      <c r="G9" s="8">
        <v>-38.586396530656202</v>
      </c>
      <c r="H9" s="2" t="str">
        <f t="shared" si="1"/>
        <v>SER 10-0 Votos</v>
      </c>
      <c r="I9" s="2">
        <v>0</v>
      </c>
      <c r="J9" s="8">
        <v>0</v>
      </c>
      <c r="L9"/>
      <c r="M9"/>
    </row>
    <row r="10" spans="1:13" ht="15" x14ac:dyDescent="0.25">
      <c r="A10" s="2">
        <f t="shared" si="2"/>
        <v>10</v>
      </c>
      <c r="B10" s="7" t="s">
        <v>18</v>
      </c>
      <c r="C10" s="7" t="s">
        <v>61</v>
      </c>
      <c r="D10" s="5" t="str">
        <f t="shared" si="0"/>
        <v>Autran Nunes | 18 -Votos</v>
      </c>
      <c r="E10" s="7">
        <v>85</v>
      </c>
      <c r="F10" s="8">
        <v>-3.7518792027974102</v>
      </c>
      <c r="G10" s="8">
        <v>-38.596604923459601</v>
      </c>
      <c r="H10" s="2" t="str">
        <f t="shared" si="1"/>
        <v>SER 11-0 Votos</v>
      </c>
      <c r="I10" s="2">
        <v>0</v>
      </c>
      <c r="J10">
        <v>18</v>
      </c>
      <c r="L10"/>
      <c r="M10"/>
    </row>
    <row r="11" spans="1:13" ht="15" x14ac:dyDescent="0.25">
      <c r="A11" s="2">
        <f t="shared" si="2"/>
        <v>11</v>
      </c>
      <c r="B11" s="7" t="s">
        <v>14</v>
      </c>
      <c r="C11" s="7" t="s">
        <v>26</v>
      </c>
      <c r="D11" s="5" t="str">
        <f t="shared" si="0"/>
        <v>Barra do Ceara | 273 -Votos</v>
      </c>
      <c r="E11" s="7">
        <v>114</v>
      </c>
      <c r="F11" s="8">
        <v>-3.7044707668351502</v>
      </c>
      <c r="G11" s="8">
        <v>-38.577290647687001</v>
      </c>
      <c r="H11" s="2" t="str">
        <f t="shared" si="1"/>
        <v>SER 1-0 Votos</v>
      </c>
      <c r="I11" s="2">
        <v>0</v>
      </c>
      <c r="J11">
        <v>273</v>
      </c>
      <c r="L11"/>
      <c r="M11"/>
    </row>
    <row r="12" spans="1:13" ht="15" x14ac:dyDescent="0.25">
      <c r="A12" s="2">
        <f t="shared" si="2"/>
        <v>12</v>
      </c>
      <c r="B12" s="7" t="s">
        <v>16</v>
      </c>
      <c r="C12" s="7" t="s">
        <v>71</v>
      </c>
      <c r="D12" s="5" t="str">
        <f t="shared" si="0"/>
        <v>Barroso | 40 -Votos</v>
      </c>
      <c r="E12" s="7">
        <v>95</v>
      </c>
      <c r="F12" s="8">
        <v>-3.8204455093400602</v>
      </c>
      <c r="G12" s="8">
        <v>-38.512645687979401</v>
      </c>
      <c r="H12" s="2" t="str">
        <f t="shared" si="1"/>
        <v>SER 9-0 Votos</v>
      </c>
      <c r="I12" s="2">
        <v>0</v>
      </c>
      <c r="J12">
        <v>40</v>
      </c>
      <c r="L12"/>
      <c r="M12"/>
    </row>
    <row r="13" spans="1:13" ht="15" x14ac:dyDescent="0.25">
      <c r="A13" s="2">
        <f t="shared" si="2"/>
        <v>13</v>
      </c>
      <c r="B13" s="7" t="s">
        <v>18</v>
      </c>
      <c r="C13" s="5" t="s">
        <v>114</v>
      </c>
      <c r="D13" s="5" t="str">
        <f t="shared" si="0"/>
        <v>Bela Vista | 54 -Votos</v>
      </c>
      <c r="E13" s="7">
        <v>83</v>
      </c>
      <c r="F13" s="8">
        <v>-3.75227870449759</v>
      </c>
      <c r="G13" s="8">
        <v>-38.561010002875797</v>
      </c>
      <c r="H13" s="2" t="str">
        <f t="shared" si="1"/>
        <v>SER 11-0 Votos</v>
      </c>
      <c r="I13" s="2">
        <v>0</v>
      </c>
      <c r="J13">
        <v>54</v>
      </c>
      <c r="L13"/>
      <c r="M13"/>
    </row>
    <row r="14" spans="1:13" ht="15" x14ac:dyDescent="0.25">
      <c r="A14" s="2">
        <f t="shared" si="2"/>
        <v>14</v>
      </c>
      <c r="B14" s="7" t="s">
        <v>15</v>
      </c>
      <c r="C14" s="7" t="s">
        <v>27</v>
      </c>
      <c r="D14" s="5" t="str">
        <f t="shared" si="0"/>
        <v>Benfica | 48 -Votos</v>
      </c>
      <c r="E14" s="7">
        <v>113</v>
      </c>
      <c r="F14" s="8">
        <v>-3.7435794004401002</v>
      </c>
      <c r="G14" s="8">
        <v>-38.536164699959699</v>
      </c>
      <c r="H14" s="2" t="str">
        <f t="shared" si="1"/>
        <v>SER 4-0 Votos</v>
      </c>
      <c r="I14" s="2">
        <v>0</v>
      </c>
      <c r="J14">
        <v>48</v>
      </c>
      <c r="L14"/>
      <c r="M14"/>
    </row>
    <row r="15" spans="1:13" ht="15" x14ac:dyDescent="0.25">
      <c r="A15" s="2">
        <f t="shared" si="2"/>
        <v>15</v>
      </c>
      <c r="B15" s="7" t="s">
        <v>20</v>
      </c>
      <c r="C15" s="5" t="s">
        <v>140</v>
      </c>
      <c r="D15" s="5" t="str">
        <f t="shared" si="0"/>
        <v>Boa Vista | 120 -Votos</v>
      </c>
      <c r="E15" s="7">
        <v>118</v>
      </c>
      <c r="F15" s="8">
        <v>-3.7957697992767501</v>
      </c>
      <c r="G15" s="8">
        <v>-38.518971545141397</v>
      </c>
      <c r="H15" s="2" t="str">
        <f t="shared" si="1"/>
        <v>SER 8-0 Votos</v>
      </c>
      <c r="I15" s="2">
        <v>0</v>
      </c>
      <c r="J15">
        <v>120</v>
      </c>
      <c r="L15"/>
      <c r="M15"/>
    </row>
    <row r="16" spans="1:13" ht="15" x14ac:dyDescent="0.25">
      <c r="A16" s="2">
        <f t="shared" si="2"/>
        <v>16</v>
      </c>
      <c r="B16" s="7" t="s">
        <v>15</v>
      </c>
      <c r="C16" s="7" t="s">
        <v>28</v>
      </c>
      <c r="D16" s="5" t="str">
        <f t="shared" si="0"/>
        <v>Bom Futuro | 58 -Votos</v>
      </c>
      <c r="E16" s="7">
        <v>113</v>
      </c>
      <c r="F16" s="8">
        <v>-3.7582086333092199</v>
      </c>
      <c r="G16" s="8">
        <v>-38.546481255969098</v>
      </c>
      <c r="H16" s="2" t="str">
        <f t="shared" si="1"/>
        <v>SER 4-0 Votos</v>
      </c>
      <c r="I16" s="2">
        <v>0</v>
      </c>
      <c r="J16">
        <v>58</v>
      </c>
      <c r="L16"/>
      <c r="M16"/>
    </row>
    <row r="17" spans="1:13" ht="15" x14ac:dyDescent="0.25">
      <c r="A17" s="2">
        <f t="shared" si="2"/>
        <v>17</v>
      </c>
      <c r="B17" s="7" t="s">
        <v>141</v>
      </c>
      <c r="C17" s="5" t="s">
        <v>92</v>
      </c>
      <c r="D17" s="5" t="str">
        <f t="shared" si="0"/>
        <v>Bom Jardim | 1421 -Votos</v>
      </c>
      <c r="E17" s="7">
        <v>116</v>
      </c>
      <c r="F17" s="8">
        <v>-3.78731120388623</v>
      </c>
      <c r="G17" s="8">
        <v>-38.605956606855898</v>
      </c>
      <c r="H17" s="2" t="str">
        <f t="shared" si="1"/>
        <v>SER 5-0 Votos</v>
      </c>
      <c r="I17" s="2">
        <v>0</v>
      </c>
      <c r="J17">
        <v>1421</v>
      </c>
      <c r="L17"/>
      <c r="M17"/>
    </row>
    <row r="18" spans="1:13" ht="15" x14ac:dyDescent="0.25">
      <c r="A18" s="2">
        <f t="shared" si="2"/>
        <v>18</v>
      </c>
      <c r="B18" s="7" t="s">
        <v>141</v>
      </c>
      <c r="C18" s="5" t="s">
        <v>93</v>
      </c>
      <c r="D18" s="5" t="str">
        <f t="shared" si="0"/>
        <v>Bonsucesso | 201 -Votos</v>
      </c>
      <c r="E18" s="7">
        <v>116</v>
      </c>
      <c r="F18" s="8">
        <v>-3.78040751812869</v>
      </c>
      <c r="G18" s="8">
        <v>-38.588575511233898</v>
      </c>
      <c r="H18" s="2" t="str">
        <f t="shared" si="1"/>
        <v>SER 5-0 Votos</v>
      </c>
      <c r="I18" s="2">
        <v>0</v>
      </c>
      <c r="J18">
        <v>201</v>
      </c>
      <c r="L18"/>
      <c r="M18"/>
    </row>
    <row r="19" spans="1:13" ht="15" x14ac:dyDescent="0.25">
      <c r="A19" s="2">
        <f t="shared" si="2"/>
        <v>19</v>
      </c>
      <c r="B19" s="7" t="s">
        <v>10</v>
      </c>
      <c r="C19" s="7" t="s">
        <v>128</v>
      </c>
      <c r="D19" s="5" t="str">
        <f t="shared" si="0"/>
        <v>Cais do Porto | 12 -Votos</v>
      </c>
      <c r="E19" s="7">
        <v>1</v>
      </c>
      <c r="F19" s="8">
        <v>-3.71286380822142</v>
      </c>
      <c r="G19" s="8">
        <v>-38.466078519810999</v>
      </c>
      <c r="H19" s="2" t="str">
        <f t="shared" si="1"/>
        <v>SER 2-0 Votos</v>
      </c>
      <c r="I19" s="2">
        <v>0</v>
      </c>
      <c r="J19">
        <v>12</v>
      </c>
      <c r="L19"/>
      <c r="M19"/>
    </row>
    <row r="20" spans="1:13" ht="15" x14ac:dyDescent="0.25">
      <c r="A20" s="2">
        <f t="shared" si="2"/>
        <v>20</v>
      </c>
      <c r="B20" s="7" t="s">
        <v>16</v>
      </c>
      <c r="C20" s="7" t="s">
        <v>72</v>
      </c>
      <c r="D20" s="5" t="str">
        <f t="shared" si="0"/>
        <v>Cajazeiras | 28 -Votos</v>
      </c>
      <c r="E20" s="7">
        <v>95</v>
      </c>
      <c r="F20" s="8">
        <v>-3.7934683304721299</v>
      </c>
      <c r="G20" s="8">
        <v>-38.508846249037099</v>
      </c>
      <c r="H20" s="2" t="str">
        <f t="shared" si="1"/>
        <v>SER 9-0 Votos</v>
      </c>
      <c r="I20" s="2">
        <v>0</v>
      </c>
      <c r="J20">
        <v>28</v>
      </c>
      <c r="L20"/>
      <c r="M20"/>
    </row>
    <row r="21" spans="1:13" ht="15" x14ac:dyDescent="0.25">
      <c r="A21" s="2">
        <f t="shared" si="2"/>
        <v>21</v>
      </c>
      <c r="B21" s="7" t="s">
        <v>11</v>
      </c>
      <c r="C21" s="7" t="s">
        <v>73</v>
      </c>
      <c r="D21" s="5" t="str">
        <f t="shared" si="0"/>
        <v>Cambeba | 12 -Votos</v>
      </c>
      <c r="E21" s="7">
        <v>112</v>
      </c>
      <c r="F21" s="8">
        <v>-3.8108687886441301</v>
      </c>
      <c r="G21" s="8">
        <v>-38.4881329505724</v>
      </c>
      <c r="H21" s="2" t="str">
        <f t="shared" si="1"/>
        <v>SER 6-0 Votos</v>
      </c>
      <c r="I21" s="2">
        <v>0</v>
      </c>
      <c r="J21">
        <v>12</v>
      </c>
      <c r="L21"/>
      <c r="M21"/>
    </row>
    <row r="22" spans="1:13" ht="15" x14ac:dyDescent="0.25">
      <c r="A22" s="2">
        <f t="shared" si="2"/>
        <v>22</v>
      </c>
      <c r="B22" s="7" t="s">
        <v>19</v>
      </c>
      <c r="C22" s="5" t="s">
        <v>94</v>
      </c>
      <c r="D22" s="5" t="str">
        <f t="shared" si="0"/>
        <v>Canindezinho | 99 -Votos</v>
      </c>
      <c r="E22" s="7">
        <v>117</v>
      </c>
      <c r="F22" s="8">
        <v>-3.8088965401008901</v>
      </c>
      <c r="G22" s="8">
        <v>-38.604129302130701</v>
      </c>
      <c r="H22" s="2" t="str">
        <f t="shared" si="1"/>
        <v>SER 10-0 Votos</v>
      </c>
      <c r="I22" s="2">
        <v>0</v>
      </c>
      <c r="J22">
        <v>99</v>
      </c>
      <c r="L22"/>
      <c r="M22"/>
    </row>
    <row r="23" spans="1:13" ht="15" x14ac:dyDescent="0.25">
      <c r="A23" s="2">
        <f t="shared" si="2"/>
        <v>23</v>
      </c>
      <c r="B23" s="7" t="s">
        <v>14</v>
      </c>
      <c r="C23" s="7" t="s">
        <v>29</v>
      </c>
      <c r="D23" s="5" t="str">
        <f t="shared" si="0"/>
        <v>Carlito Pamplona | 72 -Votos</v>
      </c>
      <c r="E23" s="7">
        <v>82</v>
      </c>
      <c r="F23" s="8">
        <v>-3.7183301235653401</v>
      </c>
      <c r="G23" s="8">
        <v>-38.554508707357897</v>
      </c>
      <c r="H23" s="2" t="str">
        <f t="shared" si="1"/>
        <v>SER 1-0 Votos</v>
      </c>
      <c r="I23" s="2">
        <v>0</v>
      </c>
      <c r="J23">
        <v>72</v>
      </c>
      <c r="L23"/>
      <c r="M23"/>
    </row>
    <row r="24" spans="1:13" ht="15" x14ac:dyDescent="0.25">
      <c r="A24" s="2">
        <f t="shared" si="2"/>
        <v>24</v>
      </c>
      <c r="B24" s="7" t="s">
        <v>12</v>
      </c>
      <c r="C24" s="7" t="s">
        <v>30</v>
      </c>
      <c r="D24" s="5" t="str">
        <f t="shared" si="0"/>
        <v>Centro | 105 -Votos</v>
      </c>
      <c r="E24" s="7">
        <v>3</v>
      </c>
      <c r="F24" s="8">
        <v>-3.7355947723103302</v>
      </c>
      <c r="G24" s="8">
        <v>-38.5178177041252</v>
      </c>
      <c r="H24" s="2" t="str">
        <f t="shared" si="1"/>
        <v>SER 12-0 Votos</v>
      </c>
      <c r="I24" s="2">
        <v>0</v>
      </c>
      <c r="J24">
        <v>105</v>
      </c>
      <c r="L24"/>
      <c r="M24"/>
    </row>
    <row r="25" spans="1:13" ht="15" x14ac:dyDescent="0.25">
      <c r="A25" s="2">
        <f t="shared" si="2"/>
        <v>25</v>
      </c>
      <c r="B25" s="7" t="s">
        <v>13</v>
      </c>
      <c r="C25" s="7" t="s">
        <v>129</v>
      </c>
      <c r="D25" s="5" t="str">
        <f t="shared" si="0"/>
        <v>Cidade 2000 | 12 -Votos</v>
      </c>
      <c r="E25" s="7">
        <v>1</v>
      </c>
      <c r="F25" s="8">
        <v>-3.7515629494479001</v>
      </c>
      <c r="G25" s="8">
        <v>-38.473078900891103</v>
      </c>
      <c r="H25" s="2" t="str">
        <f t="shared" si="1"/>
        <v>SER 7-0 Votos</v>
      </c>
      <c r="I25" s="2">
        <v>0</v>
      </c>
      <c r="J25">
        <v>12</v>
      </c>
      <c r="L25"/>
      <c r="M25"/>
    </row>
    <row r="26" spans="1:13" ht="15" x14ac:dyDescent="0.25">
      <c r="A26" s="2">
        <f t="shared" si="2"/>
        <v>26</v>
      </c>
      <c r="B26" s="7" t="s">
        <v>11</v>
      </c>
      <c r="C26" s="5" t="s">
        <v>74</v>
      </c>
      <c r="D26" s="5" t="str">
        <f t="shared" si="0"/>
        <v>Cidade dos
Funcionários | 29 -Votos</v>
      </c>
      <c r="E26" s="7">
        <v>112</v>
      </c>
      <c r="F26" s="8">
        <v>-3.7940848688483402</v>
      </c>
      <c r="G26" s="8">
        <v>-38.499748705054301</v>
      </c>
      <c r="H26" s="2" t="str">
        <f t="shared" si="1"/>
        <v>SER 6-0 Votos</v>
      </c>
      <c r="I26" s="2">
        <v>0</v>
      </c>
      <c r="J26">
        <v>29</v>
      </c>
      <c r="L26"/>
      <c r="M26"/>
    </row>
    <row r="27" spans="1:13" ht="15" x14ac:dyDescent="0.25">
      <c r="A27" s="2">
        <f t="shared" si="2"/>
        <v>27</v>
      </c>
      <c r="B27" s="7" t="s">
        <v>11</v>
      </c>
      <c r="C27" s="5" t="s">
        <v>75</v>
      </c>
      <c r="D27" s="5" t="str">
        <f t="shared" si="0"/>
        <v>Coaçu | 4 -Votos</v>
      </c>
      <c r="E27" s="7">
        <v>2</v>
      </c>
      <c r="F27" s="8">
        <v>-3.8461633464172298</v>
      </c>
      <c r="G27" s="8">
        <v>-38.474517251289797</v>
      </c>
      <c r="H27" s="2" t="str">
        <f t="shared" si="1"/>
        <v>SER 6-0 Votos</v>
      </c>
      <c r="I27" s="2">
        <v>0</v>
      </c>
      <c r="J27">
        <v>4</v>
      </c>
      <c r="L27"/>
      <c r="M27"/>
    </row>
    <row r="28" spans="1:13" ht="15" x14ac:dyDescent="0.25">
      <c r="A28" s="2">
        <f t="shared" si="2"/>
        <v>28</v>
      </c>
      <c r="B28" s="7" t="s">
        <v>13</v>
      </c>
      <c r="C28" s="7" t="s">
        <v>31</v>
      </c>
      <c r="D28" s="5" t="str">
        <f t="shared" si="0"/>
        <v>Cocó | 11 -Votos</v>
      </c>
      <c r="E28" s="7">
        <v>1</v>
      </c>
      <c r="F28" s="8">
        <v>-3.7444528516131901</v>
      </c>
      <c r="G28" s="8">
        <v>-38.4783388321841</v>
      </c>
      <c r="H28" s="2" t="str">
        <f t="shared" si="1"/>
        <v>SER 7-0 Votos</v>
      </c>
      <c r="I28" s="2">
        <v>0</v>
      </c>
      <c r="J28">
        <v>11</v>
      </c>
      <c r="L28"/>
      <c r="M28"/>
    </row>
    <row r="29" spans="1:13" ht="15" x14ac:dyDescent="0.25">
      <c r="A29" s="2">
        <f t="shared" si="2"/>
        <v>29</v>
      </c>
      <c r="B29" s="7" t="s">
        <v>18</v>
      </c>
      <c r="C29" s="7" t="s">
        <v>62</v>
      </c>
      <c r="D29" s="5" t="str">
        <f t="shared" si="0"/>
        <v>Conjunto Ceará | 365 -Votos</v>
      </c>
      <c r="E29" s="7">
        <v>85</v>
      </c>
      <c r="F29" s="8">
        <v>-3.76776804633255</v>
      </c>
      <c r="G29" s="8">
        <v>-38.603027639769401</v>
      </c>
      <c r="H29" s="2" t="str">
        <f t="shared" si="1"/>
        <v>SER 11-0 Votos</v>
      </c>
      <c r="I29" s="2">
        <v>0</v>
      </c>
      <c r="J29">
        <v>365</v>
      </c>
      <c r="L29"/>
      <c r="M29"/>
    </row>
    <row r="30" spans="1:13" ht="15" x14ac:dyDescent="0.25">
      <c r="A30" s="2">
        <f t="shared" si="2"/>
        <v>30</v>
      </c>
      <c r="B30" s="7" t="s">
        <v>18</v>
      </c>
      <c r="C30" s="5" t="s">
        <v>95</v>
      </c>
      <c r="D30" s="5" t="str">
        <f t="shared" si="0"/>
        <v>Conjunto Ceará II | 30 -Votos</v>
      </c>
      <c r="E30" s="7">
        <v>85</v>
      </c>
      <c r="F30" s="8">
        <v>-3.772463215528</v>
      </c>
      <c r="G30" s="8">
        <v>-38.611769276788799</v>
      </c>
      <c r="H30" s="2" t="str">
        <f t="shared" si="1"/>
        <v>SER 11-0 Votos</v>
      </c>
      <c r="I30" s="2">
        <v>0</v>
      </c>
      <c r="J30">
        <v>30</v>
      </c>
      <c r="L30"/>
      <c r="M30"/>
    </row>
    <row r="31" spans="1:13" ht="15" x14ac:dyDescent="0.25">
      <c r="A31" s="2">
        <f t="shared" si="2"/>
        <v>31</v>
      </c>
      <c r="B31" s="7" t="s">
        <v>19</v>
      </c>
      <c r="C31" s="5" t="s">
        <v>96</v>
      </c>
      <c r="D31" s="5" t="str">
        <f t="shared" si="0"/>
        <v>Conjunto Esperança | 391 -Votos</v>
      </c>
      <c r="E31" s="7">
        <v>117</v>
      </c>
      <c r="F31" s="8">
        <v>-3.8147710098193799</v>
      </c>
      <c r="G31" s="8">
        <v>-38.588608356705898</v>
      </c>
      <c r="H31" s="2" t="str">
        <f t="shared" si="1"/>
        <v>SER 10-0 Votos</v>
      </c>
      <c r="I31" s="2">
        <v>0</v>
      </c>
      <c r="J31">
        <v>391</v>
      </c>
      <c r="L31"/>
      <c r="M31"/>
    </row>
    <row r="32" spans="1:13" ht="15" x14ac:dyDescent="0.25">
      <c r="A32" s="2">
        <f t="shared" si="2"/>
        <v>32</v>
      </c>
      <c r="B32" s="7" t="s">
        <v>16</v>
      </c>
      <c r="C32" s="7" t="s">
        <v>135</v>
      </c>
      <c r="D32" s="5" t="str">
        <f t="shared" si="0"/>
        <v>Conjunto Palmeiras | 36 -Votos</v>
      </c>
      <c r="E32" s="7">
        <v>95</v>
      </c>
      <c r="F32" s="8">
        <v>-3.8460425416992998</v>
      </c>
      <c r="G32" s="8">
        <v>-38.521461386696998</v>
      </c>
      <c r="H32" s="2" t="str">
        <f t="shared" si="1"/>
        <v>SER 9-0 Votos</v>
      </c>
      <c r="I32" s="2">
        <v>0</v>
      </c>
      <c r="J32">
        <v>36</v>
      </c>
      <c r="L32"/>
      <c r="M32"/>
    </row>
    <row r="33" spans="1:13" ht="15" x14ac:dyDescent="0.25">
      <c r="A33" s="2">
        <f t="shared" si="2"/>
        <v>33</v>
      </c>
      <c r="B33" s="7" t="s">
        <v>18</v>
      </c>
      <c r="C33" s="5" t="s">
        <v>115</v>
      </c>
      <c r="D33" s="5" t="str">
        <f t="shared" ref="D33:D64" si="3">C33&amp;" | "&amp;J33&amp;" -Votos"</f>
        <v>Couto Fernandes | 0 -Votos</v>
      </c>
      <c r="E33" s="7">
        <v>83</v>
      </c>
      <c r="F33" s="8">
        <v>-3.76040480634658</v>
      </c>
      <c r="G33" s="8">
        <v>-38.5606115368834</v>
      </c>
      <c r="H33" s="2" t="str">
        <f t="shared" ref="H33:H64" si="4">B33&amp;"-"&amp;I33&amp;" Votos"</f>
        <v>SER 11-0 Votos</v>
      </c>
      <c r="I33" s="2">
        <v>0</v>
      </c>
      <c r="J33" s="8">
        <v>0</v>
      </c>
      <c r="L33"/>
      <c r="M33"/>
    </row>
    <row r="34" spans="1:13" ht="15" x14ac:dyDescent="0.25">
      <c r="A34" s="2">
        <f t="shared" ref="A34:A65" si="5">A33+1</f>
        <v>34</v>
      </c>
      <c r="B34" s="7" t="s">
        <v>14</v>
      </c>
      <c r="C34" s="7" t="s">
        <v>32</v>
      </c>
      <c r="D34" s="5" t="str">
        <f t="shared" si="3"/>
        <v>Cristo Redentor | 477 -Votos</v>
      </c>
      <c r="E34" s="7">
        <v>82</v>
      </c>
      <c r="F34" s="8">
        <v>-3.7098733835424098</v>
      </c>
      <c r="G34" s="8">
        <v>-38.5701753140916</v>
      </c>
      <c r="H34" s="2" t="str">
        <f t="shared" si="4"/>
        <v>SER 1-0 Votos</v>
      </c>
      <c r="I34" s="2">
        <v>0</v>
      </c>
      <c r="J34">
        <v>477</v>
      </c>
      <c r="L34"/>
      <c r="M34"/>
    </row>
    <row r="35" spans="1:13" ht="15" x14ac:dyDescent="0.25">
      <c r="A35" s="2">
        <f t="shared" si="5"/>
        <v>35</v>
      </c>
      <c r="B35" s="7" t="s">
        <v>11</v>
      </c>
      <c r="C35" s="5" t="s">
        <v>76</v>
      </c>
      <c r="D35" s="5" t="str">
        <f t="shared" si="3"/>
        <v>Curió | 0 -Votos</v>
      </c>
      <c r="E35" s="7">
        <v>2</v>
      </c>
      <c r="F35" s="8">
        <v>-3.8218427466216398</v>
      </c>
      <c r="G35" s="8">
        <v>-38.476577253157402</v>
      </c>
      <c r="H35" s="2" t="str">
        <f t="shared" si="4"/>
        <v>SER 6-0 Votos</v>
      </c>
      <c r="I35" s="2">
        <v>0</v>
      </c>
      <c r="J35" s="8">
        <v>0</v>
      </c>
      <c r="L35"/>
      <c r="M35"/>
    </row>
    <row r="36" spans="1:13" ht="15" x14ac:dyDescent="0.25">
      <c r="A36" s="2">
        <f t="shared" si="5"/>
        <v>36</v>
      </c>
      <c r="B36" s="7" t="s">
        <v>15</v>
      </c>
      <c r="C36" s="7" t="s">
        <v>33</v>
      </c>
      <c r="D36" s="5" t="str">
        <f t="shared" si="3"/>
        <v>Damas | 3 -Votos</v>
      </c>
      <c r="E36" s="7">
        <v>83</v>
      </c>
      <c r="F36" s="8">
        <v>-3.7501930615661698</v>
      </c>
      <c r="G36" s="8">
        <v>-38.545942050787801</v>
      </c>
      <c r="H36" s="2" t="str">
        <f t="shared" si="4"/>
        <v>SER 4-0 Votos</v>
      </c>
      <c r="I36">
        <v>0</v>
      </c>
      <c r="J36">
        <v>3</v>
      </c>
      <c r="L36"/>
      <c r="M36"/>
    </row>
    <row r="37" spans="1:13" ht="15" x14ac:dyDescent="0.25">
      <c r="A37" s="2">
        <f t="shared" si="5"/>
        <v>37</v>
      </c>
      <c r="B37" s="7" t="s">
        <v>10</v>
      </c>
      <c r="C37" s="7" t="s">
        <v>133</v>
      </c>
      <c r="D37" s="5" t="str">
        <f t="shared" si="3"/>
        <v>De Lourdes | 10 -Votos</v>
      </c>
      <c r="E37" s="7">
        <v>1</v>
      </c>
      <c r="F37" s="8">
        <v>-3.7397366628463802</v>
      </c>
      <c r="G37" s="8">
        <v>-38.463829494715299</v>
      </c>
      <c r="H37" s="2" t="str">
        <f t="shared" si="4"/>
        <v>SER 2-0 Votos</v>
      </c>
      <c r="I37">
        <v>0</v>
      </c>
      <c r="J37">
        <v>10</v>
      </c>
      <c r="L37"/>
      <c r="M37"/>
    </row>
    <row r="38" spans="1:13" ht="15" x14ac:dyDescent="0.25">
      <c r="A38" s="2">
        <f t="shared" si="5"/>
        <v>38</v>
      </c>
      <c r="B38" s="7" t="s">
        <v>18</v>
      </c>
      <c r="C38" s="5" t="s">
        <v>116</v>
      </c>
      <c r="D38" s="5" t="str">
        <f t="shared" si="3"/>
        <v>Demócrito Rocha | 48 -Votos</v>
      </c>
      <c r="E38" s="7">
        <v>83</v>
      </c>
      <c r="F38" s="8">
        <v>-3.7619043448426002</v>
      </c>
      <c r="G38" s="8">
        <v>-38.564763741306301</v>
      </c>
      <c r="H38" s="2" t="str">
        <f t="shared" si="4"/>
        <v>SER 11-0 Votos</v>
      </c>
      <c r="I38">
        <v>0</v>
      </c>
      <c r="J38">
        <v>48</v>
      </c>
      <c r="L38"/>
      <c r="M38"/>
    </row>
    <row r="39" spans="1:13" ht="15" x14ac:dyDescent="0.25">
      <c r="A39" s="2">
        <f t="shared" si="5"/>
        <v>39</v>
      </c>
      <c r="B39" s="7" t="s">
        <v>20</v>
      </c>
      <c r="C39" s="5" t="s">
        <v>97</v>
      </c>
      <c r="D39" s="5" t="str">
        <f t="shared" si="3"/>
        <v>Dendê / Raquel de Queiroz | 0 -Votos</v>
      </c>
      <c r="E39" s="7">
        <v>115</v>
      </c>
      <c r="F39" s="8">
        <v>-3.7956267721391299</v>
      </c>
      <c r="G39" s="8">
        <v>-38.554871755016002</v>
      </c>
      <c r="H39" s="2" t="str">
        <f t="shared" si="4"/>
        <v>SER 8-0 Votos</v>
      </c>
      <c r="I39" s="2">
        <v>0</v>
      </c>
      <c r="J39" s="2">
        <v>0</v>
      </c>
      <c r="L39"/>
      <c r="M39"/>
    </row>
    <row r="40" spans="1:13" ht="15" x14ac:dyDescent="0.25">
      <c r="A40" s="2">
        <f t="shared" si="5"/>
        <v>40</v>
      </c>
      <c r="B40" s="7" t="s">
        <v>20</v>
      </c>
      <c r="C40" s="5" t="s">
        <v>117</v>
      </c>
      <c r="D40" s="5" t="str">
        <f t="shared" si="3"/>
        <v>Dias Macedo | 105 -Votos</v>
      </c>
      <c r="E40" s="7">
        <v>118</v>
      </c>
      <c r="F40" s="8">
        <v>-3.7876100124265899</v>
      </c>
      <c r="G40" s="8">
        <v>-38.527414085906003</v>
      </c>
      <c r="H40" s="2" t="str">
        <f t="shared" si="4"/>
        <v>SER 8-0 Votos</v>
      </c>
      <c r="I40">
        <v>0</v>
      </c>
      <c r="J40">
        <v>105</v>
      </c>
      <c r="L40"/>
      <c r="M40"/>
    </row>
    <row r="41" spans="1:13" ht="15" x14ac:dyDescent="0.25">
      <c r="A41" s="2">
        <f t="shared" si="5"/>
        <v>41</v>
      </c>
      <c r="B41" s="7" t="s">
        <v>10</v>
      </c>
      <c r="C41" s="7" t="s">
        <v>34</v>
      </c>
      <c r="D41" s="5" t="str">
        <f t="shared" si="3"/>
        <v>Dionisio Torres | 19 -Votos</v>
      </c>
      <c r="E41" s="7">
        <v>80</v>
      </c>
      <c r="F41" s="8">
        <v>-3.7466362407272902</v>
      </c>
      <c r="G41" s="8">
        <v>-38.501641285177101</v>
      </c>
      <c r="H41" s="2" t="str">
        <f t="shared" si="4"/>
        <v>SER 2-0 Votos</v>
      </c>
      <c r="I41">
        <v>0</v>
      </c>
      <c r="J41">
        <v>19</v>
      </c>
      <c r="L41"/>
      <c r="M41"/>
    </row>
    <row r="42" spans="1:13" ht="15" x14ac:dyDescent="0.25">
      <c r="A42" s="2">
        <f t="shared" si="5"/>
        <v>42</v>
      </c>
      <c r="B42" s="7" t="s">
        <v>18</v>
      </c>
      <c r="C42" s="7" t="s">
        <v>63</v>
      </c>
      <c r="D42" s="5" t="str">
        <f t="shared" si="3"/>
        <v>Dom Lustosa | 15 -Votos</v>
      </c>
      <c r="E42" s="7">
        <v>83</v>
      </c>
      <c r="F42" s="8">
        <v>-3.7554394732483001</v>
      </c>
      <c r="G42" s="8">
        <v>-38.589623726028101</v>
      </c>
      <c r="H42" s="2" t="str">
        <f t="shared" si="4"/>
        <v>SER 11-0 Votos</v>
      </c>
      <c r="I42">
        <v>0</v>
      </c>
      <c r="J42">
        <v>15</v>
      </c>
      <c r="L42"/>
      <c r="M42"/>
    </row>
    <row r="43" spans="1:13" ht="15" x14ac:dyDescent="0.25">
      <c r="A43" s="2">
        <f t="shared" si="5"/>
        <v>43</v>
      </c>
      <c r="B43" s="7" t="s">
        <v>13</v>
      </c>
      <c r="C43" s="5" t="s">
        <v>77</v>
      </c>
      <c r="D43" s="5" t="str">
        <f t="shared" si="3"/>
        <v>Edson Queiroz | 40 -Votos</v>
      </c>
      <c r="E43" s="7">
        <v>112</v>
      </c>
      <c r="F43" s="8">
        <v>-3.7734109847680899</v>
      </c>
      <c r="G43" s="8">
        <v>-38.476795027420103</v>
      </c>
      <c r="H43" s="2" t="str">
        <f t="shared" si="4"/>
        <v>SER 7-0 Votos</v>
      </c>
      <c r="I43">
        <v>0</v>
      </c>
      <c r="J43">
        <v>40</v>
      </c>
      <c r="L43"/>
      <c r="M43"/>
    </row>
    <row r="44" spans="1:13" ht="15" x14ac:dyDescent="0.25">
      <c r="A44" s="2">
        <f t="shared" si="5"/>
        <v>44</v>
      </c>
      <c r="B44" s="7" t="s">
        <v>17</v>
      </c>
      <c r="C44" s="7" t="s">
        <v>58</v>
      </c>
      <c r="D44" s="5" t="str">
        <f t="shared" si="3"/>
        <v>Ellery | 17 -Votos</v>
      </c>
      <c r="E44" s="7">
        <v>82</v>
      </c>
      <c r="F44" s="8">
        <v>-3.7232122164096402</v>
      </c>
      <c r="G44" s="8">
        <v>-38.558165735754699</v>
      </c>
      <c r="H44" s="2" t="str">
        <f t="shared" si="4"/>
        <v>SER 3-0 Votos</v>
      </c>
      <c r="I44">
        <v>0</v>
      </c>
      <c r="J44">
        <v>17</v>
      </c>
      <c r="L44"/>
      <c r="M44"/>
    </row>
    <row r="45" spans="1:13" ht="15" x14ac:dyDescent="0.25">
      <c r="A45" s="2">
        <f t="shared" si="5"/>
        <v>45</v>
      </c>
      <c r="B45" s="7" t="s">
        <v>13</v>
      </c>
      <c r="C45" s="5" t="s">
        <v>78</v>
      </c>
      <c r="D45" s="5" t="str">
        <f t="shared" si="3"/>
        <v>Eng Luciano Cavalcante | 23 -Votos</v>
      </c>
      <c r="E45" s="7">
        <v>112</v>
      </c>
      <c r="F45" s="8">
        <v>-3.7702613040788902</v>
      </c>
      <c r="G45" s="8">
        <v>-38.483598983838498</v>
      </c>
      <c r="H45" s="2" t="str">
        <f t="shared" si="4"/>
        <v>SER 7-0 Votos</v>
      </c>
      <c r="I45">
        <v>0</v>
      </c>
      <c r="J45">
        <v>23</v>
      </c>
      <c r="L45"/>
      <c r="M45"/>
    </row>
    <row r="46" spans="1:13" ht="15" x14ac:dyDescent="0.25">
      <c r="A46" s="2">
        <f t="shared" si="5"/>
        <v>46</v>
      </c>
      <c r="B46" s="7" t="s">
        <v>17</v>
      </c>
      <c r="C46" s="7" t="s">
        <v>35</v>
      </c>
      <c r="D46" s="5" t="str">
        <f t="shared" si="3"/>
        <v>Farias Brito | 62 -Votos</v>
      </c>
      <c r="E46" s="7">
        <v>113</v>
      </c>
      <c r="F46" s="8">
        <v>-3.73209256228118</v>
      </c>
      <c r="G46" s="8">
        <v>-38.541562729521601</v>
      </c>
      <c r="H46" s="2" t="str">
        <f t="shared" si="4"/>
        <v>SER 3-0 Votos</v>
      </c>
      <c r="I46">
        <v>0</v>
      </c>
      <c r="J46">
        <v>62</v>
      </c>
      <c r="L46"/>
      <c r="M46"/>
    </row>
    <row r="47" spans="1:13" ht="15" x14ac:dyDescent="0.25">
      <c r="A47" s="2">
        <f t="shared" si="5"/>
        <v>47</v>
      </c>
      <c r="B47" s="7" t="s">
        <v>15</v>
      </c>
      <c r="C47" s="7" t="s">
        <v>36</v>
      </c>
      <c r="D47" s="5" t="str">
        <f t="shared" si="3"/>
        <v>Fatima | 34 -Votos</v>
      </c>
      <c r="E47" s="7">
        <v>80</v>
      </c>
      <c r="F47" s="8">
        <v>-3.7515603030788198</v>
      </c>
      <c r="G47" s="8">
        <v>-38.526676301673398</v>
      </c>
      <c r="H47" s="2" t="str">
        <f t="shared" si="4"/>
        <v>SER 4-0 Votos</v>
      </c>
      <c r="I47">
        <v>0</v>
      </c>
      <c r="J47">
        <v>34</v>
      </c>
      <c r="L47"/>
      <c r="M47"/>
    </row>
    <row r="48" spans="1:13" ht="15" x14ac:dyDescent="0.25">
      <c r="A48" s="2">
        <f t="shared" si="5"/>
        <v>48</v>
      </c>
      <c r="B48" s="7" t="s">
        <v>14</v>
      </c>
      <c r="C48" s="7" t="s">
        <v>37</v>
      </c>
      <c r="D48" s="5" t="str">
        <f t="shared" si="3"/>
        <v>Floresta | 28 -Votos</v>
      </c>
      <c r="E48" s="7">
        <v>114</v>
      </c>
      <c r="F48" s="8">
        <v>-3.72619124055575</v>
      </c>
      <c r="G48" s="8">
        <v>-38.576785296760498</v>
      </c>
      <c r="H48" s="2" t="str">
        <f t="shared" si="4"/>
        <v>SER 1-0 Votos</v>
      </c>
      <c r="I48">
        <v>0</v>
      </c>
      <c r="J48">
        <v>28</v>
      </c>
      <c r="L48"/>
      <c r="M48"/>
    </row>
    <row r="49" spans="1:13" ht="15" x14ac:dyDescent="0.25">
      <c r="A49" s="2">
        <f t="shared" si="5"/>
        <v>49</v>
      </c>
      <c r="B49" s="7" t="s">
        <v>18</v>
      </c>
      <c r="C49" s="7" t="s">
        <v>64</v>
      </c>
      <c r="D49" s="5" t="str">
        <f t="shared" si="3"/>
        <v>Genibau | 66 -Votos</v>
      </c>
      <c r="E49" s="7">
        <v>85</v>
      </c>
      <c r="F49" s="8">
        <v>-3.7516470528074999</v>
      </c>
      <c r="G49" s="8">
        <v>-38.600969744826699</v>
      </c>
      <c r="H49" s="2" t="str">
        <f t="shared" si="4"/>
        <v>SER 11-0 Votos</v>
      </c>
      <c r="I49" s="2">
        <v>0</v>
      </c>
      <c r="J49">
        <v>66</v>
      </c>
      <c r="L49"/>
      <c r="M49"/>
    </row>
    <row r="50" spans="1:13" ht="15" x14ac:dyDescent="0.25">
      <c r="A50" s="2">
        <f t="shared" si="5"/>
        <v>50</v>
      </c>
      <c r="B50" s="7" t="s">
        <v>141</v>
      </c>
      <c r="C50" s="5" t="s">
        <v>98</v>
      </c>
      <c r="D50" s="5" t="str">
        <f t="shared" si="3"/>
        <v>Granja Lisboa | 738 -Votos</v>
      </c>
      <c r="E50" s="7">
        <v>116</v>
      </c>
      <c r="F50" s="8">
        <v>-3.7933731956045</v>
      </c>
      <c r="G50" s="8">
        <v>-38.620273767964399</v>
      </c>
      <c r="H50" s="2" t="str">
        <f t="shared" si="4"/>
        <v>SER 5-0 Votos</v>
      </c>
      <c r="I50" s="2">
        <v>0</v>
      </c>
      <c r="J50">
        <v>738</v>
      </c>
      <c r="L50"/>
      <c r="M50"/>
    </row>
    <row r="51" spans="1:13" ht="15" x14ac:dyDescent="0.25">
      <c r="A51" s="2">
        <f t="shared" si="5"/>
        <v>51</v>
      </c>
      <c r="B51" s="7" t="s">
        <v>141</v>
      </c>
      <c r="C51" s="5" t="s">
        <v>99</v>
      </c>
      <c r="D51" s="5" t="str">
        <f t="shared" si="3"/>
        <v>Granja Portugal | 513 -Votos</v>
      </c>
      <c r="E51" s="7">
        <v>116</v>
      </c>
      <c r="F51" s="8">
        <v>-3.7790253278716199</v>
      </c>
      <c r="G51" s="8">
        <v>-38.601168123088698</v>
      </c>
      <c r="H51" s="2" t="str">
        <f t="shared" si="4"/>
        <v>SER 5-0 Votos</v>
      </c>
      <c r="I51" s="2">
        <v>0</v>
      </c>
      <c r="J51">
        <v>513</v>
      </c>
      <c r="L51"/>
      <c r="M51"/>
    </row>
    <row r="52" spans="1:13" ht="15" x14ac:dyDescent="0.25">
      <c r="A52" s="2">
        <f t="shared" si="5"/>
        <v>52</v>
      </c>
      <c r="B52" s="7" t="s">
        <v>11</v>
      </c>
      <c r="C52" s="5" t="s">
        <v>79</v>
      </c>
      <c r="D52" s="5" t="str">
        <f t="shared" si="3"/>
        <v>Guajeru | 16 -Votos</v>
      </c>
      <c r="E52" s="7">
        <v>2</v>
      </c>
      <c r="F52" s="8">
        <v>-3.8312931400095298</v>
      </c>
      <c r="G52" s="8">
        <v>-38.480253466418297</v>
      </c>
      <c r="H52" s="2" t="str">
        <f t="shared" si="4"/>
        <v>SER 6-0 Votos</v>
      </c>
      <c r="I52" s="2">
        <v>0</v>
      </c>
      <c r="J52">
        <v>16</v>
      </c>
      <c r="L52"/>
      <c r="M52"/>
    </row>
    <row r="53" spans="1:13" ht="15" x14ac:dyDescent="0.25">
      <c r="A53" s="2">
        <f t="shared" si="5"/>
        <v>53</v>
      </c>
      <c r="B53" s="7" t="s">
        <v>13</v>
      </c>
      <c r="C53" s="5" t="s">
        <v>80</v>
      </c>
      <c r="D53" s="5" t="str">
        <f t="shared" si="3"/>
        <v>Guararapes | 7 -Votos</v>
      </c>
      <c r="E53" s="7">
        <v>112</v>
      </c>
      <c r="F53" s="8">
        <v>-3.7648339675464899</v>
      </c>
      <c r="G53" s="8">
        <v>-38.486628571489</v>
      </c>
      <c r="H53" s="2" t="str">
        <f t="shared" si="4"/>
        <v>SER 7-0 Votos</v>
      </c>
      <c r="I53" s="2">
        <v>0</v>
      </c>
      <c r="J53">
        <v>7</v>
      </c>
      <c r="L53"/>
      <c r="M53"/>
    </row>
    <row r="54" spans="1:13" ht="15" x14ac:dyDescent="0.25">
      <c r="A54" s="2">
        <f t="shared" si="5"/>
        <v>54</v>
      </c>
      <c r="B54" s="7" t="s">
        <v>18</v>
      </c>
      <c r="C54" s="7" t="s">
        <v>65</v>
      </c>
      <c r="D54" s="5" t="str">
        <f t="shared" si="3"/>
        <v>Henrique Jorge | 87 -Votos</v>
      </c>
      <c r="E54" s="7">
        <v>83</v>
      </c>
      <c r="F54" s="8">
        <v>-3.7650871411326698</v>
      </c>
      <c r="G54" s="8">
        <v>-38.584909699442299</v>
      </c>
      <c r="H54" s="2" t="str">
        <f t="shared" si="4"/>
        <v>SER 11-0 Votos</v>
      </c>
      <c r="I54" s="2">
        <v>0</v>
      </c>
      <c r="J54">
        <v>87</v>
      </c>
      <c r="L54"/>
      <c r="M54"/>
    </row>
    <row r="55" spans="1:13" ht="15" x14ac:dyDescent="0.25">
      <c r="A55" s="2">
        <f t="shared" si="5"/>
        <v>55</v>
      </c>
      <c r="B55" s="7" t="s">
        <v>15</v>
      </c>
      <c r="C55" s="5" t="s">
        <v>118</v>
      </c>
      <c r="D55" s="5" t="str">
        <f t="shared" si="3"/>
        <v>Itaoca | 1 -Votos</v>
      </c>
      <c r="E55" s="7">
        <v>83</v>
      </c>
      <c r="F55" s="8">
        <v>-3.7712477296372899</v>
      </c>
      <c r="G55" s="8">
        <v>-38.5562904842132</v>
      </c>
      <c r="H55" s="2" t="str">
        <f t="shared" si="4"/>
        <v>SER 4-0 Votos</v>
      </c>
      <c r="I55" s="2">
        <v>0</v>
      </c>
      <c r="J55">
        <v>1</v>
      </c>
      <c r="L55"/>
      <c r="M55"/>
    </row>
    <row r="56" spans="1:13" ht="15" x14ac:dyDescent="0.25">
      <c r="A56" s="2">
        <f t="shared" si="5"/>
        <v>56</v>
      </c>
      <c r="B56" s="7" t="s">
        <v>20</v>
      </c>
      <c r="C56" s="5" t="s">
        <v>119</v>
      </c>
      <c r="D56" s="5" t="str">
        <f t="shared" si="3"/>
        <v>Itaperi | 43 -Votos</v>
      </c>
      <c r="E56" s="7">
        <v>115</v>
      </c>
      <c r="F56" s="8">
        <v>-3.7866840241715898</v>
      </c>
      <c r="G56" s="8">
        <v>-38.553120544833398</v>
      </c>
      <c r="H56" s="2" t="str">
        <f t="shared" si="4"/>
        <v>SER 8-0 Votos</v>
      </c>
      <c r="I56" s="2">
        <v>0</v>
      </c>
      <c r="J56">
        <v>43</v>
      </c>
      <c r="L56"/>
      <c r="M56"/>
    </row>
    <row r="57" spans="1:13" ht="15" x14ac:dyDescent="0.25">
      <c r="A57" s="2">
        <f t="shared" si="5"/>
        <v>57</v>
      </c>
      <c r="B57" s="7" t="s">
        <v>14</v>
      </c>
      <c r="C57" s="7" t="s">
        <v>38</v>
      </c>
      <c r="D57" s="5" t="str">
        <f t="shared" si="3"/>
        <v>Jacarecanga | 40 -Votos</v>
      </c>
      <c r="E57" s="7">
        <v>3</v>
      </c>
      <c r="F57" s="8">
        <v>-3.7233636491008499</v>
      </c>
      <c r="G57" s="8">
        <v>-38.543071831764003</v>
      </c>
      <c r="H57" s="2" t="str">
        <f t="shared" si="4"/>
        <v>SER 1-0 Votos</v>
      </c>
      <c r="I57" s="2">
        <v>0</v>
      </c>
      <c r="J57">
        <v>40</v>
      </c>
      <c r="L57"/>
      <c r="M57"/>
    </row>
    <row r="58" spans="1:13" ht="15" x14ac:dyDescent="0.25">
      <c r="A58" s="2">
        <f t="shared" si="5"/>
        <v>58</v>
      </c>
      <c r="B58" s="7" t="s">
        <v>16</v>
      </c>
      <c r="C58" s="5" t="s">
        <v>81</v>
      </c>
      <c r="D58" s="5" t="str">
        <f t="shared" si="3"/>
        <v>Jangurussu | 51 -Votos</v>
      </c>
      <c r="E58" s="7">
        <v>95</v>
      </c>
      <c r="F58" s="8">
        <v>-3.8293916315480598</v>
      </c>
      <c r="G58" s="8">
        <v>-38.521109009752102</v>
      </c>
      <c r="H58" s="2" t="str">
        <f t="shared" si="4"/>
        <v>SER 9-0 Votos</v>
      </c>
      <c r="I58" s="2">
        <v>0</v>
      </c>
      <c r="J58">
        <v>51</v>
      </c>
      <c r="K58"/>
      <c r="L58"/>
      <c r="M58"/>
    </row>
    <row r="59" spans="1:13" ht="15" x14ac:dyDescent="0.25">
      <c r="A59" s="2">
        <f t="shared" si="5"/>
        <v>59</v>
      </c>
      <c r="B59" s="7" t="s">
        <v>15</v>
      </c>
      <c r="C59" s="7" t="s">
        <v>39</v>
      </c>
      <c r="D59" s="5" t="str">
        <f t="shared" si="3"/>
        <v>Jardim America | 60 -Votos</v>
      </c>
      <c r="E59" s="7">
        <v>113</v>
      </c>
      <c r="F59" s="8">
        <v>-3.7518452293694602</v>
      </c>
      <c r="G59" s="8">
        <v>-38.539152524464903</v>
      </c>
      <c r="H59" s="2" t="str">
        <f t="shared" si="4"/>
        <v>SER 4-0 Votos</v>
      </c>
      <c r="I59" s="2">
        <v>0</v>
      </c>
      <c r="J59">
        <v>60</v>
      </c>
      <c r="K59"/>
      <c r="L59"/>
      <c r="M59"/>
    </row>
    <row r="60" spans="1:13" ht="15" x14ac:dyDescent="0.25">
      <c r="A60" s="2">
        <f t="shared" si="5"/>
        <v>60</v>
      </c>
      <c r="B60" s="7" t="s">
        <v>19</v>
      </c>
      <c r="C60" s="5" t="s">
        <v>100</v>
      </c>
      <c r="D60" s="5" t="str">
        <f t="shared" si="3"/>
        <v>Jardim Cearense | 28 -Votos</v>
      </c>
      <c r="E60" s="7">
        <v>115</v>
      </c>
      <c r="F60" s="8">
        <v>-3.80031139104018</v>
      </c>
      <c r="G60" s="8">
        <v>-38.566177251244802</v>
      </c>
      <c r="H60" s="2" t="str">
        <f t="shared" si="4"/>
        <v>SER 10-0 Votos</v>
      </c>
      <c r="I60" s="2">
        <v>0</v>
      </c>
      <c r="J60">
        <v>28</v>
      </c>
      <c r="K60"/>
      <c r="L60"/>
      <c r="M60"/>
    </row>
    <row r="61" spans="1:13" ht="15" x14ac:dyDescent="0.25">
      <c r="A61" s="2">
        <f t="shared" si="5"/>
        <v>61</v>
      </c>
      <c r="B61" s="7" t="s">
        <v>11</v>
      </c>
      <c r="C61" s="5" t="s">
        <v>82</v>
      </c>
      <c r="D61" s="5" t="str">
        <f t="shared" si="3"/>
        <v>Jardim das Oliveiras | 25 -Votos</v>
      </c>
      <c r="E61" s="7">
        <v>112</v>
      </c>
      <c r="F61" s="8">
        <v>-3.7767846486459402</v>
      </c>
      <c r="G61" s="8">
        <v>-38.5007040130306</v>
      </c>
      <c r="H61" s="2" t="str">
        <f t="shared" si="4"/>
        <v>SER 6-0 Votos</v>
      </c>
      <c r="I61" s="2">
        <v>0</v>
      </c>
      <c r="J61">
        <v>25</v>
      </c>
      <c r="K61"/>
      <c r="L61"/>
      <c r="M61"/>
    </row>
    <row r="62" spans="1:13" ht="15" x14ac:dyDescent="0.25">
      <c r="A62" s="2">
        <f t="shared" si="5"/>
        <v>62</v>
      </c>
      <c r="B62" s="7" t="s">
        <v>14</v>
      </c>
      <c r="C62" s="7" t="s">
        <v>40</v>
      </c>
      <c r="D62" s="5" t="str">
        <f t="shared" si="3"/>
        <v>Jardim Guanabara | 20 -Votos</v>
      </c>
      <c r="E62" s="7">
        <v>94</v>
      </c>
      <c r="F62" s="8">
        <v>-3.7239391281284799</v>
      </c>
      <c r="G62" s="8">
        <v>-38.589812341226803</v>
      </c>
      <c r="H62" s="2" t="str">
        <f t="shared" si="4"/>
        <v>SER 1-0 Votos</v>
      </c>
      <c r="I62" s="2">
        <v>0</v>
      </c>
      <c r="J62">
        <v>20</v>
      </c>
      <c r="K62"/>
      <c r="L62"/>
      <c r="M62"/>
    </row>
    <row r="63" spans="1:13" ht="15" x14ac:dyDescent="0.25">
      <c r="A63" s="2">
        <f t="shared" si="5"/>
        <v>63</v>
      </c>
      <c r="B63" s="7" t="s">
        <v>14</v>
      </c>
      <c r="C63" s="7" t="s">
        <v>41</v>
      </c>
      <c r="D63" s="5" t="str">
        <f t="shared" si="3"/>
        <v>Jardim Iracema | 64 -Votos</v>
      </c>
      <c r="E63" s="7">
        <v>94</v>
      </c>
      <c r="F63" s="8">
        <v>-3.7222030360943399</v>
      </c>
      <c r="G63" s="8">
        <v>-38.5836486181475</v>
      </c>
      <c r="H63" s="2" t="str">
        <f t="shared" si="4"/>
        <v>SER 1-0 Votos</v>
      </c>
      <c r="I63" s="2">
        <v>0</v>
      </c>
      <c r="J63">
        <v>64</v>
      </c>
      <c r="K63"/>
      <c r="L63"/>
      <c r="M63"/>
    </row>
    <row r="64" spans="1:13" ht="15" x14ac:dyDescent="0.25">
      <c r="A64" s="2">
        <f t="shared" si="5"/>
        <v>64</v>
      </c>
      <c r="B64" s="7" t="s">
        <v>18</v>
      </c>
      <c r="C64" s="7" t="s">
        <v>66</v>
      </c>
      <c r="D64" s="5" t="str">
        <f t="shared" si="3"/>
        <v>João XXIII | 82 -Votos</v>
      </c>
      <c r="E64" s="7">
        <v>83</v>
      </c>
      <c r="F64" s="8">
        <v>-3.7680084807697298</v>
      </c>
      <c r="G64" s="8">
        <v>-38.5904359970529</v>
      </c>
      <c r="H64" s="2" t="str">
        <f t="shared" si="4"/>
        <v>SER 11-0 Votos</v>
      </c>
      <c r="I64" s="2">
        <v>0</v>
      </c>
      <c r="J64">
        <v>82</v>
      </c>
      <c r="K64"/>
      <c r="L64"/>
      <c r="M64"/>
    </row>
    <row r="65" spans="1:13" ht="15" x14ac:dyDescent="0.25">
      <c r="A65" s="2">
        <f t="shared" si="5"/>
        <v>65</v>
      </c>
      <c r="B65" s="7" t="s">
        <v>10</v>
      </c>
      <c r="C65" s="7" t="s">
        <v>42</v>
      </c>
      <c r="D65" s="5" t="str">
        <f t="shared" ref="D65:D96" si="6">C65&amp;" | "&amp;J65&amp;" -Votos"</f>
        <v>Joaquim Távora | 41 -Votos</v>
      </c>
      <c r="E65" s="7">
        <v>80</v>
      </c>
      <c r="F65" s="8">
        <v>-3.74778232790861</v>
      </c>
      <c r="G65" s="8">
        <v>-38.518867248309697</v>
      </c>
      <c r="H65" s="2" t="str">
        <f t="shared" ref="H65:H96" si="7">B65&amp;"-"&amp;I65&amp;" Votos"</f>
        <v>SER 2-0 Votos</v>
      </c>
      <c r="I65" s="2">
        <v>0</v>
      </c>
      <c r="J65">
        <v>41</v>
      </c>
      <c r="K65"/>
      <c r="L65"/>
      <c r="M65"/>
    </row>
    <row r="66" spans="1:13" ht="15" x14ac:dyDescent="0.25">
      <c r="A66" s="2">
        <f t="shared" ref="A66:A97" si="8">A65+1</f>
        <v>66</v>
      </c>
      <c r="B66" s="7" t="s">
        <v>18</v>
      </c>
      <c r="C66" s="5" t="s">
        <v>120</v>
      </c>
      <c r="D66" s="5" t="str">
        <f t="shared" si="6"/>
        <v>Jóquei Clube | 42 -Votos</v>
      </c>
      <c r="E66" s="7">
        <v>83</v>
      </c>
      <c r="F66" s="8">
        <v>-3.7625262833534698</v>
      </c>
      <c r="G66" s="8">
        <v>-38.574086651965402</v>
      </c>
      <c r="H66" s="2" t="str">
        <f t="shared" si="7"/>
        <v>SER 11-0 Votos</v>
      </c>
      <c r="I66" s="2">
        <v>0</v>
      </c>
      <c r="J66">
        <v>42</v>
      </c>
      <c r="K66"/>
      <c r="L66"/>
      <c r="M66"/>
    </row>
    <row r="67" spans="1:13" ht="15" x14ac:dyDescent="0.25">
      <c r="A67" s="2">
        <f t="shared" si="8"/>
        <v>67</v>
      </c>
      <c r="B67" s="7" t="s">
        <v>15</v>
      </c>
      <c r="C67" s="7" t="s">
        <v>43</v>
      </c>
      <c r="D67" s="5" t="str">
        <f t="shared" si="6"/>
        <v>José Bonifácio | 24 -Votos</v>
      </c>
      <c r="E67" s="7">
        <v>80</v>
      </c>
      <c r="F67" s="8">
        <v>-3.7389948930849402</v>
      </c>
      <c r="G67" s="8">
        <v>-38.523995594970302</v>
      </c>
      <c r="H67" s="2" t="str">
        <f t="shared" si="7"/>
        <v>SER 4-0 Votos</v>
      </c>
      <c r="I67" s="2">
        <v>0</v>
      </c>
      <c r="J67">
        <v>24</v>
      </c>
      <c r="K67"/>
      <c r="L67"/>
      <c r="M67"/>
    </row>
    <row r="68" spans="1:13" ht="15" x14ac:dyDescent="0.25">
      <c r="A68" s="2">
        <f t="shared" si="8"/>
        <v>68</v>
      </c>
      <c r="B68" s="7" t="s">
        <v>11</v>
      </c>
      <c r="C68" s="7" t="s">
        <v>69</v>
      </c>
      <c r="D68" s="5" t="str">
        <f t="shared" si="6"/>
        <v>José de Alencar | 8 -Votos</v>
      </c>
      <c r="E68" s="7">
        <v>2</v>
      </c>
      <c r="F68" s="8">
        <v>-3.8057596847658401</v>
      </c>
      <c r="G68" s="8">
        <v>-38.471245681105501</v>
      </c>
      <c r="H68" s="2" t="str">
        <f t="shared" si="7"/>
        <v>SER 6-0 Votos</v>
      </c>
      <c r="I68" s="2">
        <v>0</v>
      </c>
      <c r="J68">
        <v>8</v>
      </c>
      <c r="K68"/>
      <c r="L68"/>
      <c r="M68"/>
    </row>
    <row r="69" spans="1:13" ht="15" x14ac:dyDescent="0.25">
      <c r="A69" s="2">
        <f t="shared" si="8"/>
        <v>69</v>
      </c>
      <c r="B69" s="7" t="s">
        <v>20</v>
      </c>
      <c r="C69" s="5" t="s">
        <v>109</v>
      </c>
      <c r="D69" s="5" t="str">
        <f t="shared" si="6"/>
        <v>José Walter | 262 -Votos</v>
      </c>
      <c r="E69" s="7">
        <v>93</v>
      </c>
      <c r="F69" s="8">
        <v>-3.8328047835560102</v>
      </c>
      <c r="G69" s="8">
        <v>-38.558117479880401</v>
      </c>
      <c r="H69" s="2" t="str">
        <f t="shared" si="7"/>
        <v>SER 8-0 Votos</v>
      </c>
      <c r="I69" s="2">
        <v>0</v>
      </c>
      <c r="J69">
        <v>262</v>
      </c>
      <c r="K69"/>
      <c r="L69"/>
      <c r="M69"/>
    </row>
    <row r="70" spans="1:13" ht="15" x14ac:dyDescent="0.25">
      <c r="A70" s="2">
        <f t="shared" si="8"/>
        <v>70</v>
      </c>
      <c r="B70" s="7" t="s">
        <v>11</v>
      </c>
      <c r="C70" s="5" t="s">
        <v>83</v>
      </c>
      <c r="D70" s="5" t="str">
        <f t="shared" si="6"/>
        <v>Lagoa Redonda | 32 -Votos</v>
      </c>
      <c r="E70" s="7">
        <v>2</v>
      </c>
      <c r="F70" s="8">
        <v>-3.8138564978180498</v>
      </c>
      <c r="G70" s="8">
        <v>-38.466000188963399</v>
      </c>
      <c r="H70" s="2" t="str">
        <f t="shared" si="7"/>
        <v>SER 6-0 Votos</v>
      </c>
      <c r="I70" s="2">
        <v>0</v>
      </c>
      <c r="J70">
        <v>32</v>
      </c>
      <c r="K70"/>
      <c r="L70"/>
      <c r="M70"/>
    </row>
    <row r="71" spans="1:13" ht="15" x14ac:dyDescent="0.25">
      <c r="A71" s="2">
        <f t="shared" si="8"/>
        <v>71</v>
      </c>
      <c r="B71" s="7" t="s">
        <v>19</v>
      </c>
      <c r="C71" s="5" t="s">
        <v>101</v>
      </c>
      <c r="D71" s="5" t="str">
        <f t="shared" si="6"/>
        <v>Manoel Sátiro | 201 -Votos</v>
      </c>
      <c r="E71" s="7">
        <v>117</v>
      </c>
      <c r="F71" s="8">
        <v>-3.7975320259768401</v>
      </c>
      <c r="G71" s="8">
        <v>-38.580770879845801</v>
      </c>
      <c r="H71" s="2" t="str">
        <f t="shared" si="7"/>
        <v>SER 10-0 Votos</v>
      </c>
      <c r="I71" s="2">
        <v>0</v>
      </c>
      <c r="J71">
        <v>201</v>
      </c>
      <c r="K71"/>
      <c r="L71"/>
      <c r="M71"/>
    </row>
    <row r="72" spans="1:13" ht="15" x14ac:dyDescent="0.25">
      <c r="A72" s="2">
        <f t="shared" si="8"/>
        <v>72</v>
      </c>
      <c r="B72" s="7" t="s">
        <v>13</v>
      </c>
      <c r="C72" s="7" t="s">
        <v>130</v>
      </c>
      <c r="D72" s="5" t="str">
        <f t="shared" si="6"/>
        <v>Manuel Dias Branco | 0 -Votos</v>
      </c>
      <c r="E72" s="7">
        <v>115</v>
      </c>
      <c r="F72" s="8">
        <v>-3.75642777859143</v>
      </c>
      <c r="G72" s="8">
        <v>-38.456780907749</v>
      </c>
      <c r="H72" s="2" t="str">
        <f t="shared" si="7"/>
        <v>SER 7-0 Votos</v>
      </c>
      <c r="I72" s="2">
        <v>0</v>
      </c>
      <c r="J72" s="8">
        <v>0</v>
      </c>
      <c r="K72"/>
      <c r="L72"/>
      <c r="M72"/>
    </row>
    <row r="73" spans="1:13" ht="15" x14ac:dyDescent="0.25">
      <c r="A73" s="2">
        <f t="shared" si="8"/>
        <v>73</v>
      </c>
      <c r="B73" s="7" t="s">
        <v>19</v>
      </c>
      <c r="C73" s="5" t="s">
        <v>102</v>
      </c>
      <c r="D73" s="5" t="str">
        <f t="shared" si="6"/>
        <v>Maraponga | 54 -Votos</v>
      </c>
      <c r="E73" s="7">
        <v>115</v>
      </c>
      <c r="F73" s="8">
        <v>-3.8001163536715401</v>
      </c>
      <c r="G73" s="8">
        <v>-38.572654338560803</v>
      </c>
      <c r="H73" s="2" t="str">
        <f t="shared" si="7"/>
        <v>SER 10-0 Votos</v>
      </c>
      <c r="I73" s="2">
        <v>0</v>
      </c>
      <c r="J73">
        <v>54</v>
      </c>
      <c r="K73"/>
      <c r="L73"/>
      <c r="M73"/>
    </row>
    <row r="74" spans="1:13" ht="15" x14ac:dyDescent="0.25">
      <c r="A74" s="2">
        <f t="shared" si="8"/>
        <v>74</v>
      </c>
      <c r="B74" s="7" t="s">
        <v>10</v>
      </c>
      <c r="C74" s="7" t="s">
        <v>44</v>
      </c>
      <c r="D74" s="5" t="str">
        <f t="shared" si="6"/>
        <v>Meireles | 30 -Votos</v>
      </c>
      <c r="E74" s="7">
        <v>1</v>
      </c>
      <c r="F74" s="8">
        <v>-3.7269179692477898</v>
      </c>
      <c r="G74" s="8">
        <v>-38.5046842194972</v>
      </c>
      <c r="H74" s="2" t="str">
        <f t="shared" si="7"/>
        <v>SER 2-0 Votos</v>
      </c>
      <c r="I74" s="2">
        <v>0</v>
      </c>
      <c r="J74">
        <v>30</v>
      </c>
      <c r="K74"/>
      <c r="L74"/>
      <c r="M74"/>
    </row>
    <row r="75" spans="1:13" ht="15" x14ac:dyDescent="0.25">
      <c r="A75" s="2">
        <f t="shared" si="8"/>
        <v>75</v>
      </c>
      <c r="B75" s="7" t="s">
        <v>11</v>
      </c>
      <c r="C75" s="5" t="s">
        <v>85</v>
      </c>
      <c r="D75" s="5" t="str">
        <f t="shared" si="6"/>
        <v>Messejana | 149 -Votos</v>
      </c>
      <c r="E75" s="7">
        <v>2</v>
      </c>
      <c r="F75" s="8">
        <v>-3.8215893626984299</v>
      </c>
      <c r="G75" s="8">
        <v>-38.481614036021597</v>
      </c>
      <c r="H75" s="2" t="str">
        <f t="shared" si="7"/>
        <v>SER 6-0 Votos</v>
      </c>
      <c r="I75" s="2">
        <v>0</v>
      </c>
      <c r="J75">
        <v>149</v>
      </c>
      <c r="K75"/>
      <c r="L75"/>
      <c r="M75"/>
    </row>
    <row r="76" spans="1:13" ht="15" x14ac:dyDescent="0.25">
      <c r="A76" s="2">
        <f t="shared" si="8"/>
        <v>76</v>
      </c>
      <c r="B76" s="7" t="s">
        <v>19</v>
      </c>
      <c r="C76" s="5" t="s">
        <v>103</v>
      </c>
      <c r="D76" s="5" t="str">
        <f t="shared" si="6"/>
        <v>Mondubim | 165 -Votos</v>
      </c>
      <c r="E76" s="7">
        <v>93</v>
      </c>
      <c r="F76" s="8">
        <v>-3.8125792178685902</v>
      </c>
      <c r="G76" s="8">
        <v>-38.569573265927303</v>
      </c>
      <c r="H76" s="2" t="str">
        <f t="shared" si="7"/>
        <v>SER 10-0 Votos</v>
      </c>
      <c r="I76" s="2">
        <v>0</v>
      </c>
      <c r="J76">
        <v>165</v>
      </c>
      <c r="K76"/>
      <c r="L76"/>
      <c r="M76"/>
    </row>
    <row r="77" spans="1:13" ht="15" x14ac:dyDescent="0.25">
      <c r="A77" s="2">
        <f t="shared" si="8"/>
        <v>77</v>
      </c>
      <c r="B77" s="7" t="s">
        <v>17</v>
      </c>
      <c r="C77" s="7" t="s">
        <v>45</v>
      </c>
      <c r="D77" s="5" t="str">
        <f t="shared" si="6"/>
        <v>Monte Castelo | 139 -Votos</v>
      </c>
      <c r="E77" s="7">
        <v>82</v>
      </c>
      <c r="F77" s="8">
        <v>-3.7271800547323499</v>
      </c>
      <c r="G77" s="8">
        <v>-38.547194970918603</v>
      </c>
      <c r="H77" s="2" t="str">
        <f t="shared" si="7"/>
        <v>SER 3-0 Votos</v>
      </c>
      <c r="I77" s="2">
        <v>0</v>
      </c>
      <c r="J77">
        <v>139</v>
      </c>
      <c r="K77"/>
      <c r="L77"/>
      <c r="M77"/>
    </row>
    <row r="78" spans="1:13" ht="15" x14ac:dyDescent="0.25">
      <c r="A78" s="2">
        <f t="shared" si="8"/>
        <v>78</v>
      </c>
      <c r="B78" s="7" t="s">
        <v>15</v>
      </c>
      <c r="C78" s="5" t="s">
        <v>121</v>
      </c>
      <c r="D78" s="5" t="str">
        <f t="shared" si="6"/>
        <v>Montese | 80 -Votos</v>
      </c>
      <c r="E78" s="7">
        <v>83</v>
      </c>
      <c r="F78" s="8">
        <v>-3.75917775823928</v>
      </c>
      <c r="G78" s="8">
        <v>-38.556057834356501</v>
      </c>
      <c r="H78" s="2" t="str">
        <f t="shared" si="7"/>
        <v>SER 4-0 Votos</v>
      </c>
      <c r="I78" s="2">
        <v>0</v>
      </c>
      <c r="J78">
        <v>80</v>
      </c>
      <c r="K78"/>
      <c r="L78"/>
      <c r="M78"/>
    </row>
    <row r="79" spans="1:13" ht="15" x14ac:dyDescent="0.25">
      <c r="A79" s="2">
        <f t="shared" si="8"/>
        <v>79</v>
      </c>
      <c r="B79" s="7" t="s">
        <v>12</v>
      </c>
      <c r="C79" s="7" t="s">
        <v>25</v>
      </c>
      <c r="D79" s="5" t="str">
        <f t="shared" si="6"/>
        <v>Moura Brasil | 5 -Votos</v>
      </c>
      <c r="E79" s="7">
        <v>3</v>
      </c>
      <c r="F79" s="8">
        <v>-3.7184777140240799</v>
      </c>
      <c r="G79" s="8">
        <v>-38.532559596432002</v>
      </c>
      <c r="H79" s="2" t="str">
        <f t="shared" si="7"/>
        <v>SER 12-0 Votos</v>
      </c>
      <c r="I79" s="2">
        <v>0</v>
      </c>
      <c r="J79">
        <v>5</v>
      </c>
      <c r="K79"/>
      <c r="L79"/>
      <c r="M79"/>
    </row>
    <row r="80" spans="1:13" ht="15" x14ac:dyDescent="0.25">
      <c r="A80" s="2">
        <f t="shared" si="8"/>
        <v>80</v>
      </c>
      <c r="B80" s="7" t="s">
        <v>10</v>
      </c>
      <c r="C80" s="7" t="s">
        <v>46</v>
      </c>
      <c r="D80" s="5" t="str">
        <f t="shared" si="6"/>
        <v>Mucuripe | 6 -Votos</v>
      </c>
      <c r="E80" s="7">
        <v>1</v>
      </c>
      <c r="F80" s="8">
        <v>-3.7254466302023399</v>
      </c>
      <c r="G80" s="8">
        <v>-38.4838066068139</v>
      </c>
      <c r="H80" s="2" t="str">
        <f t="shared" si="7"/>
        <v>SER 2-0 Votos</v>
      </c>
      <c r="I80" s="2">
        <v>0</v>
      </c>
      <c r="J80">
        <v>6</v>
      </c>
      <c r="K80"/>
      <c r="L80"/>
      <c r="M80"/>
    </row>
    <row r="81" spans="1:13" ht="15" x14ac:dyDescent="0.25">
      <c r="A81" s="2">
        <f t="shared" si="8"/>
        <v>81</v>
      </c>
      <c r="B81" s="7" t="s">
        <v>19</v>
      </c>
      <c r="C81" s="7" t="s">
        <v>137</v>
      </c>
      <c r="D81" s="5" t="str">
        <f t="shared" si="6"/>
        <v>Novo Mondubim | 18 -Votos</v>
      </c>
      <c r="E81" s="7">
        <v>93</v>
      </c>
      <c r="F81" s="8">
        <v>-3.8131898120131198</v>
      </c>
      <c r="G81" s="8">
        <v>-38.586563691754797</v>
      </c>
      <c r="H81" s="2" t="str">
        <f t="shared" si="7"/>
        <v>SER 10-0 Votos</v>
      </c>
      <c r="I81" s="2">
        <v>0</v>
      </c>
      <c r="J81">
        <v>18</v>
      </c>
      <c r="K81"/>
      <c r="L81"/>
      <c r="M81"/>
    </row>
    <row r="82" spans="1:13" ht="15" x14ac:dyDescent="0.25">
      <c r="A82" s="2">
        <f t="shared" si="8"/>
        <v>82</v>
      </c>
      <c r="B82" s="7" t="s">
        <v>17</v>
      </c>
      <c r="C82" s="7" t="s">
        <v>138</v>
      </c>
      <c r="D82" s="5" t="str">
        <f t="shared" si="6"/>
        <v>Olavo Oliveira | 0 -Votos</v>
      </c>
      <c r="E82" s="7">
        <v>94</v>
      </c>
      <c r="F82" s="8">
        <v>-3.7291007990209999</v>
      </c>
      <c r="G82" s="8">
        <v>-38.589731419797097</v>
      </c>
      <c r="H82" s="2" t="str">
        <f t="shared" si="7"/>
        <v>SER 3-0 Votos</v>
      </c>
      <c r="I82" s="2">
        <v>0</v>
      </c>
      <c r="J82" s="8">
        <v>0</v>
      </c>
      <c r="K82"/>
      <c r="L82"/>
      <c r="M82"/>
    </row>
    <row r="83" spans="1:13" ht="15" x14ac:dyDescent="0.25">
      <c r="A83" s="2">
        <f t="shared" si="8"/>
        <v>83</v>
      </c>
      <c r="B83" s="7" t="s">
        <v>17</v>
      </c>
      <c r="C83" s="7" t="s">
        <v>67</v>
      </c>
      <c r="D83" s="5" t="str">
        <f t="shared" si="6"/>
        <v>Padre Andrade | 14 -Votos</v>
      </c>
      <c r="E83" s="7">
        <v>94</v>
      </c>
      <c r="F83" s="8">
        <v>-3.7315025216373301</v>
      </c>
      <c r="G83" s="8">
        <v>-38.580920308954497</v>
      </c>
      <c r="H83" s="2" t="str">
        <f t="shared" si="7"/>
        <v>SER 3-0 Votos</v>
      </c>
      <c r="I83" s="2">
        <v>0</v>
      </c>
      <c r="J83">
        <v>14</v>
      </c>
      <c r="K83"/>
      <c r="L83"/>
      <c r="M83"/>
    </row>
    <row r="84" spans="1:13" ht="15" x14ac:dyDescent="0.25">
      <c r="A84" s="2">
        <f t="shared" si="8"/>
        <v>84</v>
      </c>
      <c r="B84" s="7" t="s">
        <v>18</v>
      </c>
      <c r="C84" s="5" t="s">
        <v>122</v>
      </c>
      <c r="D84" s="5" t="str">
        <f t="shared" si="6"/>
        <v>Panamericano | 17 -Votos</v>
      </c>
      <c r="E84" s="7">
        <v>83</v>
      </c>
      <c r="F84" s="8">
        <v>-3.7573760474097702</v>
      </c>
      <c r="G84" s="8">
        <v>-38.565319377017701</v>
      </c>
      <c r="H84" s="2" t="str">
        <f t="shared" si="7"/>
        <v>SER 11-0 Votos</v>
      </c>
      <c r="I84" s="2">
        <v>0</v>
      </c>
      <c r="J84">
        <v>17</v>
      </c>
      <c r="K84"/>
      <c r="L84"/>
      <c r="M84"/>
    </row>
    <row r="85" spans="1:13" ht="15" x14ac:dyDescent="0.25">
      <c r="A85" s="2">
        <f t="shared" si="8"/>
        <v>85</v>
      </c>
      <c r="B85" s="7" t="s">
        <v>10</v>
      </c>
      <c r="C85" s="7" t="s">
        <v>47</v>
      </c>
      <c r="D85" s="5" t="str">
        <f t="shared" si="6"/>
        <v>Papicu | 13 -Votos</v>
      </c>
      <c r="E85" s="7">
        <v>1</v>
      </c>
      <c r="F85" s="8">
        <v>-3.7427354585609498</v>
      </c>
      <c r="G85" s="8">
        <v>-38.468499998558499</v>
      </c>
      <c r="H85" s="2" t="str">
        <f t="shared" si="7"/>
        <v>SER 2-0 Votos</v>
      </c>
      <c r="I85" s="2">
        <v>0</v>
      </c>
      <c r="J85">
        <v>13</v>
      </c>
      <c r="K85"/>
      <c r="L85"/>
      <c r="M85"/>
    </row>
    <row r="86" spans="1:13" ht="15" x14ac:dyDescent="0.25">
      <c r="A86" s="2">
        <f t="shared" si="8"/>
        <v>86</v>
      </c>
      <c r="B86" s="7" t="s">
        <v>15</v>
      </c>
      <c r="C86" s="7" t="s">
        <v>123</v>
      </c>
      <c r="D86" s="5" t="str">
        <f t="shared" si="6"/>
        <v>Parangaba | 115 -Votos</v>
      </c>
      <c r="E86" s="7">
        <v>115</v>
      </c>
      <c r="F86" s="8">
        <v>-3.76812127559056</v>
      </c>
      <c r="G86" s="8">
        <v>-38.560748431647703</v>
      </c>
      <c r="H86" s="2" t="str">
        <f t="shared" si="7"/>
        <v>SER 4-0 Votos</v>
      </c>
      <c r="I86" s="2">
        <v>0</v>
      </c>
      <c r="J86">
        <v>115</v>
      </c>
      <c r="K86"/>
      <c r="L86"/>
      <c r="M86"/>
    </row>
    <row r="87" spans="1:13" ht="15" x14ac:dyDescent="0.25">
      <c r="A87" s="2">
        <f t="shared" si="8"/>
        <v>87</v>
      </c>
      <c r="B87" s="7" t="s">
        <v>17</v>
      </c>
      <c r="C87" s="7" t="s">
        <v>48</v>
      </c>
      <c r="D87" s="5" t="str">
        <f t="shared" si="6"/>
        <v>Parque Araxá | 1 -Votos</v>
      </c>
      <c r="E87" s="7">
        <v>113</v>
      </c>
      <c r="F87" s="8">
        <v>-3.7318430325170402</v>
      </c>
      <c r="G87" s="8">
        <v>-38.545285153576103</v>
      </c>
      <c r="H87" s="2" t="str">
        <f t="shared" si="7"/>
        <v>SER 3-0 Votos</v>
      </c>
      <c r="I87" s="2">
        <v>0</v>
      </c>
      <c r="J87">
        <v>1</v>
      </c>
      <c r="K87"/>
      <c r="L87"/>
      <c r="M87"/>
    </row>
    <row r="88" spans="1:13" ht="15" x14ac:dyDescent="0.25">
      <c r="A88" s="2">
        <f t="shared" si="8"/>
        <v>88</v>
      </c>
      <c r="B88" s="7" t="s">
        <v>20</v>
      </c>
      <c r="C88" s="5" t="s">
        <v>104</v>
      </c>
      <c r="D88" s="5" t="str">
        <f t="shared" si="6"/>
        <v>Parque Dois Irmãos | 66 -Votos</v>
      </c>
      <c r="E88" s="7">
        <v>118</v>
      </c>
      <c r="F88" s="8">
        <v>-3.80317693812944</v>
      </c>
      <c r="G88" s="8">
        <v>-38.551264647704897</v>
      </c>
      <c r="H88" s="2" t="str">
        <f t="shared" si="7"/>
        <v>SER 8-0 Votos</v>
      </c>
      <c r="I88" s="2">
        <v>0</v>
      </c>
      <c r="J88">
        <v>66</v>
      </c>
      <c r="K88"/>
      <c r="L88"/>
      <c r="M88"/>
    </row>
    <row r="89" spans="1:13" ht="15" x14ac:dyDescent="0.25">
      <c r="A89" s="2">
        <f t="shared" si="8"/>
        <v>89</v>
      </c>
      <c r="B89" s="7" t="s">
        <v>11</v>
      </c>
      <c r="C89" s="5" t="s">
        <v>86</v>
      </c>
      <c r="D89" s="5" t="str">
        <f t="shared" si="6"/>
        <v>Parque Iracema | 0 -Votos</v>
      </c>
      <c r="E89" s="7">
        <v>112</v>
      </c>
      <c r="F89" s="8">
        <v>-3.8004820224838798</v>
      </c>
      <c r="G89" s="8">
        <v>-38.497777334654103</v>
      </c>
      <c r="H89" s="2" t="str">
        <f t="shared" si="7"/>
        <v>SER 6-0 Votos</v>
      </c>
      <c r="I89" s="2">
        <v>0</v>
      </c>
      <c r="J89" s="8">
        <v>0</v>
      </c>
      <c r="K89"/>
      <c r="L89"/>
      <c r="M89"/>
    </row>
    <row r="90" spans="1:13" ht="15" x14ac:dyDescent="0.25">
      <c r="A90" s="2">
        <f t="shared" si="8"/>
        <v>90</v>
      </c>
      <c r="B90" s="7" t="s">
        <v>11</v>
      </c>
      <c r="C90" s="5" t="s">
        <v>87</v>
      </c>
      <c r="D90" s="5" t="str">
        <f t="shared" si="6"/>
        <v>Parque Manibura | 8 -Votos</v>
      </c>
      <c r="E90" s="7">
        <v>112</v>
      </c>
      <c r="F90" s="8">
        <v>-3.7881357501423598</v>
      </c>
      <c r="G90" s="8">
        <v>-38.4797857719646</v>
      </c>
      <c r="H90" s="2" t="str">
        <f t="shared" si="7"/>
        <v>SER 6-0 Votos</v>
      </c>
      <c r="I90" s="2">
        <v>0</v>
      </c>
      <c r="J90">
        <v>8</v>
      </c>
      <c r="K90"/>
      <c r="L90"/>
      <c r="M90"/>
    </row>
    <row r="91" spans="1:13" ht="15" x14ac:dyDescent="0.25">
      <c r="A91" s="2">
        <f t="shared" si="8"/>
        <v>91</v>
      </c>
      <c r="B91" s="7" t="s">
        <v>16</v>
      </c>
      <c r="C91" s="5" t="s">
        <v>142</v>
      </c>
      <c r="D91" s="5" t="str">
        <f t="shared" si="6"/>
        <v>Santa Maria | 11 -Votos</v>
      </c>
      <c r="E91" s="7">
        <v>95</v>
      </c>
      <c r="F91" s="8">
        <v>-3.8515016361285799</v>
      </c>
      <c r="G91" s="8">
        <v>-38.501747907480699</v>
      </c>
      <c r="H91" s="2" t="str">
        <f t="shared" si="7"/>
        <v>SER 9-0 Votos</v>
      </c>
      <c r="I91" s="2">
        <v>0</v>
      </c>
      <c r="J91">
        <v>11</v>
      </c>
      <c r="K91"/>
      <c r="L91"/>
      <c r="M91"/>
    </row>
    <row r="92" spans="1:13" ht="15" x14ac:dyDescent="0.25">
      <c r="A92" s="10">
        <f t="shared" si="8"/>
        <v>92</v>
      </c>
      <c r="B92" s="6" t="s">
        <v>19</v>
      </c>
      <c r="C92" s="11" t="s">
        <v>107</v>
      </c>
      <c r="D92" s="5" t="str">
        <f t="shared" si="6"/>
        <v>Parque Santa Rosa | 39 -Votos</v>
      </c>
      <c r="E92" s="6">
        <v>117</v>
      </c>
      <c r="F92" s="12">
        <v>-3.8223671671801198</v>
      </c>
      <c r="G92" s="12">
        <v>-38.594584402390701</v>
      </c>
      <c r="H92" s="10" t="str">
        <f t="shared" si="7"/>
        <v>SER 10-0 Votos</v>
      </c>
      <c r="I92" s="10">
        <v>0</v>
      </c>
      <c r="J92">
        <v>39</v>
      </c>
      <c r="K92"/>
      <c r="L92"/>
      <c r="M92"/>
    </row>
    <row r="93" spans="1:13" ht="15" x14ac:dyDescent="0.25">
      <c r="A93" s="2">
        <f t="shared" si="8"/>
        <v>93</v>
      </c>
      <c r="B93" s="7" t="s">
        <v>19</v>
      </c>
      <c r="C93" s="5" t="s">
        <v>106</v>
      </c>
      <c r="D93" s="5" t="str">
        <f t="shared" si="6"/>
        <v>Parque São José | 33 -Votos</v>
      </c>
      <c r="E93" s="7">
        <v>117</v>
      </c>
      <c r="F93" s="8">
        <v>-3.79783072329964</v>
      </c>
      <c r="G93" s="8">
        <v>-38.590598041131202</v>
      </c>
      <c r="H93" s="2" t="str">
        <f t="shared" si="7"/>
        <v>SER 10-0 Votos</v>
      </c>
      <c r="I93" s="2">
        <v>0</v>
      </c>
      <c r="J93">
        <v>33</v>
      </c>
      <c r="K93"/>
      <c r="L93"/>
      <c r="M93"/>
    </row>
    <row r="94" spans="1:13" ht="15" x14ac:dyDescent="0.25">
      <c r="A94" s="2">
        <f t="shared" si="8"/>
        <v>94</v>
      </c>
      <c r="B94" s="7" t="s">
        <v>17</v>
      </c>
      <c r="C94" s="7" t="s">
        <v>49</v>
      </c>
      <c r="D94" s="5" t="str">
        <f t="shared" si="6"/>
        <v>Parquelândia | 256 -Votos</v>
      </c>
      <c r="E94" s="7">
        <v>113</v>
      </c>
      <c r="F94" s="8">
        <v>-3.7347275762507501</v>
      </c>
      <c r="G94" s="8">
        <v>-38.555990528856903</v>
      </c>
      <c r="H94" s="2" t="str">
        <f t="shared" si="7"/>
        <v>SER 3-0 Votos</v>
      </c>
      <c r="I94" s="2">
        <v>0</v>
      </c>
      <c r="J94">
        <v>256</v>
      </c>
      <c r="K94"/>
      <c r="L94"/>
      <c r="M94"/>
    </row>
    <row r="95" spans="1:13" ht="15" x14ac:dyDescent="0.25">
      <c r="A95" s="2">
        <f t="shared" si="8"/>
        <v>95</v>
      </c>
      <c r="B95" s="7" t="s">
        <v>15</v>
      </c>
      <c r="C95" s="7" t="s">
        <v>50</v>
      </c>
      <c r="D95" s="5" t="str">
        <f t="shared" si="6"/>
        <v>Parreão | 0 -Votos</v>
      </c>
      <c r="E95" s="7">
        <v>115</v>
      </c>
      <c r="F95" s="8">
        <v>-3.7558570492956802</v>
      </c>
      <c r="G95" s="8">
        <v>-38.535462921719599</v>
      </c>
      <c r="H95" s="2" t="str">
        <f t="shared" si="7"/>
        <v>SER 4-0 Votos</v>
      </c>
      <c r="I95" s="2">
        <v>0</v>
      </c>
      <c r="J95" s="8">
        <v>0</v>
      </c>
      <c r="K95"/>
      <c r="L95"/>
      <c r="M95"/>
    </row>
    <row r="96" spans="1:13" ht="15" x14ac:dyDescent="0.25">
      <c r="A96" s="2">
        <f t="shared" si="8"/>
        <v>96</v>
      </c>
      <c r="B96" s="7" t="s">
        <v>20</v>
      </c>
      <c r="C96" s="5" t="s">
        <v>108</v>
      </c>
      <c r="D96" s="5" t="str">
        <f t="shared" si="6"/>
        <v>Passaré | 267 -Votos</v>
      </c>
      <c r="E96" s="7">
        <v>118</v>
      </c>
      <c r="F96" s="8">
        <v>-3.80941285034221</v>
      </c>
      <c r="G96" s="8">
        <v>-38.533537673745897</v>
      </c>
      <c r="H96" s="2" t="str">
        <f t="shared" si="7"/>
        <v>SER 8-0 Votos</v>
      </c>
      <c r="I96" s="2">
        <v>0</v>
      </c>
      <c r="J96">
        <v>267</v>
      </c>
      <c r="K96"/>
      <c r="L96"/>
      <c r="M96"/>
    </row>
    <row r="97" spans="1:13" ht="15" x14ac:dyDescent="0.25">
      <c r="A97" s="2">
        <f t="shared" si="8"/>
        <v>97</v>
      </c>
      <c r="B97" s="7" t="s">
        <v>11</v>
      </c>
      <c r="C97" s="5" t="s">
        <v>88</v>
      </c>
      <c r="D97" s="5" t="str">
        <f t="shared" ref="D97:D121" si="9">C97&amp;" | "&amp;J97&amp;" -Votos"</f>
        <v>Paupina | 8 -Votos</v>
      </c>
      <c r="E97" s="7">
        <v>2</v>
      </c>
      <c r="F97" s="8">
        <v>-3.8415735059676401</v>
      </c>
      <c r="G97" s="8">
        <v>-38.486575454319798</v>
      </c>
      <c r="H97" s="2" t="str">
        <f t="shared" ref="H97:H121" si="10">B97&amp;"-"&amp;I97&amp;" Votos"</f>
        <v>SER 6-0 Votos</v>
      </c>
      <c r="I97" s="2">
        <v>0</v>
      </c>
      <c r="J97">
        <v>8</v>
      </c>
      <c r="K97"/>
      <c r="L97"/>
      <c r="M97"/>
    </row>
    <row r="98" spans="1:13" ht="15" x14ac:dyDescent="0.25">
      <c r="A98" s="2">
        <f t="shared" ref="A98:A121" si="11">A97+1</f>
        <v>98</v>
      </c>
      <c r="B98" s="7" t="s">
        <v>16</v>
      </c>
      <c r="C98" s="5" t="s">
        <v>89</v>
      </c>
      <c r="D98" s="5" t="str">
        <f t="shared" si="9"/>
        <v>Pedras | 12 -Votos</v>
      </c>
      <c r="E98" s="7">
        <v>95</v>
      </c>
      <c r="F98" s="8">
        <v>-3.8776924642431698</v>
      </c>
      <c r="G98" s="8">
        <v>-38.514859109158003</v>
      </c>
      <c r="H98" s="2" t="str">
        <f t="shared" si="10"/>
        <v>SER 9-0 Votos</v>
      </c>
      <c r="I98" s="2">
        <v>0</v>
      </c>
      <c r="J98">
        <v>12</v>
      </c>
      <c r="K98"/>
      <c r="L98"/>
      <c r="M98"/>
    </row>
    <row r="99" spans="1:13" ht="15" x14ac:dyDescent="0.25">
      <c r="A99" s="2">
        <f t="shared" si="11"/>
        <v>99</v>
      </c>
      <c r="B99" s="7" t="s">
        <v>18</v>
      </c>
      <c r="C99" s="5" t="s">
        <v>124</v>
      </c>
      <c r="D99" s="5" t="str">
        <f t="shared" si="9"/>
        <v>Pici | 19 -Votos</v>
      </c>
      <c r="E99" s="7">
        <v>83</v>
      </c>
      <c r="F99" s="8">
        <v>-3.7448876903495401</v>
      </c>
      <c r="G99" s="8">
        <v>-38.573751950840801</v>
      </c>
      <c r="H99" s="2" t="str">
        <f t="shared" si="10"/>
        <v>SER 11-0 Votos</v>
      </c>
      <c r="I99" s="2">
        <v>0</v>
      </c>
      <c r="J99">
        <v>19</v>
      </c>
      <c r="K99"/>
      <c r="L99"/>
      <c r="M99"/>
    </row>
    <row r="100" spans="1:13" ht="15" x14ac:dyDescent="0.25">
      <c r="A100" s="2">
        <f t="shared" si="11"/>
        <v>100</v>
      </c>
      <c r="B100" s="7" t="s">
        <v>14</v>
      </c>
      <c r="C100" s="7" t="s">
        <v>51</v>
      </c>
      <c r="D100" s="5" t="str">
        <f t="shared" si="9"/>
        <v>Pirambu | 56 -Votos</v>
      </c>
      <c r="E100" s="7">
        <v>3</v>
      </c>
      <c r="F100" s="8">
        <v>-3.7124091028720398</v>
      </c>
      <c r="G100" s="8">
        <v>-38.551287597929999</v>
      </c>
      <c r="H100" s="2" t="str">
        <f t="shared" si="10"/>
        <v>SER 1-0 Votos</v>
      </c>
      <c r="I100" s="2">
        <v>0</v>
      </c>
      <c r="J100">
        <v>56</v>
      </c>
      <c r="K100">
        <v>8</v>
      </c>
      <c r="L100"/>
      <c r="M100"/>
    </row>
    <row r="101" spans="1:13" ht="15" x14ac:dyDescent="0.25">
      <c r="A101" s="2">
        <f t="shared" si="11"/>
        <v>101</v>
      </c>
      <c r="B101" s="7" t="s">
        <v>20</v>
      </c>
      <c r="C101" s="7" t="s">
        <v>134</v>
      </c>
      <c r="D101" s="5" t="str">
        <f t="shared" si="9"/>
        <v>Planalto Ayrton Senna | 33 -Votos</v>
      </c>
      <c r="E101" s="7">
        <v>93</v>
      </c>
      <c r="F101" s="8">
        <v>-3.8320958197683002</v>
      </c>
      <c r="G101" s="8">
        <v>-38.569799806885698</v>
      </c>
      <c r="H101" s="2" t="str">
        <f t="shared" si="10"/>
        <v>SER 8-0 Votos</v>
      </c>
      <c r="I101" s="2">
        <v>0</v>
      </c>
      <c r="J101">
        <v>33</v>
      </c>
      <c r="K101">
        <v>9</v>
      </c>
      <c r="L101"/>
      <c r="M101"/>
    </row>
    <row r="102" spans="1:13" ht="15" x14ac:dyDescent="0.25">
      <c r="A102" s="2">
        <f t="shared" si="11"/>
        <v>102</v>
      </c>
      <c r="B102" s="7" t="s">
        <v>19</v>
      </c>
      <c r="C102" s="5" t="s">
        <v>105</v>
      </c>
      <c r="D102" s="5" t="str">
        <f t="shared" si="9"/>
        <v>Pq Presidente Vargas | 412 -Votos</v>
      </c>
      <c r="E102" s="7">
        <v>117</v>
      </c>
      <c r="F102" s="8">
        <v>-3.8213894948300702</v>
      </c>
      <c r="G102" s="8">
        <v>-38.599709975632898</v>
      </c>
      <c r="H102" s="2" t="str">
        <f t="shared" si="10"/>
        <v>SER 10-0 Votos</v>
      </c>
      <c r="I102" s="2">
        <v>0</v>
      </c>
      <c r="J102" s="8">
        <v>412</v>
      </c>
      <c r="K102" s="8">
        <v>4</v>
      </c>
      <c r="L102"/>
      <c r="M102"/>
    </row>
    <row r="103" spans="1:13" ht="15" x14ac:dyDescent="0.25">
      <c r="A103" s="2">
        <f t="shared" si="11"/>
        <v>103</v>
      </c>
      <c r="B103" s="7" t="s">
        <v>12</v>
      </c>
      <c r="C103" s="7" t="s">
        <v>52</v>
      </c>
      <c r="D103" s="5" t="str">
        <f t="shared" si="9"/>
        <v>Praia de Iracema | 16 -Votos</v>
      </c>
      <c r="E103" s="7">
        <v>3</v>
      </c>
      <c r="F103" s="8">
        <v>-3.7200552037859902</v>
      </c>
      <c r="G103" s="8">
        <v>-38.519751439686502</v>
      </c>
      <c r="H103" s="2" t="str">
        <f t="shared" si="10"/>
        <v>SER 12-0 Votos</v>
      </c>
      <c r="I103" s="2">
        <v>0</v>
      </c>
      <c r="J103">
        <v>16</v>
      </c>
      <c r="K103">
        <v>8</v>
      </c>
      <c r="L103"/>
      <c r="M103"/>
    </row>
    <row r="104" spans="1:13" ht="15" x14ac:dyDescent="0.25">
      <c r="A104" s="2">
        <f t="shared" si="11"/>
        <v>104</v>
      </c>
      <c r="B104" s="7" t="s">
        <v>13</v>
      </c>
      <c r="C104" s="7" t="s">
        <v>131</v>
      </c>
      <c r="D104" s="5" t="str">
        <f t="shared" si="9"/>
        <v>Praia do Futuro I | 0 -Votos</v>
      </c>
      <c r="E104" s="7">
        <v>1</v>
      </c>
      <c r="F104" s="8">
        <v>-3.73118536223354</v>
      </c>
      <c r="G104" s="8">
        <v>-38.4619773055717</v>
      </c>
      <c r="H104" s="2" t="str">
        <f t="shared" si="10"/>
        <v>SER 7-0 Votos</v>
      </c>
      <c r="I104" s="2">
        <v>0</v>
      </c>
      <c r="J104" s="8">
        <v>0</v>
      </c>
      <c r="K104" s="8">
        <v>5</v>
      </c>
      <c r="L104"/>
      <c r="M104"/>
    </row>
    <row r="105" spans="1:13" ht="15" x14ac:dyDescent="0.25">
      <c r="A105" s="2">
        <f t="shared" si="11"/>
        <v>105</v>
      </c>
      <c r="B105" s="7" t="s">
        <v>13</v>
      </c>
      <c r="C105" s="7" t="s">
        <v>132</v>
      </c>
      <c r="D105" s="5" t="str">
        <f t="shared" si="9"/>
        <v>Praia do Futuro II | 1 -Votos</v>
      </c>
      <c r="E105" s="7">
        <v>1</v>
      </c>
      <c r="F105" s="8">
        <v>-3.7633037355366801</v>
      </c>
      <c r="G105" s="8">
        <v>-38.442526558033101</v>
      </c>
      <c r="H105" s="2" t="str">
        <f t="shared" si="10"/>
        <v>SER 7-0 Votos</v>
      </c>
      <c r="I105" s="2">
        <v>0</v>
      </c>
      <c r="J105">
        <v>1</v>
      </c>
      <c r="K105" s="8">
        <v>7</v>
      </c>
      <c r="L105"/>
      <c r="M105"/>
    </row>
    <row r="106" spans="1:13" ht="15" x14ac:dyDescent="0.25">
      <c r="A106" s="2">
        <f t="shared" si="11"/>
        <v>106</v>
      </c>
      <c r="B106" s="7" t="s">
        <v>17</v>
      </c>
      <c r="C106" s="7" t="s">
        <v>53</v>
      </c>
      <c r="D106" s="5" t="str">
        <f t="shared" si="9"/>
        <v>Presidente Kennedy | 62 -Votos</v>
      </c>
      <c r="E106" s="7">
        <v>114</v>
      </c>
      <c r="F106" s="8">
        <v>-3.7305802901855598</v>
      </c>
      <c r="G106" s="8">
        <v>-38.5707410062736</v>
      </c>
      <c r="H106" s="2" t="str">
        <f t="shared" si="10"/>
        <v>SER 3-0 Votos</v>
      </c>
      <c r="I106" s="2">
        <v>0</v>
      </c>
      <c r="J106">
        <v>62</v>
      </c>
      <c r="K106" s="8">
        <v>3</v>
      </c>
      <c r="L106"/>
      <c r="M106"/>
    </row>
    <row r="107" spans="1:13" ht="15" x14ac:dyDescent="0.25">
      <c r="A107" s="2">
        <f t="shared" si="11"/>
        <v>107</v>
      </c>
      <c r="B107" s="7" t="s">
        <v>17</v>
      </c>
      <c r="C107" s="7" t="s">
        <v>68</v>
      </c>
      <c r="D107" s="5" t="str">
        <f t="shared" si="9"/>
        <v>Quitino Cunha | 46 -Votos</v>
      </c>
      <c r="E107" s="7">
        <v>94</v>
      </c>
      <c r="F107" s="8">
        <v>-3.73185551606004</v>
      </c>
      <c r="G107" s="8">
        <v>-38.5979520737068</v>
      </c>
      <c r="H107" s="2" t="str">
        <f t="shared" si="10"/>
        <v>SER 3-0 Votos</v>
      </c>
      <c r="I107" s="2">
        <v>0</v>
      </c>
      <c r="J107">
        <v>46</v>
      </c>
      <c r="K107" s="8">
        <v>2</v>
      </c>
      <c r="L107"/>
      <c r="M107"/>
    </row>
    <row r="108" spans="1:13" ht="15" x14ac:dyDescent="0.25">
      <c r="A108" s="2">
        <f t="shared" si="11"/>
        <v>108</v>
      </c>
      <c r="B108" s="7" t="s">
        <v>17</v>
      </c>
      <c r="C108" s="7" t="s">
        <v>54</v>
      </c>
      <c r="D108" s="5" t="str">
        <f t="shared" si="9"/>
        <v>Rodolfo Teófilo | 213 -Votos</v>
      </c>
      <c r="E108" s="7">
        <v>113</v>
      </c>
      <c r="F108" s="8">
        <v>-3.7397021591668298</v>
      </c>
      <c r="G108" s="8">
        <v>-38.547278854358801</v>
      </c>
      <c r="H108" s="2" t="str">
        <f t="shared" si="10"/>
        <v>SER 3-0 Votos</v>
      </c>
      <c r="I108" s="2">
        <v>0</v>
      </c>
      <c r="J108">
        <v>213</v>
      </c>
      <c r="K108" s="8">
        <v>4</v>
      </c>
      <c r="L108"/>
      <c r="M108"/>
    </row>
    <row r="109" spans="1:13" ht="15" x14ac:dyDescent="0.25">
      <c r="A109" s="2">
        <f t="shared" si="11"/>
        <v>109</v>
      </c>
      <c r="B109" s="7" t="s">
        <v>13</v>
      </c>
      <c r="C109" s="5" t="s">
        <v>90</v>
      </c>
      <c r="D109" s="5" t="str">
        <f t="shared" si="9"/>
        <v>Sabiaguaba | 13 -Votos</v>
      </c>
      <c r="E109" s="7">
        <v>2</v>
      </c>
      <c r="F109" s="7">
        <v>-3.8066835937607602</v>
      </c>
      <c r="G109" s="7">
        <v>-38.430875729977899</v>
      </c>
      <c r="H109" s="2" t="str">
        <f t="shared" si="10"/>
        <v>SER 7-0 Votos</v>
      </c>
      <c r="I109" s="2">
        <v>0</v>
      </c>
      <c r="J109">
        <v>13</v>
      </c>
      <c r="K109" s="8">
        <v>4</v>
      </c>
      <c r="L109"/>
      <c r="M109"/>
    </row>
    <row r="110" spans="1:13" ht="15" x14ac:dyDescent="0.25">
      <c r="A110" s="2">
        <f t="shared" si="11"/>
        <v>110</v>
      </c>
      <c r="B110" s="7" t="s">
        <v>13</v>
      </c>
      <c r="C110" s="5" t="s">
        <v>91</v>
      </c>
      <c r="D110" s="5" t="str">
        <f t="shared" si="9"/>
        <v>Salinas | 0 -Votos</v>
      </c>
      <c r="E110" s="7">
        <v>112</v>
      </c>
      <c r="F110" s="8">
        <v>-3.7676015324571699</v>
      </c>
      <c r="G110" s="8">
        <v>-38.496229971678297</v>
      </c>
      <c r="H110" s="2" t="str">
        <f t="shared" si="10"/>
        <v>SER 7-0 Votos</v>
      </c>
      <c r="I110" s="2">
        <v>0</v>
      </c>
      <c r="J110" s="8">
        <v>0</v>
      </c>
      <c r="K110" s="8">
        <v>5</v>
      </c>
      <c r="L110"/>
      <c r="M110"/>
    </row>
    <row r="111" spans="1:13" ht="15" x14ac:dyDescent="0.25">
      <c r="A111" s="2">
        <f t="shared" si="11"/>
        <v>111</v>
      </c>
      <c r="B111" s="7" t="s">
        <v>11</v>
      </c>
      <c r="C111" s="7" t="s">
        <v>136</v>
      </c>
      <c r="D111" s="5" t="str">
        <f t="shared" si="9"/>
        <v>São Bento | 0 -Votos</v>
      </c>
      <c r="E111" s="7">
        <v>2</v>
      </c>
      <c r="F111" s="8">
        <v>-3.8525791316810198</v>
      </c>
      <c r="G111" s="8">
        <v>-38.479775892303003</v>
      </c>
      <c r="H111" s="2" t="str">
        <f t="shared" si="10"/>
        <v>SER 6-0 Votos</v>
      </c>
      <c r="I111" s="2">
        <v>0</v>
      </c>
      <c r="J111" s="8">
        <v>0</v>
      </c>
      <c r="K111" s="8">
        <v>9</v>
      </c>
      <c r="L111"/>
      <c r="M111"/>
    </row>
    <row r="112" spans="1:13" ht="15" x14ac:dyDescent="0.25">
      <c r="A112" s="2">
        <f t="shared" si="11"/>
        <v>112</v>
      </c>
      <c r="B112" s="7" t="s">
        <v>17</v>
      </c>
      <c r="C112" s="7" t="s">
        <v>21</v>
      </c>
      <c r="D112" s="5" t="str">
        <f t="shared" si="9"/>
        <v>Sao Gerardo | 74 -Votos</v>
      </c>
      <c r="E112" s="7">
        <v>82</v>
      </c>
      <c r="F112" s="8">
        <v>-3.7324552353017002</v>
      </c>
      <c r="G112" s="8">
        <v>-38.558090896065302</v>
      </c>
      <c r="H112" s="2" t="str">
        <f t="shared" si="10"/>
        <v>SER 3-0 Votos</v>
      </c>
      <c r="I112" s="2">
        <v>0</v>
      </c>
      <c r="J112">
        <v>74</v>
      </c>
      <c r="K112" s="8">
        <v>3</v>
      </c>
      <c r="L112"/>
      <c r="M112"/>
    </row>
    <row r="113" spans="1:13" ht="15" x14ac:dyDescent="0.25">
      <c r="A113" s="2">
        <f t="shared" si="11"/>
        <v>113</v>
      </c>
      <c r="B113" s="7" t="s">
        <v>13</v>
      </c>
      <c r="C113" s="5" t="s">
        <v>84</v>
      </c>
      <c r="D113" s="5" t="str">
        <f t="shared" si="9"/>
        <v>Sapiranga/Coité | 10 -Votos</v>
      </c>
      <c r="E113" s="7">
        <v>112</v>
      </c>
      <c r="F113" s="8">
        <v>-3.7936789105161002</v>
      </c>
      <c r="G113" s="8">
        <v>-38.475588701150201</v>
      </c>
      <c r="H113" s="2" t="str">
        <f t="shared" si="10"/>
        <v>SER 7-0 Votos</v>
      </c>
      <c r="I113" s="2">
        <v>0</v>
      </c>
      <c r="J113">
        <v>10</v>
      </c>
      <c r="K113" s="8">
        <v>8</v>
      </c>
      <c r="L113"/>
      <c r="M113"/>
    </row>
    <row r="114" spans="1:13" ht="15" x14ac:dyDescent="0.25">
      <c r="A114" s="2">
        <f t="shared" si="11"/>
        <v>114</v>
      </c>
      <c r="B114" s="7" t="s">
        <v>20</v>
      </c>
      <c r="C114" s="7" t="s">
        <v>125</v>
      </c>
      <c r="D114" s="5" t="str">
        <f t="shared" si="9"/>
        <v>Serrinha | 70 -Votos</v>
      </c>
      <c r="E114" s="7">
        <v>115</v>
      </c>
      <c r="F114" s="8">
        <v>-3.78941196710687</v>
      </c>
      <c r="G114" s="8">
        <v>-38.538973370180202</v>
      </c>
      <c r="H114" s="2" t="str">
        <f t="shared" si="10"/>
        <v>SER 8-0 Votos</v>
      </c>
      <c r="I114" s="2">
        <v>0</v>
      </c>
      <c r="J114">
        <v>70</v>
      </c>
      <c r="K114" s="8">
        <v>5</v>
      </c>
      <c r="L114"/>
      <c r="M114"/>
    </row>
    <row r="115" spans="1:13" ht="15" x14ac:dyDescent="0.25">
      <c r="A115" s="2">
        <f t="shared" si="11"/>
        <v>115</v>
      </c>
      <c r="B115" s="7" t="s">
        <v>141</v>
      </c>
      <c r="C115" s="5" t="s">
        <v>110</v>
      </c>
      <c r="D115" s="5" t="str">
        <f t="shared" si="9"/>
        <v>Siqueira | 130 -Votos</v>
      </c>
      <c r="E115" s="7">
        <v>117</v>
      </c>
      <c r="F115" s="8">
        <v>-3.8044344811027799</v>
      </c>
      <c r="G115" s="8">
        <v>-38.611497241120503</v>
      </c>
      <c r="H115" s="2" t="str">
        <f t="shared" si="10"/>
        <v>SER 5-0 Votos</v>
      </c>
      <c r="I115" s="2">
        <v>0</v>
      </c>
      <c r="J115">
        <v>130</v>
      </c>
      <c r="K115" s="8">
        <v>6</v>
      </c>
      <c r="L115"/>
      <c r="M115"/>
    </row>
    <row r="116" spans="1:13" ht="15" x14ac:dyDescent="0.25">
      <c r="A116" s="2">
        <f t="shared" si="11"/>
        <v>116</v>
      </c>
      <c r="B116" s="7" t="s">
        <v>10</v>
      </c>
      <c r="C116" s="7" t="s">
        <v>55</v>
      </c>
      <c r="D116" s="5" t="str">
        <f t="shared" si="9"/>
        <v>Tauape | 72 -Votos</v>
      </c>
      <c r="E116" s="7">
        <v>80</v>
      </c>
      <c r="F116" s="8">
        <v>-3.75511796482381</v>
      </c>
      <c r="G116" s="8">
        <v>-38.506144550304597</v>
      </c>
      <c r="H116" s="2" t="str">
        <f t="shared" si="10"/>
        <v>SER 2-0 Votos</v>
      </c>
      <c r="I116" s="2">
        <v>0</v>
      </c>
      <c r="J116">
        <v>72</v>
      </c>
      <c r="K116" s="8">
        <v>7</v>
      </c>
      <c r="L116"/>
      <c r="M116"/>
    </row>
    <row r="117" spans="1:13" ht="15" x14ac:dyDescent="0.25">
      <c r="A117" s="2">
        <f t="shared" si="11"/>
        <v>117</v>
      </c>
      <c r="B117" s="7" t="s">
        <v>10</v>
      </c>
      <c r="C117" s="7" t="s">
        <v>56</v>
      </c>
      <c r="D117" s="5" t="str">
        <f t="shared" si="9"/>
        <v>Varjota | 14 -Votos</v>
      </c>
      <c r="E117" s="7">
        <v>1</v>
      </c>
      <c r="F117" s="8">
        <v>-3.73624865960333</v>
      </c>
      <c r="G117" s="8">
        <v>-38.486586712344597</v>
      </c>
      <c r="H117" s="2" t="str">
        <f t="shared" si="10"/>
        <v>SER 2-0 Votos</v>
      </c>
      <c r="I117" s="2">
        <v>0</v>
      </c>
      <c r="J117">
        <v>14</v>
      </c>
      <c r="K117" s="8">
        <v>2</v>
      </c>
      <c r="L117"/>
      <c r="M117"/>
    </row>
    <row r="118" spans="1:13" ht="15" x14ac:dyDescent="0.25">
      <c r="A118" s="2">
        <f t="shared" si="11"/>
        <v>118</v>
      </c>
      <c r="B118" s="7" t="s">
        <v>10</v>
      </c>
      <c r="C118" s="7" t="s">
        <v>57</v>
      </c>
      <c r="D118" s="5" t="str">
        <f t="shared" si="9"/>
        <v>Vicente Pinzon | 20 -Votos</v>
      </c>
      <c r="E118" s="7">
        <v>1</v>
      </c>
      <c r="F118" s="8">
        <v>-3.72744451567607</v>
      </c>
      <c r="G118" s="8">
        <v>-38.474579864932501</v>
      </c>
      <c r="H118" s="2" t="str">
        <f t="shared" si="10"/>
        <v>SER 2-0 Votos</v>
      </c>
      <c r="I118" s="2">
        <v>0</v>
      </c>
      <c r="J118">
        <v>20</v>
      </c>
      <c r="K118" s="8">
        <v>3</v>
      </c>
      <c r="L118"/>
      <c r="M118"/>
    </row>
    <row r="119" spans="1:13" ht="15" x14ac:dyDescent="0.25">
      <c r="A119" s="2">
        <f t="shared" si="11"/>
        <v>119</v>
      </c>
      <c r="B119" s="7" t="s">
        <v>15</v>
      </c>
      <c r="C119" s="7" t="s">
        <v>126</v>
      </c>
      <c r="D119" s="5" t="str">
        <f t="shared" si="9"/>
        <v>Vila Peri | 156 -Votos</v>
      </c>
      <c r="E119" s="7">
        <v>115</v>
      </c>
      <c r="F119" s="8">
        <v>-3.7881361536089702</v>
      </c>
      <c r="G119" s="8">
        <v>-38.577604447924003</v>
      </c>
      <c r="H119" s="2" t="str">
        <f t="shared" si="10"/>
        <v>SER 4-0 Votos</v>
      </c>
      <c r="I119" s="2">
        <v>0</v>
      </c>
      <c r="J119">
        <v>156</v>
      </c>
      <c r="K119" s="8">
        <v>4</v>
      </c>
      <c r="L119"/>
      <c r="M119"/>
    </row>
    <row r="120" spans="1:13" ht="15" x14ac:dyDescent="0.25">
      <c r="A120" s="2">
        <f t="shared" si="11"/>
        <v>120</v>
      </c>
      <c r="B120" s="7" t="s">
        <v>15</v>
      </c>
      <c r="C120" s="7" t="s">
        <v>127</v>
      </c>
      <c r="D120" s="5" t="str">
        <f t="shared" si="9"/>
        <v>Vila União | 36 -Votos</v>
      </c>
      <c r="E120" s="7">
        <v>80</v>
      </c>
      <c r="F120" s="8">
        <v>-3.7712911189301299</v>
      </c>
      <c r="G120" s="8">
        <v>-38.539225010023202</v>
      </c>
      <c r="H120" s="2" t="str">
        <f t="shared" si="10"/>
        <v>SER 4-0 Votos</v>
      </c>
      <c r="I120" s="2">
        <v>0</v>
      </c>
      <c r="J120">
        <v>36</v>
      </c>
      <c r="K120" s="2">
        <v>9</v>
      </c>
      <c r="L120"/>
      <c r="M120"/>
    </row>
    <row r="121" spans="1:13" ht="15" x14ac:dyDescent="0.25">
      <c r="A121" s="2">
        <f t="shared" si="11"/>
        <v>121</v>
      </c>
      <c r="B121" s="7" t="s">
        <v>14</v>
      </c>
      <c r="C121" s="7" t="s">
        <v>59</v>
      </c>
      <c r="D121" s="5" t="str">
        <f t="shared" si="9"/>
        <v>Vila Velha | 110 -Votos</v>
      </c>
      <c r="E121" s="7">
        <v>94</v>
      </c>
      <c r="F121" s="8">
        <v>-3.7194783884337999</v>
      </c>
      <c r="G121" s="8">
        <v>-38.606361694072497</v>
      </c>
      <c r="H121" s="2" t="str">
        <f t="shared" si="10"/>
        <v>SER 1-0 Votos</v>
      </c>
      <c r="I121" s="2">
        <v>0</v>
      </c>
      <c r="J121">
        <v>110</v>
      </c>
      <c r="K121" s="2">
        <v>6</v>
      </c>
      <c r="L121"/>
      <c r="M121"/>
    </row>
    <row r="122" spans="1:13" ht="15" x14ac:dyDescent="0.25">
      <c r="C122" s="7"/>
      <c r="D122" s="5"/>
      <c r="E122" s="7"/>
      <c r="F122" s="7"/>
      <c r="G122" s="7"/>
      <c r="J122" s="7">
        <f>SUM(J1:J121)</f>
        <v>10155</v>
      </c>
      <c r="K122" s="7">
        <f>SUM(K1:K121)</f>
        <v>121</v>
      </c>
      <c r="L122"/>
      <c r="M122">
        <v>10155</v>
      </c>
    </row>
    <row r="123" spans="1:13" ht="15" x14ac:dyDescent="0.25">
      <c r="C123" s="7"/>
      <c r="D123" s="5"/>
      <c r="E123" s="7"/>
      <c r="F123" s="7"/>
      <c r="G123" s="7"/>
      <c r="J123" s="7"/>
    </row>
    <row r="124" spans="1:13" ht="15" x14ac:dyDescent="0.25">
      <c r="C124" s="7"/>
      <c r="D124" s="5"/>
      <c r="E124" s="7"/>
      <c r="F124" s="7"/>
      <c r="G124" s="7"/>
      <c r="J124" s="7"/>
    </row>
    <row r="125" spans="1:13" ht="15" x14ac:dyDescent="0.25">
      <c r="C125" s="7"/>
      <c r="D125" s="5"/>
      <c r="E125" s="7"/>
      <c r="F125" s="7"/>
      <c r="G125" s="7"/>
      <c r="J125" s="7"/>
    </row>
    <row r="126" spans="1:13" ht="15" x14ac:dyDescent="0.25">
      <c r="C126" s="7"/>
      <c r="D126" s="5"/>
      <c r="E126" s="7"/>
      <c r="F126" s="7"/>
      <c r="G126" s="7"/>
      <c r="J126" s="7"/>
    </row>
    <row r="127" spans="1:13" ht="15" x14ac:dyDescent="0.25">
      <c r="C127" s="7"/>
      <c r="D127" s="5"/>
      <c r="E127" s="7"/>
      <c r="F127" s="7"/>
      <c r="G127" s="7"/>
      <c r="J127" s="7"/>
    </row>
    <row r="128" spans="1:13" ht="15" x14ac:dyDescent="0.25">
      <c r="C128" s="7"/>
      <c r="D128" s="7"/>
      <c r="E128" s="7"/>
      <c r="F128" s="7"/>
      <c r="G128" s="7"/>
      <c r="J128" s="7"/>
    </row>
    <row r="129" spans="3:10" ht="15" x14ac:dyDescent="0.25">
      <c r="C129" s="7"/>
      <c r="D129" s="7"/>
      <c r="E129" s="7"/>
      <c r="F129" s="7"/>
      <c r="G129" s="7"/>
      <c r="J129" s="7"/>
    </row>
    <row r="130" spans="3:10" ht="15" x14ac:dyDescent="0.25">
      <c r="C130" s="7"/>
      <c r="D130" s="7"/>
      <c r="E130" s="7"/>
      <c r="F130" s="7"/>
      <c r="G130" s="7"/>
      <c r="J130" s="7"/>
    </row>
    <row r="131" spans="3:10" ht="15" x14ac:dyDescent="0.25">
      <c r="C131" s="7"/>
      <c r="D131" s="7"/>
      <c r="E131" s="7"/>
      <c r="F131" s="7"/>
      <c r="G131" s="7"/>
      <c r="J131" s="7"/>
    </row>
    <row r="132" spans="3:10" ht="15" x14ac:dyDescent="0.25">
      <c r="C132" s="7"/>
      <c r="D132" s="7"/>
      <c r="E132" s="7"/>
      <c r="F132" s="7"/>
      <c r="G132" s="7"/>
      <c r="J132" s="7"/>
    </row>
    <row r="133" spans="3:10" ht="15" x14ac:dyDescent="0.25">
      <c r="C133" s="7"/>
      <c r="D133" s="7"/>
      <c r="E133" s="7"/>
      <c r="F133" s="7"/>
      <c r="G133" s="7"/>
      <c r="J133" s="7"/>
    </row>
    <row r="134" spans="3:10" ht="15" x14ac:dyDescent="0.25">
      <c r="C134" s="7"/>
      <c r="D134" s="7"/>
      <c r="E134" s="7"/>
      <c r="F134" s="7"/>
      <c r="G134" s="7"/>
      <c r="J134" s="7"/>
    </row>
    <row r="135" spans="3:10" ht="15" x14ac:dyDescent="0.25">
      <c r="C135" s="7"/>
      <c r="D135" s="7"/>
      <c r="E135" s="7"/>
      <c r="F135" s="7"/>
      <c r="G135" s="7"/>
      <c r="J135" s="7"/>
    </row>
    <row r="136" spans="3:10" ht="15" x14ac:dyDescent="0.25">
      <c r="C136" s="7"/>
      <c r="D136" s="7"/>
      <c r="E136" s="7"/>
      <c r="F136" s="7"/>
      <c r="G136" s="7"/>
      <c r="J136" s="7"/>
    </row>
    <row r="137" spans="3:10" ht="15" x14ac:dyDescent="0.25">
      <c r="C137" s="7"/>
      <c r="D137" s="7"/>
      <c r="E137" s="7"/>
      <c r="F137" s="7"/>
      <c r="G137" s="7"/>
      <c r="J137" s="7"/>
    </row>
    <row r="138" spans="3:10" ht="15" x14ac:dyDescent="0.25">
      <c r="C138" s="7"/>
      <c r="D138" s="7"/>
      <c r="E138" s="7"/>
      <c r="F138" s="7"/>
      <c r="G138" s="7"/>
      <c r="J138" s="7"/>
    </row>
    <row r="139" spans="3:10" ht="15" x14ac:dyDescent="0.25">
      <c r="C139" s="7"/>
      <c r="D139" s="7"/>
      <c r="E139" s="7"/>
      <c r="F139" s="7"/>
      <c r="G139" s="7"/>
      <c r="J139" s="7"/>
    </row>
    <row r="140" spans="3:10" ht="15" x14ac:dyDescent="0.25">
      <c r="C140" s="7"/>
      <c r="D140" s="7"/>
      <c r="E140" s="7"/>
      <c r="F140" s="7"/>
      <c r="G140" s="7"/>
      <c r="J140" s="7"/>
    </row>
    <row r="141" spans="3:10" ht="15" x14ac:dyDescent="0.25">
      <c r="C141" s="7"/>
      <c r="D141" s="7"/>
      <c r="E141" s="7"/>
      <c r="F141" s="7"/>
      <c r="G141" s="7"/>
      <c r="J141" s="7"/>
    </row>
    <row r="142" spans="3:10" ht="15" x14ac:dyDescent="0.25">
      <c r="C142" s="7"/>
      <c r="D142" s="7"/>
      <c r="E142" s="7"/>
      <c r="F142" s="7"/>
      <c r="G142" s="7"/>
      <c r="J142" s="7"/>
    </row>
    <row r="143" spans="3:10" ht="15" x14ac:dyDescent="0.25">
      <c r="C143" s="7"/>
      <c r="D143" s="7"/>
      <c r="E143" s="7"/>
      <c r="F143" s="7"/>
      <c r="G143" s="7"/>
      <c r="J143" s="7"/>
    </row>
    <row r="144" spans="3:10" ht="15" x14ac:dyDescent="0.25">
      <c r="C144" s="7"/>
      <c r="D144" s="7"/>
      <c r="E144" s="7"/>
      <c r="F144" s="7"/>
      <c r="G144" s="7"/>
      <c r="J144" s="7"/>
    </row>
    <row r="145" spans="3:10" ht="15" x14ac:dyDescent="0.25">
      <c r="C145" s="7"/>
      <c r="D145" s="7"/>
      <c r="E145" s="7"/>
      <c r="F145" s="7"/>
      <c r="G145" s="7"/>
      <c r="J145" s="7"/>
    </row>
    <row r="146" spans="3:10" ht="15" x14ac:dyDescent="0.25">
      <c r="C146" s="7"/>
      <c r="D146" s="7"/>
      <c r="E146" s="7"/>
      <c r="F146" s="7"/>
      <c r="G146" s="7"/>
      <c r="J146" s="7"/>
    </row>
    <row r="147" spans="3:10" ht="15" x14ac:dyDescent="0.25">
      <c r="C147" s="7"/>
      <c r="D147" s="7"/>
      <c r="E147" s="7"/>
      <c r="F147" s="7"/>
      <c r="G147" s="7"/>
      <c r="J147" s="7"/>
    </row>
    <row r="148" spans="3:10" ht="15" x14ac:dyDescent="0.25">
      <c r="C148" s="7"/>
      <c r="D148" s="7"/>
      <c r="E148" s="7"/>
      <c r="F148" s="7"/>
      <c r="G148" s="7"/>
      <c r="J148" s="7"/>
    </row>
    <row r="149" spans="3:10" ht="15" x14ac:dyDescent="0.25">
      <c r="C149" s="7"/>
      <c r="D149" s="7"/>
      <c r="E149" s="7"/>
      <c r="F149" s="7"/>
      <c r="G149" s="7"/>
      <c r="J149" s="7"/>
    </row>
    <row r="150" spans="3:10" ht="15" x14ac:dyDescent="0.25">
      <c r="C150" s="7"/>
      <c r="D150" s="7"/>
      <c r="E150" s="7"/>
      <c r="F150" s="7"/>
      <c r="G150" s="7"/>
      <c r="J150" s="7"/>
    </row>
    <row r="151" spans="3:10" ht="15" x14ac:dyDescent="0.25">
      <c r="C151" s="7"/>
      <c r="D151" s="7"/>
      <c r="E151" s="7"/>
      <c r="F151" s="7"/>
      <c r="G151" s="7"/>
      <c r="J151" s="7"/>
    </row>
    <row r="152" spans="3:10" ht="15" x14ac:dyDescent="0.25">
      <c r="C152" s="7"/>
      <c r="D152" s="7"/>
      <c r="E152" s="7"/>
      <c r="F152" s="7"/>
      <c r="G152" s="7"/>
      <c r="J152" s="7"/>
    </row>
    <row r="153" spans="3:10" ht="15" x14ac:dyDescent="0.25">
      <c r="C153" s="7"/>
      <c r="D153" s="7"/>
      <c r="E153" s="7"/>
      <c r="F153" s="7"/>
      <c r="G153" s="7"/>
      <c r="J153" s="7"/>
    </row>
    <row r="154" spans="3:10" ht="15" x14ac:dyDescent="0.25">
      <c r="C154" s="7"/>
      <c r="D154" s="7"/>
      <c r="E154" s="7"/>
      <c r="F154" s="7"/>
      <c r="G154" s="7"/>
      <c r="J154" s="7"/>
    </row>
    <row r="155" spans="3:10" ht="15" x14ac:dyDescent="0.25">
      <c r="C155" s="7"/>
      <c r="D155" s="7"/>
      <c r="E155" s="7"/>
      <c r="F155" s="7"/>
      <c r="G155" s="7"/>
      <c r="J155" s="7"/>
    </row>
    <row r="156" spans="3:10" ht="15" x14ac:dyDescent="0.25">
      <c r="C156" s="7"/>
      <c r="D156" s="7"/>
      <c r="E156" s="7"/>
      <c r="F156" s="7"/>
      <c r="G156" s="7"/>
      <c r="J156" s="7"/>
    </row>
    <row r="157" spans="3:10" ht="15" x14ac:dyDescent="0.25">
      <c r="C157" s="7"/>
      <c r="D157" s="7"/>
      <c r="E157" s="7"/>
      <c r="F157" s="7"/>
      <c r="G157" s="7"/>
      <c r="J157" s="7"/>
    </row>
    <row r="158" spans="3:10" ht="15" x14ac:dyDescent="0.25">
      <c r="C158" s="7"/>
      <c r="D158" s="7"/>
      <c r="E158" s="7"/>
      <c r="F158" s="7"/>
      <c r="G158" s="7"/>
      <c r="J158" s="7"/>
    </row>
    <row r="159" spans="3:10" ht="15" x14ac:dyDescent="0.25">
      <c r="C159" s="7"/>
      <c r="D159" s="7"/>
      <c r="E159" s="7"/>
      <c r="F159" s="7"/>
      <c r="G159" s="7"/>
      <c r="J159" s="7"/>
    </row>
    <row r="160" spans="3:10" ht="15" x14ac:dyDescent="0.25">
      <c r="C160" s="7"/>
      <c r="D160" s="7"/>
      <c r="E160" s="7"/>
      <c r="F160" s="7"/>
      <c r="G160" s="7"/>
      <c r="J160" s="7"/>
    </row>
    <row r="161" spans="3:10" ht="15" x14ac:dyDescent="0.25">
      <c r="C161" s="7"/>
      <c r="D161" s="7"/>
      <c r="E161" s="7"/>
      <c r="F161" s="7"/>
      <c r="G161" s="7"/>
      <c r="J161" s="7"/>
    </row>
    <row r="162" spans="3:10" ht="15" x14ac:dyDescent="0.25">
      <c r="C162" s="7"/>
      <c r="D162" s="7"/>
      <c r="E162" s="7"/>
      <c r="F162" s="7"/>
      <c r="G162" s="7"/>
      <c r="J162" s="7"/>
    </row>
    <row r="163" spans="3:10" ht="15" x14ac:dyDescent="0.25">
      <c r="C163" s="7"/>
      <c r="D163" s="7"/>
      <c r="E163" s="7"/>
      <c r="F163" s="7"/>
      <c r="G163" s="7"/>
      <c r="J163" s="7"/>
    </row>
    <row r="164" spans="3:10" ht="15" x14ac:dyDescent="0.25">
      <c r="C164" s="7"/>
      <c r="D164" s="7"/>
      <c r="E164" s="7"/>
      <c r="F164" s="7"/>
      <c r="G164" s="7"/>
      <c r="J164" s="7"/>
    </row>
    <row r="165" spans="3:10" ht="15" x14ac:dyDescent="0.25">
      <c r="C165" s="7"/>
      <c r="D165" s="7"/>
      <c r="E165" s="7"/>
      <c r="F165" s="7"/>
      <c r="G165" s="7"/>
      <c r="J165" s="7"/>
    </row>
    <row r="166" spans="3:10" ht="15" x14ac:dyDescent="0.25">
      <c r="C166" s="7"/>
      <c r="D166" s="7"/>
      <c r="E166" s="7"/>
      <c r="F166" s="7"/>
      <c r="G166" s="7"/>
      <c r="J166" s="7"/>
    </row>
    <row r="167" spans="3:10" ht="15" x14ac:dyDescent="0.25">
      <c r="C167" s="7"/>
      <c r="D167" s="7"/>
      <c r="E167" s="7"/>
      <c r="F167" s="7"/>
      <c r="G167" s="7"/>
      <c r="J167" s="7"/>
    </row>
    <row r="168" spans="3:10" ht="15" x14ac:dyDescent="0.25">
      <c r="C168" s="7"/>
      <c r="D168" s="7"/>
      <c r="E168" s="7"/>
      <c r="F168" s="7"/>
      <c r="G168" s="7"/>
      <c r="J168" s="7"/>
    </row>
    <row r="169" spans="3:10" ht="15" x14ac:dyDescent="0.25">
      <c r="C169" s="7"/>
      <c r="D169" s="7"/>
      <c r="E169" s="7"/>
      <c r="F169" s="7"/>
      <c r="G169" s="7"/>
      <c r="J169" s="7"/>
    </row>
    <row r="170" spans="3:10" ht="15" x14ac:dyDescent="0.25">
      <c r="C170" s="7"/>
      <c r="D170" s="7"/>
      <c r="E170" s="7"/>
      <c r="F170" s="7"/>
      <c r="G170" s="7"/>
      <c r="J170" s="7"/>
    </row>
    <row r="171" spans="3:10" ht="15" x14ac:dyDescent="0.25">
      <c r="C171" s="7"/>
      <c r="D171" s="7"/>
      <c r="E171" s="7"/>
      <c r="F171" s="7"/>
      <c r="G171" s="7"/>
      <c r="J171" s="7"/>
    </row>
    <row r="172" spans="3:10" ht="15" x14ac:dyDescent="0.25">
      <c r="C172" s="7"/>
      <c r="D172" s="7"/>
      <c r="E172" s="7"/>
      <c r="F172" s="7"/>
      <c r="G172" s="7"/>
      <c r="J172" s="7"/>
    </row>
    <row r="173" spans="3:10" ht="15" x14ac:dyDescent="0.25">
      <c r="C173" s="7"/>
      <c r="D173" s="7"/>
      <c r="E173" s="7"/>
      <c r="F173" s="7"/>
      <c r="G173" s="7"/>
      <c r="J173" s="7"/>
    </row>
    <row r="174" spans="3:10" ht="15" x14ac:dyDescent="0.25">
      <c r="C174" s="7"/>
      <c r="D174" s="7"/>
      <c r="E174" s="7"/>
      <c r="F174" s="7"/>
      <c r="G174" s="7"/>
      <c r="J174" s="7"/>
    </row>
    <row r="175" spans="3:10" ht="15" x14ac:dyDescent="0.25">
      <c r="C175" s="7"/>
      <c r="D175" s="7"/>
      <c r="E175" s="7"/>
      <c r="F175" s="7"/>
      <c r="G175" s="7"/>
      <c r="J175" s="7"/>
    </row>
    <row r="176" spans="3:10" ht="15" x14ac:dyDescent="0.25">
      <c r="C176" s="7"/>
      <c r="D176" s="7"/>
      <c r="E176" s="7"/>
      <c r="F176" s="7"/>
      <c r="G176" s="7"/>
      <c r="J176" s="7"/>
    </row>
    <row r="177" spans="3:10" ht="15" x14ac:dyDescent="0.25">
      <c r="C177" s="7"/>
      <c r="D177" s="7"/>
      <c r="E177" s="7"/>
      <c r="F177" s="7"/>
      <c r="G177" s="7"/>
      <c r="J177" s="7"/>
    </row>
    <row r="178" spans="3:10" ht="15" x14ac:dyDescent="0.25">
      <c r="C178" s="7"/>
      <c r="D178" s="7"/>
      <c r="E178" s="7"/>
      <c r="F178" s="7"/>
      <c r="G178" s="7"/>
      <c r="J178" s="7"/>
    </row>
    <row r="179" spans="3:10" ht="15" x14ac:dyDescent="0.25">
      <c r="C179" s="7"/>
      <c r="D179" s="7"/>
      <c r="E179" s="7"/>
      <c r="F179" s="7"/>
      <c r="G179" s="7"/>
      <c r="J179" s="7"/>
    </row>
    <row r="180" spans="3:10" ht="15" x14ac:dyDescent="0.25">
      <c r="C180" s="7"/>
      <c r="D180" s="7"/>
      <c r="E180" s="7"/>
      <c r="F180" s="7"/>
      <c r="G180" s="7"/>
      <c r="J180" s="7"/>
    </row>
    <row r="181" spans="3:10" ht="15" x14ac:dyDescent="0.25">
      <c r="C181" s="7"/>
      <c r="D181" s="7"/>
      <c r="E181" s="7"/>
      <c r="F181" s="7"/>
      <c r="G181" s="7"/>
      <c r="J181" s="7"/>
    </row>
    <row r="182" spans="3:10" ht="15" x14ac:dyDescent="0.25">
      <c r="C182" s="7"/>
      <c r="D182" s="7"/>
      <c r="E182" s="7"/>
      <c r="F182" s="7"/>
      <c r="G182" s="7"/>
      <c r="J182" s="7"/>
    </row>
    <row r="183" spans="3:10" ht="15" x14ac:dyDescent="0.25">
      <c r="C183" s="7"/>
      <c r="D183" s="7"/>
      <c r="E183" s="7"/>
      <c r="F183" s="7"/>
      <c r="G183" s="7"/>
      <c r="J183" s="7"/>
    </row>
    <row r="184" spans="3:10" ht="15" x14ac:dyDescent="0.25">
      <c r="C184" s="7"/>
      <c r="D184" s="7"/>
      <c r="E184" s="7"/>
      <c r="F184" s="7"/>
      <c r="G184" s="7"/>
      <c r="J184" s="7"/>
    </row>
    <row r="185" spans="3:10" ht="15" x14ac:dyDescent="0.25">
      <c r="C185" s="7"/>
      <c r="D185" s="7"/>
      <c r="E185" s="7"/>
      <c r="F185" s="7"/>
      <c r="G185" s="7"/>
      <c r="J185" s="7"/>
    </row>
    <row r="186" spans="3:10" ht="15" x14ac:dyDescent="0.25">
      <c r="C186" s="7"/>
      <c r="D186" s="7"/>
      <c r="E186" s="7"/>
      <c r="F186" s="7"/>
      <c r="G186" s="7"/>
      <c r="J186" s="7"/>
    </row>
    <row r="187" spans="3:10" ht="15" x14ac:dyDescent="0.25">
      <c r="C187" s="7"/>
      <c r="D187" s="7"/>
      <c r="E187" s="7"/>
      <c r="F187" s="7"/>
      <c r="G187" s="7"/>
      <c r="J187" s="7"/>
    </row>
    <row r="188" spans="3:10" ht="15" x14ac:dyDescent="0.25">
      <c r="C188" s="7"/>
      <c r="D188" s="7"/>
      <c r="E188" s="7"/>
      <c r="F188" s="7"/>
      <c r="G188" s="7"/>
      <c r="J188" s="7"/>
    </row>
    <row r="189" spans="3:10" ht="15" x14ac:dyDescent="0.25">
      <c r="C189" s="7"/>
      <c r="D189" s="7"/>
      <c r="E189" s="7"/>
      <c r="F189" s="7"/>
      <c r="G189" s="7"/>
      <c r="J189" s="7"/>
    </row>
    <row r="190" spans="3:10" ht="15" x14ac:dyDescent="0.25">
      <c r="C190" s="7"/>
      <c r="D190" s="7"/>
      <c r="E190" s="7"/>
      <c r="F190" s="7"/>
      <c r="G190" s="7"/>
      <c r="J190" s="7"/>
    </row>
    <row r="191" spans="3:10" ht="15" x14ac:dyDescent="0.25">
      <c r="C191" s="7"/>
      <c r="D191" s="7"/>
      <c r="E191" s="7"/>
      <c r="F191" s="7"/>
      <c r="G191" s="7"/>
      <c r="J191" s="7"/>
    </row>
    <row r="192" spans="3:10" ht="15" x14ac:dyDescent="0.25">
      <c r="C192" s="7"/>
      <c r="D192" s="7"/>
      <c r="E192" s="7"/>
      <c r="F192" s="7"/>
      <c r="G192" s="7"/>
      <c r="J192" s="7"/>
    </row>
    <row r="193" spans="3:10" ht="15" x14ac:dyDescent="0.25">
      <c r="C193" s="7"/>
      <c r="D193" s="7"/>
      <c r="E193" s="7"/>
      <c r="F193" s="7"/>
      <c r="G193" s="7"/>
      <c r="J193" s="7"/>
    </row>
    <row r="194" spans="3:10" ht="15" x14ac:dyDescent="0.25">
      <c r="C194" s="7"/>
      <c r="D194" s="7"/>
      <c r="E194" s="7"/>
      <c r="F194" s="7"/>
      <c r="G194" s="7"/>
      <c r="J194" s="7"/>
    </row>
    <row r="195" spans="3:10" ht="15" x14ac:dyDescent="0.25">
      <c r="C195" s="7"/>
      <c r="D195" s="7"/>
      <c r="E195" s="7"/>
      <c r="F195" s="7"/>
      <c r="G195" s="7"/>
      <c r="J195" s="7"/>
    </row>
    <row r="196" spans="3:10" ht="15" x14ac:dyDescent="0.25">
      <c r="C196" s="7"/>
      <c r="D196" s="7"/>
      <c r="E196" s="7"/>
      <c r="F196" s="7"/>
      <c r="G196" s="7"/>
      <c r="J196" s="7"/>
    </row>
    <row r="197" spans="3:10" ht="15" x14ac:dyDescent="0.25">
      <c r="C197" s="7"/>
      <c r="D197" s="7"/>
      <c r="E197" s="7"/>
      <c r="F197" s="7"/>
      <c r="G197" s="7"/>
      <c r="J197" s="7"/>
    </row>
    <row r="198" spans="3:10" ht="15" x14ac:dyDescent="0.25">
      <c r="C198" s="7"/>
      <c r="D198" s="7"/>
      <c r="E198" s="7"/>
      <c r="F198" s="7"/>
      <c r="G198" s="7"/>
      <c r="J198" s="7"/>
    </row>
    <row r="199" spans="3:10" ht="15" x14ac:dyDescent="0.25">
      <c r="C199" s="7"/>
      <c r="D199" s="7"/>
      <c r="E199" s="7"/>
      <c r="F199" s="7"/>
      <c r="G199" s="7"/>
      <c r="J199" s="7"/>
    </row>
    <row r="200" spans="3:10" ht="15" x14ac:dyDescent="0.25">
      <c r="C200" s="7"/>
      <c r="D200" s="7"/>
      <c r="E200" s="7"/>
      <c r="F200" s="7"/>
      <c r="G200" s="7"/>
      <c r="J200" s="7"/>
    </row>
    <row r="201" spans="3:10" ht="15" x14ac:dyDescent="0.25">
      <c r="C201" s="7"/>
      <c r="D201" s="7"/>
      <c r="E201" s="7"/>
      <c r="F201" s="7"/>
      <c r="G201" s="7"/>
      <c r="J201" s="7"/>
    </row>
    <row r="202" spans="3:10" ht="15" x14ac:dyDescent="0.25">
      <c r="C202" s="7"/>
      <c r="D202" s="7"/>
      <c r="E202" s="7"/>
      <c r="F202" s="7"/>
      <c r="G202" s="7"/>
      <c r="J202" s="7"/>
    </row>
    <row r="203" spans="3:10" ht="15" x14ac:dyDescent="0.25">
      <c r="C203" s="7"/>
      <c r="D203" s="7"/>
      <c r="E203" s="7"/>
      <c r="F203" s="7"/>
      <c r="G203" s="7"/>
      <c r="J203" s="7"/>
    </row>
    <row r="204" spans="3:10" ht="15" x14ac:dyDescent="0.25">
      <c r="C204" s="7"/>
      <c r="D204" s="7"/>
      <c r="E204" s="7"/>
      <c r="F204" s="7"/>
      <c r="G204" s="7"/>
      <c r="J204" s="7"/>
    </row>
    <row r="205" spans="3:10" ht="15" x14ac:dyDescent="0.25">
      <c r="C205" s="7"/>
      <c r="D205" s="7"/>
      <c r="E205" s="7"/>
      <c r="F205" s="7"/>
      <c r="G205" s="7"/>
      <c r="J205" s="7"/>
    </row>
    <row r="206" spans="3:10" ht="15" x14ac:dyDescent="0.25">
      <c r="C206" s="7"/>
      <c r="D206" s="7"/>
      <c r="E206" s="7"/>
      <c r="F206" s="7"/>
      <c r="G206" s="7"/>
      <c r="J206" s="7"/>
    </row>
    <row r="207" spans="3:10" ht="15" x14ac:dyDescent="0.25">
      <c r="C207" s="7"/>
      <c r="D207" s="7"/>
      <c r="E207" s="7"/>
      <c r="F207" s="7"/>
      <c r="G207" s="7"/>
      <c r="J207" s="7"/>
    </row>
    <row r="208" spans="3:10" ht="15" x14ac:dyDescent="0.25">
      <c r="C208" s="7"/>
      <c r="D208" s="7"/>
      <c r="E208" s="7"/>
      <c r="F208" s="7"/>
      <c r="G208" s="7"/>
      <c r="J208" s="7"/>
    </row>
    <row r="209" spans="3:10" ht="15" x14ac:dyDescent="0.25">
      <c r="C209" s="7"/>
      <c r="D209" s="7"/>
      <c r="E209" s="7"/>
      <c r="F209" s="7"/>
      <c r="G209" s="7"/>
      <c r="J209" s="7"/>
    </row>
    <row r="210" spans="3:10" ht="15" x14ac:dyDescent="0.25">
      <c r="C210" s="7"/>
      <c r="D210" s="7"/>
      <c r="E210" s="7"/>
      <c r="F210" s="7"/>
      <c r="G210" s="7"/>
      <c r="J210" s="7"/>
    </row>
    <row r="211" spans="3:10" ht="15" x14ac:dyDescent="0.25">
      <c r="C211" s="7"/>
      <c r="D211" s="7"/>
      <c r="E211" s="7"/>
      <c r="F211" s="7"/>
      <c r="G211" s="7"/>
      <c r="J211" s="7"/>
    </row>
    <row r="212" spans="3:10" ht="15" x14ac:dyDescent="0.25">
      <c r="C212" s="7"/>
      <c r="D212" s="7"/>
      <c r="E212" s="7"/>
      <c r="F212" s="7"/>
      <c r="G212" s="7"/>
      <c r="J212" s="7"/>
    </row>
    <row r="213" spans="3:10" ht="15" x14ac:dyDescent="0.25">
      <c r="C213" s="7"/>
      <c r="D213" s="7"/>
      <c r="E213" s="7"/>
      <c r="F213" s="7"/>
      <c r="G213" s="7"/>
      <c r="J213" s="7"/>
    </row>
    <row r="214" spans="3:10" ht="15" x14ac:dyDescent="0.25">
      <c r="C214" s="7"/>
      <c r="D214" s="7"/>
      <c r="E214" s="7"/>
      <c r="F214" s="7"/>
      <c r="G214" s="7"/>
      <c r="J214" s="7"/>
    </row>
    <row r="215" spans="3:10" ht="15" x14ac:dyDescent="0.25">
      <c r="C215" s="7"/>
      <c r="D215" s="7"/>
      <c r="E215" s="7"/>
      <c r="F215" s="7"/>
      <c r="G215" s="7"/>
      <c r="J215" s="7"/>
    </row>
    <row r="216" spans="3:10" ht="15" x14ac:dyDescent="0.25">
      <c r="C216" s="7"/>
      <c r="D216" s="7"/>
      <c r="E216" s="7"/>
      <c r="F216" s="7"/>
      <c r="G216" s="7"/>
      <c r="J216" s="7"/>
    </row>
    <row r="217" spans="3:10" ht="15" x14ac:dyDescent="0.25">
      <c r="C217" s="7"/>
      <c r="D217" s="7"/>
      <c r="E217" s="7"/>
      <c r="F217" s="7"/>
      <c r="G217" s="7"/>
      <c r="J217" s="7"/>
    </row>
    <row r="218" spans="3:10" ht="15" x14ac:dyDescent="0.25">
      <c r="C218" s="7"/>
      <c r="D218" s="7"/>
      <c r="E218" s="7"/>
      <c r="F218" s="7"/>
      <c r="G218" s="7"/>
      <c r="J218" s="7"/>
    </row>
    <row r="219" spans="3:10" ht="15" x14ac:dyDescent="0.25">
      <c r="C219" s="7"/>
      <c r="D219" s="7"/>
      <c r="E219" s="7"/>
      <c r="F219" s="7"/>
      <c r="G219" s="7"/>
      <c r="J219" s="7"/>
    </row>
    <row r="220" spans="3:10" ht="15" x14ac:dyDescent="0.25">
      <c r="C220" s="7"/>
      <c r="D220" s="7"/>
      <c r="E220" s="7"/>
      <c r="F220" s="7"/>
      <c r="G220" s="7"/>
      <c r="J220" s="7"/>
    </row>
    <row r="221" spans="3:10" ht="15" x14ac:dyDescent="0.25">
      <c r="C221" s="7"/>
      <c r="D221" s="7"/>
      <c r="E221" s="7"/>
      <c r="F221" s="7"/>
      <c r="G221" s="7"/>
      <c r="J221" s="7"/>
    </row>
    <row r="222" spans="3:10" ht="15" x14ac:dyDescent="0.25">
      <c r="C222" s="7"/>
      <c r="D222" s="7"/>
      <c r="E222" s="7"/>
      <c r="F222" s="7"/>
      <c r="G222" s="7"/>
      <c r="J222" s="7"/>
    </row>
    <row r="223" spans="3:10" ht="15" x14ac:dyDescent="0.25">
      <c r="C223" s="7"/>
      <c r="D223" s="7"/>
      <c r="E223" s="7"/>
      <c r="F223" s="7"/>
      <c r="G223" s="7"/>
      <c r="J223" s="7"/>
    </row>
    <row r="224" spans="3:10" ht="15" x14ac:dyDescent="0.25">
      <c r="C224" s="7"/>
      <c r="D224" s="7"/>
      <c r="E224" s="7"/>
      <c r="F224" s="7"/>
      <c r="G224" s="7"/>
      <c r="J224" s="7"/>
    </row>
    <row r="225" spans="3:10" ht="15" x14ac:dyDescent="0.25">
      <c r="C225" s="7"/>
      <c r="D225" s="7"/>
      <c r="E225" s="7"/>
      <c r="F225" s="7"/>
      <c r="G225" s="7"/>
      <c r="J225" s="7"/>
    </row>
    <row r="226" spans="3:10" ht="15" x14ac:dyDescent="0.25">
      <c r="C226" s="7"/>
      <c r="D226" s="7"/>
      <c r="E226" s="7"/>
      <c r="F226" s="7"/>
      <c r="G226" s="7"/>
      <c r="J226" s="7"/>
    </row>
    <row r="227" spans="3:10" ht="15" x14ac:dyDescent="0.25">
      <c r="C227" s="7"/>
      <c r="D227" s="7"/>
      <c r="E227" s="7"/>
      <c r="F227" s="7"/>
      <c r="G227" s="7"/>
      <c r="J227" s="7"/>
    </row>
    <row r="228" spans="3:10" ht="15" x14ac:dyDescent="0.25">
      <c r="C228" s="7"/>
      <c r="D228" s="7"/>
      <c r="E228" s="7"/>
      <c r="F228" s="7"/>
      <c r="G228" s="7"/>
      <c r="J228" s="7"/>
    </row>
    <row r="229" spans="3:10" ht="15" x14ac:dyDescent="0.25">
      <c r="C229" s="7"/>
      <c r="D229" s="7"/>
      <c r="E229" s="7"/>
      <c r="F229" s="7"/>
      <c r="G229" s="7"/>
      <c r="J229" s="7"/>
    </row>
    <row r="230" spans="3:10" ht="15" x14ac:dyDescent="0.25">
      <c r="C230" s="7"/>
      <c r="D230" s="7"/>
      <c r="E230" s="7"/>
      <c r="F230" s="7"/>
      <c r="G230" s="7"/>
      <c r="J230" s="7"/>
    </row>
    <row r="231" spans="3:10" ht="15" x14ac:dyDescent="0.25">
      <c r="C231" s="7"/>
      <c r="D231" s="7"/>
      <c r="E231" s="7"/>
      <c r="F231" s="7"/>
      <c r="G231" s="7"/>
      <c r="J231" s="7"/>
    </row>
    <row r="232" spans="3:10" ht="15" x14ac:dyDescent="0.25">
      <c r="C232" s="7"/>
      <c r="D232" s="7"/>
      <c r="E232" s="7"/>
      <c r="F232" s="7"/>
      <c r="G232" s="7"/>
      <c r="J232" s="7"/>
    </row>
    <row r="233" spans="3:10" ht="15" x14ac:dyDescent="0.25">
      <c r="C233" s="7"/>
      <c r="D233" s="7"/>
      <c r="E233" s="7"/>
      <c r="F233" s="7"/>
      <c r="G233" s="7"/>
      <c r="J233" s="7"/>
    </row>
    <row r="234" spans="3:10" ht="15" x14ac:dyDescent="0.25">
      <c r="C234" s="7"/>
      <c r="D234" s="7"/>
      <c r="E234" s="7"/>
      <c r="F234" s="7"/>
      <c r="G234" s="7"/>
      <c r="J234" s="7"/>
    </row>
    <row r="235" spans="3:10" ht="15" x14ac:dyDescent="0.25">
      <c r="C235" s="7"/>
      <c r="D235" s="7"/>
      <c r="E235" s="7"/>
      <c r="F235" s="7"/>
      <c r="G235" s="7"/>
      <c r="J235" s="7"/>
    </row>
    <row r="236" spans="3:10" ht="15" x14ac:dyDescent="0.25">
      <c r="C236" s="7"/>
      <c r="D236" s="7"/>
      <c r="E236" s="7"/>
      <c r="F236" s="7"/>
      <c r="G236" s="7"/>
      <c r="J236" s="7"/>
    </row>
    <row r="237" spans="3:10" ht="15" x14ac:dyDescent="0.25">
      <c r="C237" s="7"/>
      <c r="D237" s="7"/>
      <c r="E237" s="7"/>
      <c r="F237" s="7"/>
      <c r="G237" s="7"/>
      <c r="J237" s="7"/>
    </row>
    <row r="238" spans="3:10" ht="15" x14ac:dyDescent="0.25">
      <c r="C238" s="7"/>
      <c r="D238" s="7"/>
      <c r="E238" s="7"/>
      <c r="F238" s="7"/>
      <c r="G238" s="7"/>
      <c r="J238" s="7"/>
    </row>
    <row r="239" spans="3:10" ht="15" x14ac:dyDescent="0.25">
      <c r="C239" s="7"/>
      <c r="D239" s="7"/>
      <c r="E239" s="7"/>
      <c r="F239" s="7"/>
      <c r="G239" s="7"/>
      <c r="J239" s="7"/>
    </row>
    <row r="240" spans="3:10" ht="15" x14ac:dyDescent="0.25">
      <c r="C240" s="7"/>
      <c r="D240" s="7"/>
      <c r="E240" s="7"/>
      <c r="F240" s="7"/>
      <c r="G240" s="7"/>
      <c r="J240" s="7"/>
    </row>
    <row r="241" spans="3:10" ht="15" x14ac:dyDescent="0.25">
      <c r="C241" s="7"/>
      <c r="D241" s="7"/>
      <c r="E241" s="7"/>
      <c r="F241" s="7"/>
      <c r="G241" s="7"/>
      <c r="J241" s="7"/>
    </row>
    <row r="242" spans="3:10" ht="15" x14ac:dyDescent="0.25">
      <c r="C242" s="7"/>
      <c r="D242" s="7"/>
      <c r="E242" s="7"/>
      <c r="F242" s="7"/>
      <c r="G242" s="7"/>
      <c r="J242" s="7"/>
    </row>
    <row r="243" spans="3:10" ht="15" x14ac:dyDescent="0.25">
      <c r="C243" s="7"/>
      <c r="D243" s="7"/>
      <c r="E243" s="7"/>
      <c r="F243" s="7"/>
      <c r="G243" s="7"/>
      <c r="J243" s="7"/>
    </row>
    <row r="244" spans="3:10" ht="15" x14ac:dyDescent="0.25">
      <c r="C244" s="7"/>
      <c r="D244" s="7"/>
      <c r="E244" s="7"/>
      <c r="F244" s="7"/>
      <c r="G244" s="7"/>
      <c r="J244" s="7"/>
    </row>
    <row r="245" spans="3:10" ht="15" x14ac:dyDescent="0.25">
      <c r="C245" s="7"/>
      <c r="D245" s="7"/>
      <c r="E245" s="7"/>
      <c r="F245" s="7"/>
      <c r="G245" s="7"/>
      <c r="J245" s="7"/>
    </row>
    <row r="246" spans="3:10" ht="15" x14ac:dyDescent="0.25">
      <c r="C246" s="7"/>
      <c r="D246" s="7"/>
      <c r="E246" s="7"/>
      <c r="F246" s="7"/>
      <c r="G246" s="7"/>
      <c r="J246" s="7"/>
    </row>
    <row r="247" spans="3:10" ht="15" x14ac:dyDescent="0.25">
      <c r="C247" s="7"/>
      <c r="D247" s="7"/>
      <c r="E247" s="7"/>
      <c r="F247" s="7"/>
      <c r="G247" s="7"/>
      <c r="J247" s="7"/>
    </row>
    <row r="248" spans="3:10" ht="15" x14ac:dyDescent="0.25">
      <c r="C248" s="7"/>
      <c r="D248" s="7"/>
      <c r="E248" s="7"/>
      <c r="F248" s="7"/>
      <c r="G248" s="7"/>
      <c r="J248" s="7"/>
    </row>
    <row r="249" spans="3:10" ht="15" x14ac:dyDescent="0.25">
      <c r="C249" s="7"/>
      <c r="D249" s="7"/>
      <c r="E249" s="7"/>
      <c r="F249" s="7"/>
      <c r="G249" s="7"/>
      <c r="J249" s="7"/>
    </row>
    <row r="250" spans="3:10" ht="15" x14ac:dyDescent="0.25">
      <c r="C250" s="7"/>
      <c r="D250" s="7"/>
      <c r="E250" s="7"/>
      <c r="F250" s="7"/>
      <c r="G250" s="7"/>
      <c r="J250" s="7"/>
    </row>
    <row r="251" spans="3:10" ht="15" x14ac:dyDescent="0.25">
      <c r="C251" s="7"/>
      <c r="D251" s="7"/>
      <c r="E251" s="7"/>
      <c r="F251" s="7"/>
      <c r="G251" s="7"/>
      <c r="J251" s="7"/>
    </row>
    <row r="252" spans="3:10" ht="15" x14ac:dyDescent="0.25">
      <c r="C252" s="7"/>
      <c r="D252" s="7"/>
      <c r="E252" s="7"/>
      <c r="F252" s="7"/>
      <c r="G252" s="7"/>
      <c r="J252" s="7"/>
    </row>
    <row r="253" spans="3:10" ht="15" x14ac:dyDescent="0.25">
      <c r="C253" s="7"/>
      <c r="D253" s="7"/>
      <c r="E253" s="7"/>
      <c r="F253" s="7"/>
      <c r="G253" s="7"/>
      <c r="J253" s="7"/>
    </row>
    <row r="254" spans="3:10" ht="15" x14ac:dyDescent="0.25">
      <c r="C254" s="7"/>
      <c r="D254" s="7"/>
      <c r="E254" s="7"/>
      <c r="F254" s="7"/>
      <c r="G254" s="7"/>
      <c r="J254" s="7"/>
    </row>
    <row r="255" spans="3:10" ht="15" x14ac:dyDescent="0.25">
      <c r="C255" s="7"/>
      <c r="D255" s="7"/>
      <c r="E255" s="7"/>
      <c r="F255" s="7"/>
      <c r="G255" s="7"/>
      <c r="J255" s="7"/>
    </row>
    <row r="256" spans="3:10" ht="15" x14ac:dyDescent="0.25">
      <c r="C256" s="7"/>
      <c r="D256" s="7"/>
      <c r="E256" s="7"/>
      <c r="F256" s="7"/>
      <c r="G256" s="7"/>
      <c r="J256" s="7"/>
    </row>
    <row r="257" spans="3:10" ht="15" x14ac:dyDescent="0.25">
      <c r="C257" s="7"/>
      <c r="D257" s="7"/>
      <c r="E257" s="7"/>
      <c r="F257" s="7"/>
      <c r="G257" s="7"/>
      <c r="J257" s="7"/>
    </row>
    <row r="258" spans="3:10" ht="15" x14ac:dyDescent="0.25">
      <c r="C258" s="7"/>
      <c r="D258" s="7"/>
      <c r="E258" s="7"/>
      <c r="F258" s="7"/>
      <c r="G258" s="7"/>
      <c r="J258" s="7"/>
    </row>
    <row r="259" spans="3:10" ht="15" x14ac:dyDescent="0.25">
      <c r="C259" s="7"/>
      <c r="D259" s="7"/>
      <c r="E259" s="7"/>
      <c r="F259" s="7"/>
      <c r="G259" s="7"/>
      <c r="J259" s="7"/>
    </row>
    <row r="260" spans="3:10" ht="15" x14ac:dyDescent="0.25">
      <c r="C260" s="7"/>
      <c r="D260" s="7"/>
      <c r="E260" s="7"/>
      <c r="F260" s="7"/>
      <c r="G260" s="7"/>
      <c r="J260" s="7"/>
    </row>
    <row r="261" spans="3:10" ht="15" x14ac:dyDescent="0.25">
      <c r="C261" s="7"/>
      <c r="D261" s="7"/>
      <c r="E261" s="7"/>
      <c r="F261" s="7"/>
      <c r="G261" s="7"/>
      <c r="J261" s="7"/>
    </row>
    <row r="262" spans="3:10" ht="15" x14ac:dyDescent="0.25">
      <c r="C262" s="7"/>
      <c r="D262" s="7"/>
      <c r="E262" s="7"/>
      <c r="F262" s="7"/>
      <c r="G262" s="7"/>
      <c r="J262" s="7"/>
    </row>
    <row r="263" spans="3:10" ht="15" x14ac:dyDescent="0.25">
      <c r="C263" s="7"/>
      <c r="D263" s="7"/>
      <c r="E263" s="7"/>
      <c r="F263" s="7"/>
      <c r="G263" s="7"/>
      <c r="J263" s="7"/>
    </row>
    <row r="264" spans="3:10" ht="15" x14ac:dyDescent="0.25">
      <c r="C264" s="7"/>
      <c r="D264" s="7"/>
      <c r="E264" s="7"/>
      <c r="F264" s="7"/>
      <c r="G264" s="7"/>
      <c r="J264" s="7"/>
    </row>
    <row r="265" spans="3:10" ht="15" x14ac:dyDescent="0.25">
      <c r="C265" s="7"/>
      <c r="D265" s="7"/>
      <c r="E265" s="7"/>
      <c r="F265" s="7"/>
      <c r="G265" s="7"/>
      <c r="J265" s="7"/>
    </row>
    <row r="266" spans="3:10" ht="15" x14ac:dyDescent="0.25">
      <c r="C266" s="7"/>
      <c r="D266" s="7"/>
      <c r="E266" s="7"/>
      <c r="F266" s="7"/>
      <c r="G266" s="7"/>
      <c r="J266" s="7"/>
    </row>
    <row r="267" spans="3:10" ht="15" x14ac:dyDescent="0.25">
      <c r="C267" s="7"/>
      <c r="D267" s="7"/>
      <c r="E267" s="7"/>
      <c r="F267" s="7"/>
      <c r="G267" s="7"/>
      <c r="J267" s="7"/>
    </row>
    <row r="268" spans="3:10" ht="15" x14ac:dyDescent="0.25">
      <c r="C268" s="7"/>
      <c r="D268" s="7"/>
      <c r="E268" s="7"/>
      <c r="F268" s="7"/>
      <c r="G268" s="7"/>
      <c r="J268" s="7"/>
    </row>
    <row r="269" spans="3:10" ht="15" x14ac:dyDescent="0.25">
      <c r="C269" s="7"/>
      <c r="D269" s="7"/>
      <c r="E269" s="7"/>
      <c r="F269" s="7"/>
      <c r="G269" s="7"/>
      <c r="J269" s="7"/>
    </row>
    <row r="270" spans="3:10" ht="15" x14ac:dyDescent="0.25">
      <c r="C270" s="7"/>
      <c r="D270" s="7"/>
      <c r="E270" s="7"/>
      <c r="F270" s="7"/>
      <c r="G270" s="7"/>
      <c r="J270" s="7"/>
    </row>
    <row r="271" spans="3:10" ht="15" x14ac:dyDescent="0.25">
      <c r="C271" s="7"/>
      <c r="D271" s="7"/>
      <c r="E271" s="7"/>
      <c r="F271" s="7"/>
      <c r="G271" s="7"/>
      <c r="J271" s="7"/>
    </row>
    <row r="272" spans="3:10" ht="15" x14ac:dyDescent="0.25">
      <c r="C272" s="7"/>
      <c r="D272" s="7"/>
      <c r="E272" s="7"/>
      <c r="F272" s="7"/>
      <c r="G272" s="7"/>
      <c r="J272" s="7"/>
    </row>
    <row r="273" spans="3:10" ht="15" x14ac:dyDescent="0.25">
      <c r="C273" s="7"/>
      <c r="D273" s="7"/>
      <c r="E273" s="7"/>
      <c r="F273" s="7"/>
      <c r="G273" s="7"/>
      <c r="J273" s="7"/>
    </row>
    <row r="274" spans="3:10" ht="15" x14ac:dyDescent="0.25">
      <c r="C274" s="7"/>
      <c r="D274" s="7"/>
      <c r="E274" s="7"/>
      <c r="F274" s="7"/>
      <c r="G274" s="7"/>
      <c r="J274" s="7"/>
    </row>
    <row r="275" spans="3:10" ht="15" x14ac:dyDescent="0.25">
      <c r="C275" s="7"/>
      <c r="D275" s="7"/>
      <c r="E275" s="7"/>
      <c r="F275" s="7"/>
      <c r="G275" s="7"/>
      <c r="J275" s="7"/>
    </row>
    <row r="276" spans="3:10" ht="15" x14ac:dyDescent="0.25">
      <c r="C276" s="7"/>
      <c r="D276" s="7"/>
      <c r="E276" s="7"/>
      <c r="F276" s="7"/>
      <c r="G276" s="7"/>
      <c r="J276" s="7"/>
    </row>
    <row r="277" spans="3:10" ht="15" x14ac:dyDescent="0.25">
      <c r="C277" s="7"/>
      <c r="D277" s="7"/>
      <c r="E277" s="7"/>
      <c r="F277" s="7"/>
      <c r="G277" s="7"/>
      <c r="J277" s="7"/>
    </row>
    <row r="278" spans="3:10" ht="15" x14ac:dyDescent="0.25">
      <c r="C278" s="7"/>
      <c r="D278" s="7"/>
      <c r="E278" s="7"/>
      <c r="F278" s="7"/>
      <c r="G278" s="7"/>
      <c r="J278" s="7"/>
    </row>
    <row r="279" spans="3:10" ht="15" x14ac:dyDescent="0.25">
      <c r="C279" s="7"/>
      <c r="D279" s="7"/>
      <c r="E279" s="7"/>
      <c r="F279" s="7"/>
      <c r="G279" s="7"/>
      <c r="J279" s="7"/>
    </row>
    <row r="280" spans="3:10" ht="15" x14ac:dyDescent="0.25">
      <c r="C280" s="7"/>
      <c r="D280" s="7"/>
      <c r="E280" s="7"/>
      <c r="F280" s="7"/>
      <c r="G280" s="7"/>
      <c r="J280" s="7"/>
    </row>
    <row r="281" spans="3:10" ht="15" x14ac:dyDescent="0.25">
      <c r="C281" s="7"/>
      <c r="D281" s="7"/>
      <c r="E281" s="7"/>
      <c r="F281" s="7"/>
      <c r="G281" s="7"/>
      <c r="J281" s="7"/>
    </row>
    <row r="282" spans="3:10" ht="15" x14ac:dyDescent="0.25">
      <c r="C282" s="7"/>
      <c r="D282" s="7"/>
      <c r="E282" s="7"/>
      <c r="F282" s="7"/>
      <c r="G282" s="7"/>
      <c r="J282" s="7"/>
    </row>
    <row r="283" spans="3:10" ht="15" x14ac:dyDescent="0.25">
      <c r="C283" s="7"/>
      <c r="D283" s="7"/>
      <c r="E283" s="7"/>
      <c r="F283" s="7"/>
      <c r="G283" s="7"/>
      <c r="J283" s="7"/>
    </row>
    <row r="284" spans="3:10" ht="15" x14ac:dyDescent="0.25">
      <c r="C284" s="7"/>
      <c r="D284" s="7"/>
      <c r="E284" s="7"/>
      <c r="F284" s="7"/>
      <c r="G284" s="7"/>
      <c r="J284" s="7"/>
    </row>
    <row r="285" spans="3:10" ht="15" x14ac:dyDescent="0.25">
      <c r="C285" s="7"/>
      <c r="D285" s="7"/>
      <c r="E285" s="7"/>
      <c r="F285" s="7"/>
      <c r="G285" s="7"/>
      <c r="J285" s="7"/>
    </row>
    <row r="286" spans="3:10" ht="15" x14ac:dyDescent="0.25">
      <c r="C286" s="7"/>
      <c r="D286" s="7"/>
      <c r="E286" s="7"/>
      <c r="F286" s="7"/>
      <c r="G286" s="7"/>
      <c r="J286" s="7"/>
    </row>
    <row r="287" spans="3:10" ht="15" x14ac:dyDescent="0.25">
      <c r="C287" s="7"/>
      <c r="D287" s="7"/>
      <c r="E287" s="7"/>
      <c r="F287" s="7"/>
      <c r="G287" s="7"/>
      <c r="J287" s="7"/>
    </row>
    <row r="288" spans="3:10" ht="15" x14ac:dyDescent="0.25">
      <c r="C288" s="7"/>
      <c r="D288" s="7"/>
      <c r="E288" s="7"/>
      <c r="F288" s="7"/>
      <c r="G288" s="7"/>
      <c r="J288" s="7"/>
    </row>
    <row r="289" spans="3:10" ht="15" x14ac:dyDescent="0.25">
      <c r="C289" s="7"/>
      <c r="D289" s="7"/>
      <c r="E289" s="7"/>
      <c r="F289" s="7"/>
      <c r="G289" s="7"/>
      <c r="J289" s="7"/>
    </row>
    <row r="290" spans="3:10" ht="15" x14ac:dyDescent="0.25">
      <c r="C290" s="7"/>
      <c r="D290" s="7"/>
      <c r="E290" s="7"/>
      <c r="F290" s="7"/>
      <c r="G290" s="7"/>
      <c r="J290" s="7"/>
    </row>
    <row r="291" spans="3:10" ht="15" x14ac:dyDescent="0.25">
      <c r="C291" s="7"/>
      <c r="D291" s="7"/>
      <c r="E291" s="7"/>
      <c r="F291" s="7"/>
      <c r="G291" s="7"/>
      <c r="J291" s="7"/>
    </row>
    <row r="292" spans="3:10" ht="15" x14ac:dyDescent="0.25">
      <c r="C292" s="7"/>
      <c r="D292" s="7"/>
      <c r="E292" s="7"/>
      <c r="F292" s="7"/>
      <c r="G292" s="7"/>
      <c r="J292" s="7"/>
    </row>
    <row r="293" spans="3:10" ht="15" x14ac:dyDescent="0.25">
      <c r="C293" s="7"/>
      <c r="D293" s="7"/>
      <c r="E293" s="7"/>
      <c r="F293" s="7"/>
      <c r="G293" s="7"/>
      <c r="J293" s="7"/>
    </row>
    <row r="294" spans="3:10" ht="15" x14ac:dyDescent="0.25">
      <c r="C294" s="7"/>
      <c r="D294" s="7"/>
      <c r="E294" s="7"/>
      <c r="F294" s="7"/>
      <c r="G294" s="7"/>
      <c r="J294" s="7"/>
    </row>
    <row r="295" spans="3:10" ht="15" x14ac:dyDescent="0.25">
      <c r="C295" s="7"/>
      <c r="D295" s="7"/>
      <c r="E295" s="7"/>
      <c r="F295" s="7"/>
      <c r="G295" s="7"/>
      <c r="J295" s="7"/>
    </row>
    <row r="296" spans="3:10" ht="15" x14ac:dyDescent="0.25">
      <c r="C296" s="7"/>
      <c r="D296" s="7"/>
      <c r="E296" s="7"/>
      <c r="F296" s="7"/>
      <c r="G296" s="7"/>
      <c r="J296" s="7"/>
    </row>
    <row r="297" spans="3:10" ht="15" x14ac:dyDescent="0.25">
      <c r="C297" s="7"/>
      <c r="D297" s="7"/>
      <c r="E297" s="7"/>
      <c r="F297" s="7"/>
      <c r="G297" s="7"/>
      <c r="J297" s="7"/>
    </row>
    <row r="298" spans="3:10" ht="15" x14ac:dyDescent="0.25">
      <c r="C298" s="7"/>
      <c r="D298" s="7"/>
      <c r="E298" s="7"/>
      <c r="F298" s="7"/>
      <c r="G298" s="7"/>
      <c r="J298" s="7"/>
    </row>
    <row r="299" spans="3:10" ht="15" x14ac:dyDescent="0.25">
      <c r="C299" s="7"/>
      <c r="D299" s="7"/>
      <c r="E299" s="7"/>
      <c r="F299" s="7"/>
      <c r="G299" s="7"/>
      <c r="J299" s="7"/>
    </row>
    <row r="300" spans="3:10" ht="15" x14ac:dyDescent="0.25">
      <c r="C300" s="7"/>
      <c r="D300" s="7"/>
      <c r="E300" s="7"/>
      <c r="F300" s="7"/>
      <c r="G300" s="7"/>
      <c r="J300" s="7"/>
    </row>
    <row r="301" spans="3:10" ht="15" x14ac:dyDescent="0.25">
      <c r="C301" s="7"/>
      <c r="D301" s="7"/>
      <c r="E301" s="7"/>
      <c r="F301" s="7"/>
      <c r="G301" s="7"/>
      <c r="J301" s="7"/>
    </row>
    <row r="302" spans="3:10" ht="15" x14ac:dyDescent="0.25">
      <c r="C302" s="7"/>
      <c r="D302" s="7"/>
      <c r="E302" s="7"/>
      <c r="F302" s="7"/>
      <c r="G302" s="7"/>
      <c r="J302" s="7"/>
    </row>
    <row r="303" spans="3:10" ht="15" x14ac:dyDescent="0.25">
      <c r="C303" s="7"/>
      <c r="D303" s="7"/>
      <c r="E303" s="7"/>
      <c r="F303" s="7"/>
      <c r="G303" s="7"/>
      <c r="J303" s="7"/>
    </row>
    <row r="304" spans="3:10" ht="15" x14ac:dyDescent="0.25">
      <c r="C304" s="7"/>
      <c r="D304" s="7"/>
      <c r="E304" s="7"/>
      <c r="F304" s="7"/>
      <c r="G304" s="7"/>
      <c r="J304" s="7"/>
    </row>
    <row r="305" spans="3:10" ht="15" x14ac:dyDescent="0.25">
      <c r="C305" s="7"/>
      <c r="D305" s="7"/>
      <c r="E305" s="7"/>
      <c r="F305" s="7"/>
      <c r="G305" s="7"/>
      <c r="J305" s="7"/>
    </row>
    <row r="306" spans="3:10" ht="15" x14ac:dyDescent="0.25">
      <c r="C306" s="7"/>
      <c r="D306" s="7"/>
      <c r="E306" s="7"/>
      <c r="F306" s="7"/>
      <c r="G306" s="7"/>
      <c r="J306" s="7"/>
    </row>
    <row r="307" spans="3:10" ht="15" x14ac:dyDescent="0.25">
      <c r="C307" s="7"/>
      <c r="D307" s="7"/>
      <c r="E307" s="7"/>
      <c r="F307" s="7"/>
      <c r="G307" s="7"/>
      <c r="J307" s="7"/>
    </row>
    <row r="308" spans="3:10" ht="15" x14ac:dyDescent="0.25">
      <c r="C308" s="7"/>
      <c r="D308" s="7"/>
      <c r="E308" s="7"/>
      <c r="F308" s="7"/>
      <c r="G308" s="7"/>
      <c r="J308" s="7"/>
    </row>
    <row r="309" spans="3:10" ht="15" x14ac:dyDescent="0.25">
      <c r="C309" s="7"/>
      <c r="D309" s="7"/>
      <c r="E309" s="7"/>
      <c r="F309" s="7"/>
      <c r="G309" s="7"/>
      <c r="J309" s="7"/>
    </row>
    <row r="310" spans="3:10" ht="15" x14ac:dyDescent="0.25">
      <c r="C310" s="7"/>
      <c r="D310" s="7"/>
      <c r="E310" s="7"/>
      <c r="F310" s="7"/>
      <c r="G310" s="7"/>
      <c r="J310" s="7"/>
    </row>
    <row r="311" spans="3:10" ht="15" x14ac:dyDescent="0.25">
      <c r="C311" s="7"/>
      <c r="D311" s="7"/>
      <c r="E311" s="7"/>
      <c r="F311" s="7"/>
      <c r="G311" s="7"/>
      <c r="J311" s="7"/>
    </row>
    <row r="312" spans="3:10" ht="15" x14ac:dyDescent="0.25">
      <c r="C312" s="7"/>
      <c r="D312" s="7"/>
      <c r="E312" s="7"/>
      <c r="F312" s="7"/>
      <c r="G312" s="7"/>
      <c r="J312" s="7"/>
    </row>
    <row r="313" spans="3:10" ht="15" x14ac:dyDescent="0.25">
      <c r="C313" s="7"/>
      <c r="D313" s="7"/>
      <c r="E313" s="7"/>
      <c r="F313" s="7"/>
      <c r="G313" s="7"/>
      <c r="J313" s="7"/>
    </row>
    <row r="314" spans="3:10" ht="15" x14ac:dyDescent="0.25">
      <c r="C314" s="7"/>
      <c r="D314" s="7"/>
      <c r="E314" s="7"/>
      <c r="F314" s="7"/>
      <c r="G314" s="7"/>
      <c r="J314" s="7"/>
    </row>
    <row r="315" spans="3:10" ht="15" x14ac:dyDescent="0.25">
      <c r="C315" s="7"/>
      <c r="D315" s="7"/>
      <c r="E315" s="7"/>
      <c r="F315" s="7"/>
      <c r="G315" s="7"/>
      <c r="J315" s="7"/>
    </row>
    <row r="316" spans="3:10" ht="15" x14ac:dyDescent="0.25">
      <c r="C316" s="7"/>
      <c r="D316" s="7"/>
      <c r="E316" s="7"/>
      <c r="F316" s="7"/>
      <c r="G316" s="7"/>
      <c r="J316" s="7"/>
    </row>
    <row r="317" spans="3:10" ht="15" x14ac:dyDescent="0.25">
      <c r="C317" s="7"/>
      <c r="D317" s="7"/>
      <c r="E317" s="7"/>
      <c r="F317" s="7"/>
      <c r="G317" s="7"/>
      <c r="J317" s="7"/>
    </row>
    <row r="318" spans="3:10" ht="15" x14ac:dyDescent="0.25">
      <c r="C318" s="7"/>
      <c r="D318" s="7"/>
      <c r="E318" s="7"/>
      <c r="F318" s="7"/>
      <c r="G318" s="7"/>
      <c r="J318" s="7"/>
    </row>
    <row r="319" spans="3:10" ht="15" x14ac:dyDescent="0.25">
      <c r="C319" s="7"/>
      <c r="D319" s="7"/>
      <c r="E319" s="7"/>
      <c r="F319" s="7"/>
      <c r="G319" s="7"/>
      <c r="J319" s="7"/>
    </row>
    <row r="320" spans="3:10" ht="15" x14ac:dyDescent="0.25">
      <c r="C320" s="7"/>
      <c r="D320" s="7"/>
      <c r="E320" s="7"/>
      <c r="F320" s="7"/>
      <c r="G320" s="7"/>
      <c r="J320" s="7"/>
    </row>
    <row r="321" spans="3:10" ht="15" x14ac:dyDescent="0.25">
      <c r="C321" s="7"/>
      <c r="D321" s="7"/>
      <c r="E321" s="7"/>
      <c r="F321" s="7"/>
      <c r="G321" s="7"/>
      <c r="J321" s="7"/>
    </row>
    <row r="322" spans="3:10" ht="15" x14ac:dyDescent="0.25">
      <c r="C322" s="7"/>
      <c r="D322" s="7"/>
      <c r="E322" s="7"/>
      <c r="F322" s="7"/>
      <c r="G322" s="7"/>
      <c r="J322" s="7"/>
    </row>
    <row r="323" spans="3:10" ht="15" x14ac:dyDescent="0.25">
      <c r="C323" s="7"/>
      <c r="D323" s="7"/>
      <c r="E323" s="7"/>
      <c r="F323" s="7"/>
      <c r="G323" s="7"/>
      <c r="J323" s="7"/>
    </row>
    <row r="324" spans="3:10" ht="15" x14ac:dyDescent="0.25">
      <c r="C324" s="7"/>
      <c r="D324" s="7"/>
      <c r="E324" s="7"/>
      <c r="F324" s="7"/>
      <c r="G324" s="7"/>
      <c r="J324" s="7"/>
    </row>
    <row r="325" spans="3:10" ht="15" x14ac:dyDescent="0.25">
      <c r="C325" s="7"/>
      <c r="D325" s="7"/>
      <c r="E325" s="7"/>
      <c r="F325" s="7"/>
      <c r="G325" s="7"/>
      <c r="J325" s="7"/>
    </row>
    <row r="326" spans="3:10" ht="15" x14ac:dyDescent="0.25">
      <c r="C326" s="7"/>
      <c r="D326" s="7"/>
      <c r="E326" s="7"/>
      <c r="F326" s="7"/>
      <c r="G326" s="7"/>
      <c r="J326" s="7"/>
    </row>
    <row r="327" spans="3:10" ht="15" x14ac:dyDescent="0.25">
      <c r="C327" s="7"/>
      <c r="D327" s="7"/>
      <c r="E327" s="7"/>
      <c r="F327" s="7"/>
      <c r="G327" s="7"/>
      <c r="J327" s="7"/>
    </row>
    <row r="328" spans="3:10" ht="15" x14ac:dyDescent="0.25">
      <c r="C328" s="7"/>
      <c r="D328" s="7"/>
      <c r="E328" s="7"/>
      <c r="F328" s="7"/>
      <c r="G328" s="7"/>
      <c r="J328" s="7"/>
    </row>
    <row r="329" spans="3:10" ht="15" x14ac:dyDescent="0.25">
      <c r="C329" s="7"/>
      <c r="D329" s="7"/>
      <c r="E329" s="7"/>
      <c r="F329" s="7"/>
      <c r="G329" s="7"/>
      <c r="J329" s="7"/>
    </row>
    <row r="330" spans="3:10" ht="15" x14ac:dyDescent="0.25">
      <c r="C330" s="7"/>
      <c r="D330" s="7"/>
      <c r="E330" s="7"/>
      <c r="F330" s="7"/>
      <c r="G330" s="7"/>
      <c r="J330" s="7"/>
    </row>
    <row r="331" spans="3:10" ht="15" x14ac:dyDescent="0.25">
      <c r="C331" s="7"/>
      <c r="D331" s="7"/>
      <c r="E331" s="7"/>
      <c r="F331" s="7"/>
      <c r="G331" s="7"/>
      <c r="J331" s="7"/>
    </row>
    <row r="332" spans="3:10" ht="15" x14ac:dyDescent="0.25">
      <c r="C332" s="7"/>
      <c r="D332" s="7"/>
      <c r="E332" s="7"/>
      <c r="F332" s="7"/>
      <c r="G332" s="7"/>
      <c r="J332" s="7"/>
    </row>
    <row r="333" spans="3:10" ht="15" x14ac:dyDescent="0.25">
      <c r="C333" s="7"/>
      <c r="D333" s="7"/>
      <c r="E333" s="7"/>
      <c r="F333" s="7"/>
      <c r="G333" s="7"/>
      <c r="J333" s="7"/>
    </row>
    <row r="334" spans="3:10" ht="15" x14ac:dyDescent="0.25">
      <c r="C334" s="7"/>
      <c r="D334" s="7"/>
      <c r="E334" s="7"/>
      <c r="F334" s="7"/>
      <c r="G334" s="7"/>
      <c r="J334" s="7"/>
    </row>
    <row r="335" spans="3:10" ht="15" x14ac:dyDescent="0.25">
      <c r="C335" s="7"/>
      <c r="D335" s="7"/>
      <c r="E335" s="7"/>
      <c r="F335" s="7"/>
      <c r="G335" s="7"/>
      <c r="J335" s="7"/>
    </row>
    <row r="336" spans="3:10" ht="15" x14ac:dyDescent="0.25">
      <c r="C336" s="7"/>
      <c r="D336" s="7"/>
      <c r="E336" s="7"/>
      <c r="F336" s="7"/>
      <c r="G336" s="7"/>
      <c r="J336" s="7"/>
    </row>
    <row r="337" spans="3:10" ht="15" x14ac:dyDescent="0.25">
      <c r="C337" s="7"/>
      <c r="D337" s="7"/>
      <c r="E337" s="7"/>
      <c r="F337" s="7"/>
      <c r="G337" s="7"/>
      <c r="J337" s="7"/>
    </row>
    <row r="338" spans="3:10" ht="15" x14ac:dyDescent="0.25">
      <c r="C338" s="7"/>
      <c r="D338" s="7"/>
      <c r="E338" s="7"/>
      <c r="F338" s="7"/>
      <c r="G338" s="7"/>
      <c r="J338" s="7"/>
    </row>
    <row r="339" spans="3:10" ht="15" x14ac:dyDescent="0.25">
      <c r="C339" s="7"/>
      <c r="D339" s="7"/>
      <c r="E339" s="7"/>
      <c r="F339" s="7"/>
      <c r="G339" s="7"/>
      <c r="J339" s="7"/>
    </row>
    <row r="340" spans="3:10" ht="15" x14ac:dyDescent="0.25">
      <c r="C340" s="7"/>
      <c r="D340" s="7"/>
      <c r="E340" s="7"/>
      <c r="F340" s="7"/>
      <c r="G340" s="7"/>
      <c r="J340" s="7"/>
    </row>
    <row r="341" spans="3:10" ht="15" x14ac:dyDescent="0.25">
      <c r="C341" s="7"/>
      <c r="D341" s="7"/>
      <c r="E341" s="7"/>
      <c r="F341" s="7"/>
      <c r="G341" s="7"/>
      <c r="J341" s="7"/>
    </row>
    <row r="342" spans="3:10" ht="15" x14ac:dyDescent="0.25">
      <c r="C342" s="7"/>
      <c r="D342" s="7"/>
      <c r="E342" s="7"/>
      <c r="F342" s="7"/>
      <c r="G342" s="7"/>
      <c r="J342" s="7"/>
    </row>
    <row r="343" spans="3:10" ht="15" x14ac:dyDescent="0.25">
      <c r="C343" s="7"/>
      <c r="D343" s="7"/>
      <c r="E343" s="7"/>
      <c r="F343" s="7"/>
      <c r="G343" s="7"/>
      <c r="J343" s="7"/>
    </row>
    <row r="344" spans="3:10" ht="15" x14ac:dyDescent="0.25">
      <c r="C344" s="7"/>
      <c r="D344" s="7"/>
      <c r="E344" s="7"/>
      <c r="F344" s="7"/>
      <c r="G344" s="7"/>
      <c r="J344" s="7"/>
    </row>
    <row r="345" spans="3:10" ht="15" x14ac:dyDescent="0.25">
      <c r="C345" s="7"/>
      <c r="D345" s="7"/>
      <c r="E345" s="7"/>
      <c r="F345" s="7"/>
      <c r="G345" s="7"/>
      <c r="J345" s="7"/>
    </row>
    <row r="346" spans="3:10" ht="15" x14ac:dyDescent="0.25">
      <c r="C346" s="7"/>
      <c r="D346" s="7"/>
      <c r="E346" s="7"/>
      <c r="F346" s="7"/>
      <c r="G346" s="7"/>
      <c r="J346" s="7"/>
    </row>
    <row r="347" spans="3:10" ht="15" x14ac:dyDescent="0.25">
      <c r="C347" s="7"/>
      <c r="D347" s="7"/>
      <c r="E347" s="7"/>
      <c r="F347" s="7"/>
      <c r="G347" s="7"/>
      <c r="J347" s="7"/>
    </row>
    <row r="348" spans="3:10" ht="15" x14ac:dyDescent="0.25">
      <c r="C348" s="7"/>
      <c r="D348" s="7"/>
      <c r="E348" s="7"/>
      <c r="F348" s="7"/>
      <c r="G348" s="7"/>
      <c r="J348" s="7"/>
    </row>
    <row r="349" spans="3:10" ht="15" x14ac:dyDescent="0.25">
      <c r="C349" s="7"/>
      <c r="D349" s="7"/>
      <c r="E349" s="7"/>
      <c r="F349" s="7"/>
      <c r="G349" s="7"/>
      <c r="J349" s="7"/>
    </row>
    <row r="350" spans="3:10" ht="15" x14ac:dyDescent="0.25">
      <c r="C350" s="7"/>
      <c r="D350" s="7"/>
      <c r="E350" s="7"/>
      <c r="F350" s="7"/>
      <c r="G350" s="7"/>
      <c r="J350" s="7"/>
    </row>
    <row r="351" spans="3:10" ht="15" x14ac:dyDescent="0.25">
      <c r="C351" s="7"/>
      <c r="D351" s="7"/>
      <c r="E351" s="7"/>
      <c r="F351" s="7"/>
      <c r="G351" s="7"/>
      <c r="J351" s="7"/>
    </row>
    <row r="352" spans="3:10" ht="15" x14ac:dyDescent="0.25">
      <c r="C352" s="7"/>
      <c r="D352" s="7"/>
      <c r="E352" s="7"/>
      <c r="F352" s="7"/>
      <c r="G352" s="7"/>
      <c r="J352" s="7"/>
    </row>
    <row r="353" spans="3:10" ht="15" x14ac:dyDescent="0.25">
      <c r="C353" s="7"/>
      <c r="D353" s="7"/>
      <c r="E353" s="7"/>
      <c r="F353" s="7"/>
      <c r="G353" s="7"/>
      <c r="J353" s="7"/>
    </row>
    <row r="354" spans="3:10" ht="15" x14ac:dyDescent="0.25">
      <c r="C354" s="7"/>
      <c r="D354" s="7"/>
      <c r="E354" s="7"/>
      <c r="F354" s="7"/>
      <c r="G354" s="7"/>
      <c r="J354" s="7"/>
    </row>
    <row r="355" spans="3:10" ht="15" x14ac:dyDescent="0.25">
      <c r="C355" s="7"/>
      <c r="D355" s="7"/>
      <c r="E355" s="7"/>
      <c r="F355" s="7"/>
      <c r="G355" s="7"/>
      <c r="J355" s="7"/>
    </row>
    <row r="356" spans="3:10" ht="15" x14ac:dyDescent="0.25">
      <c r="C356" s="7"/>
      <c r="D356" s="7"/>
      <c r="E356" s="7"/>
      <c r="F356" s="7"/>
      <c r="G356" s="7"/>
      <c r="J356" s="7"/>
    </row>
    <row r="357" spans="3:10" ht="15" x14ac:dyDescent="0.25">
      <c r="C357" s="7"/>
      <c r="D357" s="7"/>
      <c r="E357" s="7"/>
      <c r="F357" s="7"/>
      <c r="G357" s="7"/>
      <c r="J357" s="7"/>
    </row>
    <row r="358" spans="3:10" ht="15" x14ac:dyDescent="0.25">
      <c r="C358" s="7"/>
      <c r="D358" s="7"/>
      <c r="E358" s="7"/>
      <c r="F358" s="7"/>
      <c r="G358" s="7"/>
      <c r="J358" s="7"/>
    </row>
    <row r="359" spans="3:10" ht="15" x14ac:dyDescent="0.25">
      <c r="C359" s="7"/>
      <c r="D359" s="7"/>
      <c r="E359" s="7"/>
      <c r="F359" s="7"/>
      <c r="G359" s="7"/>
      <c r="J359" s="7"/>
    </row>
    <row r="360" spans="3:10" ht="15" x14ac:dyDescent="0.25">
      <c r="C360" s="7"/>
      <c r="D360" s="7"/>
      <c r="E360" s="7"/>
      <c r="F360" s="7"/>
      <c r="G360" s="7"/>
      <c r="J360" s="7"/>
    </row>
    <row r="361" spans="3:10" ht="15" x14ac:dyDescent="0.25">
      <c r="C361" s="7"/>
      <c r="D361" s="7"/>
      <c r="E361" s="7"/>
      <c r="F361" s="7"/>
      <c r="G361" s="7"/>
      <c r="J361" s="7"/>
    </row>
    <row r="362" spans="3:10" ht="15" x14ac:dyDescent="0.25">
      <c r="C362" s="7"/>
      <c r="D362" s="7"/>
      <c r="E362" s="7"/>
      <c r="F362" s="7"/>
      <c r="G362" s="7"/>
      <c r="J362" s="7"/>
    </row>
    <row r="363" spans="3:10" ht="15" x14ac:dyDescent="0.25">
      <c r="C363" s="7"/>
      <c r="D363" s="7"/>
      <c r="E363" s="7"/>
      <c r="F363" s="7"/>
      <c r="G363" s="7"/>
      <c r="J363" s="7"/>
    </row>
    <row r="364" spans="3:10" ht="15" x14ac:dyDescent="0.25">
      <c r="C364" s="7"/>
      <c r="D364" s="7"/>
      <c r="E364" s="7"/>
      <c r="F364" s="7"/>
      <c r="G364" s="7"/>
      <c r="J364" s="7"/>
    </row>
    <row r="365" spans="3:10" ht="15" x14ac:dyDescent="0.25">
      <c r="C365" s="7"/>
      <c r="D365" s="7"/>
      <c r="E365" s="7"/>
      <c r="F365" s="7"/>
      <c r="G365" s="7"/>
      <c r="J365" s="7"/>
    </row>
    <row r="366" spans="3:10" ht="15" x14ac:dyDescent="0.25">
      <c r="C366" s="7"/>
      <c r="D366" s="7"/>
      <c r="E366" s="7"/>
      <c r="F366" s="7"/>
      <c r="G366" s="7"/>
      <c r="J366" s="7"/>
    </row>
    <row r="367" spans="3:10" ht="15" x14ac:dyDescent="0.25">
      <c r="C367" s="7"/>
      <c r="D367" s="7"/>
      <c r="E367" s="7"/>
      <c r="F367" s="7"/>
      <c r="G367" s="7"/>
      <c r="J367" s="7"/>
    </row>
    <row r="368" spans="3:10" ht="15" x14ac:dyDescent="0.25">
      <c r="C368" s="7"/>
      <c r="D368" s="7"/>
      <c r="E368" s="7"/>
      <c r="F368" s="7"/>
      <c r="G368" s="7"/>
      <c r="J368" s="7"/>
    </row>
    <row r="369" spans="3:10" ht="15" x14ac:dyDescent="0.25">
      <c r="C369" s="7"/>
      <c r="D369" s="7"/>
      <c r="E369" s="7"/>
      <c r="F369" s="7"/>
      <c r="G369" s="7"/>
      <c r="J369" s="7"/>
    </row>
    <row r="370" spans="3:10" ht="15" x14ac:dyDescent="0.25">
      <c r="C370" s="7"/>
      <c r="D370" s="7"/>
      <c r="E370" s="7"/>
      <c r="F370" s="7"/>
      <c r="G370" s="7"/>
      <c r="J370" s="7"/>
    </row>
    <row r="371" spans="3:10" ht="15" x14ac:dyDescent="0.25">
      <c r="C371" s="7"/>
      <c r="D371" s="7"/>
      <c r="E371" s="7"/>
      <c r="F371" s="7"/>
      <c r="G371" s="7"/>
      <c r="J371" s="7"/>
    </row>
    <row r="372" spans="3:10" ht="15" x14ac:dyDescent="0.25">
      <c r="C372" s="7"/>
      <c r="D372" s="7"/>
      <c r="E372" s="7"/>
      <c r="F372" s="7"/>
      <c r="G372" s="7"/>
      <c r="J372" s="7"/>
    </row>
    <row r="373" spans="3:10" ht="15" x14ac:dyDescent="0.25">
      <c r="C373" s="7"/>
      <c r="D373" s="7"/>
      <c r="E373" s="7"/>
      <c r="F373" s="7"/>
      <c r="G373" s="7"/>
      <c r="J373" s="7"/>
    </row>
    <row r="374" spans="3:10" ht="15" x14ac:dyDescent="0.25">
      <c r="C374" s="7"/>
      <c r="D374" s="7"/>
      <c r="E374" s="7"/>
      <c r="F374" s="7"/>
      <c r="G374" s="7"/>
      <c r="J374" s="7"/>
    </row>
    <row r="375" spans="3:10" ht="15" x14ac:dyDescent="0.25">
      <c r="C375" s="7"/>
      <c r="D375" s="7"/>
      <c r="E375" s="7"/>
      <c r="F375" s="7"/>
      <c r="G375" s="7"/>
      <c r="J375" s="7"/>
    </row>
    <row r="376" spans="3:10" ht="15" x14ac:dyDescent="0.25">
      <c r="C376" s="7"/>
      <c r="D376" s="7"/>
      <c r="E376" s="7"/>
      <c r="F376" s="7"/>
      <c r="G376" s="7"/>
      <c r="J376" s="7"/>
    </row>
    <row r="377" spans="3:10" ht="15" x14ac:dyDescent="0.25">
      <c r="C377" s="7"/>
      <c r="D377" s="7"/>
      <c r="E377" s="7"/>
      <c r="F377" s="7"/>
      <c r="G377" s="7"/>
      <c r="J377" s="7"/>
    </row>
    <row r="378" spans="3:10" ht="15" x14ac:dyDescent="0.25">
      <c r="C378" s="7"/>
      <c r="D378" s="7"/>
      <c r="E378" s="7"/>
      <c r="F378" s="7"/>
      <c r="G378" s="7"/>
      <c r="J378" s="7"/>
    </row>
    <row r="379" spans="3:10" ht="15" x14ac:dyDescent="0.25">
      <c r="C379" s="7"/>
      <c r="D379" s="7"/>
      <c r="E379" s="7"/>
      <c r="F379" s="7"/>
      <c r="G379" s="7"/>
      <c r="J379" s="7"/>
    </row>
    <row r="380" spans="3:10" ht="15" x14ac:dyDescent="0.25">
      <c r="C380" s="7"/>
      <c r="D380" s="7"/>
      <c r="E380" s="7"/>
      <c r="F380" s="7"/>
      <c r="G380" s="7"/>
      <c r="J380" s="7"/>
    </row>
    <row r="381" spans="3:10" ht="15" x14ac:dyDescent="0.25">
      <c r="C381" s="7"/>
      <c r="D381" s="7"/>
      <c r="E381" s="7"/>
      <c r="F381" s="7"/>
      <c r="G381" s="7"/>
      <c r="J381" s="7"/>
    </row>
    <row r="382" spans="3:10" ht="15" x14ac:dyDescent="0.25">
      <c r="C382" s="7"/>
      <c r="D382" s="7"/>
      <c r="E382" s="7"/>
      <c r="F382" s="7"/>
      <c r="G382" s="7"/>
      <c r="J382" s="7"/>
    </row>
    <row r="383" spans="3:10" ht="15" x14ac:dyDescent="0.25">
      <c r="C383" s="7"/>
      <c r="D383" s="7"/>
      <c r="E383" s="7"/>
      <c r="F383" s="7"/>
      <c r="G383" s="7"/>
      <c r="J383" s="7"/>
    </row>
    <row r="384" spans="3:10" ht="15" x14ac:dyDescent="0.25">
      <c r="C384" s="7"/>
      <c r="D384" s="7"/>
      <c r="E384" s="7"/>
      <c r="F384" s="7"/>
      <c r="G384" s="7"/>
      <c r="J384" s="7"/>
    </row>
    <row r="385" spans="3:10" ht="15" x14ac:dyDescent="0.25">
      <c r="C385" s="7"/>
      <c r="D385" s="7"/>
      <c r="E385" s="7"/>
      <c r="F385" s="7"/>
      <c r="G385" s="7"/>
      <c r="J385" s="7"/>
    </row>
    <row r="386" spans="3:10" ht="15" x14ac:dyDescent="0.25">
      <c r="C386" s="7"/>
      <c r="D386" s="7"/>
      <c r="E386" s="7"/>
      <c r="F386" s="7"/>
      <c r="G386" s="7"/>
      <c r="J386" s="7"/>
    </row>
    <row r="387" spans="3:10" ht="15" x14ac:dyDescent="0.25">
      <c r="C387" s="7"/>
      <c r="D387" s="7"/>
      <c r="E387" s="7"/>
      <c r="F387" s="7"/>
      <c r="G387" s="7"/>
      <c r="J387" s="7"/>
    </row>
    <row r="388" spans="3:10" ht="15" x14ac:dyDescent="0.25">
      <c r="C388" s="7"/>
      <c r="D388" s="7"/>
      <c r="E388" s="7"/>
      <c r="F388" s="7"/>
      <c r="G388" s="7"/>
      <c r="J388" s="7"/>
    </row>
    <row r="389" spans="3:10" ht="15" x14ac:dyDescent="0.25">
      <c r="C389" s="7"/>
      <c r="D389" s="7"/>
      <c r="E389" s="7"/>
      <c r="F389" s="7"/>
      <c r="G389" s="7"/>
      <c r="J389" s="7"/>
    </row>
    <row r="390" spans="3:10" ht="15" x14ac:dyDescent="0.25">
      <c r="C390" s="7"/>
      <c r="D390" s="7"/>
      <c r="E390" s="7"/>
      <c r="F390" s="7"/>
      <c r="G390" s="7"/>
      <c r="J390" s="7"/>
    </row>
    <row r="391" spans="3:10" ht="15" x14ac:dyDescent="0.25">
      <c r="C391" s="7"/>
      <c r="D391" s="7"/>
      <c r="E391" s="7"/>
      <c r="F391" s="7"/>
      <c r="G391" s="7"/>
      <c r="J391" s="7"/>
    </row>
    <row r="392" spans="3:10" ht="15" x14ac:dyDescent="0.25">
      <c r="C392" s="7"/>
      <c r="D392" s="7"/>
      <c r="E392" s="7"/>
      <c r="F392" s="7"/>
      <c r="G392" s="7"/>
      <c r="J392" s="7"/>
    </row>
    <row r="393" spans="3:10" ht="15" x14ac:dyDescent="0.25">
      <c r="C393" s="7"/>
      <c r="D393" s="7"/>
      <c r="E393" s="7"/>
      <c r="F393" s="7"/>
      <c r="G393" s="7"/>
      <c r="J393" s="7"/>
    </row>
    <row r="394" spans="3:10" ht="15" x14ac:dyDescent="0.25">
      <c r="C394" s="7"/>
      <c r="D394" s="7"/>
      <c r="E394" s="7"/>
      <c r="F394" s="7"/>
      <c r="G394" s="7"/>
      <c r="J394" s="7"/>
    </row>
    <row r="395" spans="3:10" ht="15" x14ac:dyDescent="0.25">
      <c r="C395" s="7"/>
      <c r="D395" s="7"/>
      <c r="E395" s="7"/>
      <c r="F395" s="7"/>
      <c r="G395" s="7"/>
      <c r="J395" s="7"/>
    </row>
    <row r="396" spans="3:10" ht="15" x14ac:dyDescent="0.25">
      <c r="C396" s="7"/>
      <c r="D396" s="7"/>
      <c r="E396" s="7"/>
      <c r="F396" s="7"/>
      <c r="G396" s="7"/>
      <c r="J396" s="7"/>
    </row>
    <row r="397" spans="3:10" ht="15" x14ac:dyDescent="0.25">
      <c r="C397" s="7"/>
      <c r="D397" s="7"/>
      <c r="E397" s="7"/>
      <c r="F397" s="7"/>
      <c r="G397" s="7"/>
      <c r="J397" s="7"/>
    </row>
    <row r="398" spans="3:10" ht="15" x14ac:dyDescent="0.25">
      <c r="C398" s="7"/>
      <c r="D398" s="7"/>
      <c r="E398" s="7"/>
      <c r="F398" s="7"/>
      <c r="G398" s="7"/>
      <c r="J398" s="7"/>
    </row>
    <row r="399" spans="3:10" ht="15" x14ac:dyDescent="0.25">
      <c r="C399" s="7"/>
      <c r="D399" s="7"/>
      <c r="E399" s="7"/>
      <c r="F399" s="7"/>
      <c r="G399" s="7"/>
      <c r="J399" s="7"/>
    </row>
    <row r="400" spans="3:10" ht="15" x14ac:dyDescent="0.25">
      <c r="C400" s="7"/>
      <c r="D400" s="7"/>
      <c r="E400" s="7"/>
      <c r="F400" s="7"/>
      <c r="G400" s="7"/>
      <c r="J400" s="7"/>
    </row>
    <row r="401" spans="3:10" ht="15" x14ac:dyDescent="0.25">
      <c r="C401" s="7"/>
      <c r="D401" s="7"/>
      <c r="E401" s="7"/>
      <c r="F401" s="7"/>
      <c r="G401" s="7"/>
      <c r="J401" s="7"/>
    </row>
    <row r="402" spans="3:10" ht="15" x14ac:dyDescent="0.25">
      <c r="C402" s="7"/>
      <c r="D402" s="7"/>
      <c r="E402" s="7"/>
      <c r="F402" s="7"/>
      <c r="G402" s="7"/>
      <c r="J402" s="7"/>
    </row>
    <row r="403" spans="3:10" ht="15" x14ac:dyDescent="0.25">
      <c r="C403" s="7"/>
      <c r="D403" s="7"/>
      <c r="E403" s="7"/>
      <c r="F403" s="7"/>
      <c r="G403" s="7"/>
      <c r="J403" s="7"/>
    </row>
    <row r="404" spans="3:10" ht="15" x14ac:dyDescent="0.25">
      <c r="C404" s="7"/>
      <c r="D404" s="7"/>
      <c r="E404" s="7"/>
      <c r="F404" s="7"/>
      <c r="G404" s="7"/>
      <c r="J404" s="7"/>
    </row>
    <row r="405" spans="3:10" ht="15" x14ac:dyDescent="0.25">
      <c r="C405" s="7"/>
      <c r="D405" s="7"/>
      <c r="E405" s="7"/>
      <c r="F405" s="7"/>
      <c r="G405" s="7"/>
      <c r="J405" s="7"/>
    </row>
    <row r="406" spans="3:10" ht="15" x14ac:dyDescent="0.25">
      <c r="C406" s="7"/>
      <c r="D406" s="7"/>
      <c r="E406" s="7"/>
      <c r="F406" s="7"/>
      <c r="G406" s="7"/>
      <c r="J406" s="7"/>
    </row>
    <row r="407" spans="3:10" ht="15" x14ac:dyDescent="0.25">
      <c r="C407" s="7"/>
      <c r="D407" s="7"/>
      <c r="E407" s="7"/>
      <c r="F407" s="7"/>
      <c r="G407" s="7"/>
      <c r="J407" s="7"/>
    </row>
    <row r="408" spans="3:10" ht="15" x14ac:dyDescent="0.25">
      <c r="C408" s="7"/>
      <c r="D408" s="7"/>
      <c r="E408" s="7"/>
      <c r="F408" s="7"/>
      <c r="G408" s="7"/>
      <c r="J408" s="7"/>
    </row>
    <row r="409" spans="3:10" ht="15" x14ac:dyDescent="0.25">
      <c r="C409" s="7"/>
      <c r="D409" s="7"/>
      <c r="E409" s="7"/>
      <c r="F409" s="7"/>
      <c r="G409" s="7"/>
      <c r="J409" s="7"/>
    </row>
    <row r="410" spans="3:10" ht="15" x14ac:dyDescent="0.25">
      <c r="C410" s="7"/>
      <c r="D410" s="7"/>
      <c r="E410" s="7"/>
      <c r="F410" s="7"/>
      <c r="G410" s="7"/>
      <c r="J410" s="7"/>
    </row>
    <row r="411" spans="3:10" ht="15" x14ac:dyDescent="0.25">
      <c r="C411" s="7"/>
      <c r="D411" s="7"/>
      <c r="E411" s="7"/>
      <c r="F411" s="7"/>
      <c r="G411" s="7"/>
      <c r="J411" s="7"/>
    </row>
    <row r="412" spans="3:10" ht="15" x14ac:dyDescent="0.25">
      <c r="C412" s="7"/>
      <c r="D412" s="7"/>
      <c r="E412" s="7"/>
      <c r="F412" s="7"/>
      <c r="G412" s="7"/>
      <c r="J412" s="7"/>
    </row>
    <row r="413" spans="3:10" ht="15" x14ac:dyDescent="0.25">
      <c r="C413" s="7"/>
      <c r="D413" s="7"/>
      <c r="E413" s="7"/>
      <c r="F413" s="7"/>
      <c r="G413" s="7"/>
      <c r="J413" s="7"/>
    </row>
    <row r="414" spans="3:10" ht="15" x14ac:dyDescent="0.25">
      <c r="C414" s="7"/>
      <c r="D414" s="7"/>
      <c r="E414" s="7"/>
      <c r="F414" s="7"/>
      <c r="G414" s="7"/>
      <c r="J414" s="7"/>
    </row>
    <row r="415" spans="3:10" ht="15" x14ac:dyDescent="0.25">
      <c r="C415" s="7"/>
      <c r="D415" s="7"/>
      <c r="E415" s="7"/>
      <c r="F415" s="7"/>
      <c r="G415" s="7"/>
      <c r="J415" s="7"/>
    </row>
    <row r="416" spans="3:10" ht="15" x14ac:dyDescent="0.25">
      <c r="C416" s="7"/>
      <c r="D416" s="7"/>
      <c r="E416" s="7"/>
      <c r="F416" s="7"/>
      <c r="G416" s="7"/>
      <c r="J416" s="7"/>
    </row>
    <row r="417" spans="3:10" ht="15" x14ac:dyDescent="0.25">
      <c r="C417" s="7"/>
      <c r="D417" s="7"/>
      <c r="E417" s="7"/>
      <c r="F417" s="7"/>
      <c r="G417" s="7"/>
      <c r="J417" s="7"/>
    </row>
    <row r="418" spans="3:10" ht="15" x14ac:dyDescent="0.25">
      <c r="C418" s="7"/>
      <c r="D418" s="7"/>
      <c r="E418" s="7"/>
      <c r="F418" s="7"/>
      <c r="G418" s="7"/>
      <c r="J418" s="7"/>
    </row>
    <row r="419" spans="3:10" ht="15" x14ac:dyDescent="0.25">
      <c r="C419" s="7"/>
      <c r="D419" s="7"/>
      <c r="E419" s="7"/>
      <c r="F419" s="7"/>
      <c r="G419" s="7"/>
      <c r="J419" s="7"/>
    </row>
    <row r="420" spans="3:10" ht="15" x14ac:dyDescent="0.25">
      <c r="C420" s="7"/>
      <c r="D420" s="7"/>
      <c r="E420" s="7"/>
      <c r="F420" s="7"/>
      <c r="G420" s="7"/>
      <c r="J420" s="7"/>
    </row>
    <row r="421" spans="3:10" ht="15" x14ac:dyDescent="0.25">
      <c r="C421" s="7"/>
      <c r="D421" s="7"/>
      <c r="E421" s="7"/>
      <c r="F421" s="7"/>
      <c r="G421" s="7"/>
      <c r="J421" s="7"/>
    </row>
    <row r="422" spans="3:10" ht="15" x14ac:dyDescent="0.25">
      <c r="C422" s="7"/>
      <c r="D422" s="7"/>
      <c r="E422" s="7"/>
      <c r="F422" s="7"/>
      <c r="G422" s="7"/>
      <c r="J422" s="7"/>
    </row>
    <row r="423" spans="3:10" ht="15" x14ac:dyDescent="0.25">
      <c r="C423" s="7"/>
      <c r="D423" s="7"/>
      <c r="E423" s="7"/>
      <c r="F423" s="7"/>
      <c r="G423" s="7"/>
      <c r="J423" s="7"/>
    </row>
    <row r="424" spans="3:10" ht="15" x14ac:dyDescent="0.25">
      <c r="C424" s="7"/>
      <c r="D424" s="7"/>
      <c r="E424" s="7"/>
      <c r="F424" s="7"/>
      <c r="G424" s="7"/>
      <c r="J424" s="7"/>
    </row>
    <row r="425" spans="3:10" ht="15" x14ac:dyDescent="0.25">
      <c r="C425" s="7"/>
      <c r="D425" s="7"/>
      <c r="E425" s="7"/>
      <c r="F425" s="7"/>
      <c r="G425" s="7"/>
      <c r="J425" s="7"/>
    </row>
    <row r="426" spans="3:10" ht="15" x14ac:dyDescent="0.25">
      <c r="C426" s="7"/>
      <c r="D426" s="7"/>
      <c r="E426" s="7"/>
      <c r="F426" s="7"/>
      <c r="G426" s="7"/>
      <c r="J426" s="7"/>
    </row>
    <row r="427" spans="3:10" ht="15" x14ac:dyDescent="0.25">
      <c r="C427" s="7"/>
      <c r="D427" s="7"/>
      <c r="E427" s="7"/>
      <c r="F427" s="7"/>
      <c r="G427" s="7"/>
      <c r="J427" s="7"/>
    </row>
    <row r="428" spans="3:10" ht="15" x14ac:dyDescent="0.25">
      <c r="C428" s="7"/>
      <c r="D428" s="7"/>
      <c r="E428" s="7"/>
      <c r="F428" s="7"/>
      <c r="G428" s="7"/>
      <c r="J428" s="7"/>
    </row>
    <row r="429" spans="3:10" ht="15" x14ac:dyDescent="0.25">
      <c r="C429" s="7"/>
      <c r="D429" s="7"/>
      <c r="E429" s="7"/>
      <c r="F429" s="7"/>
      <c r="G429" s="7"/>
      <c r="J429" s="7"/>
    </row>
    <row r="430" spans="3:10" ht="15" x14ac:dyDescent="0.25">
      <c r="C430" s="7"/>
      <c r="D430" s="7"/>
      <c r="E430" s="7"/>
      <c r="F430" s="7"/>
      <c r="G430" s="7"/>
      <c r="J430" s="7"/>
    </row>
    <row r="431" spans="3:10" ht="15" x14ac:dyDescent="0.25">
      <c r="C431" s="7"/>
      <c r="D431" s="7"/>
      <c r="E431" s="7"/>
      <c r="F431" s="7"/>
      <c r="G431" s="7"/>
      <c r="J431" s="7"/>
    </row>
    <row r="432" spans="3:10" ht="15" x14ac:dyDescent="0.25">
      <c r="C432" s="7"/>
      <c r="D432" s="7"/>
      <c r="E432" s="7"/>
      <c r="F432" s="7"/>
      <c r="G432" s="7"/>
      <c r="J432" s="7"/>
    </row>
    <row r="433" spans="3:10" ht="15" x14ac:dyDescent="0.25">
      <c r="C433" s="7"/>
      <c r="D433" s="7"/>
      <c r="E433" s="7"/>
      <c r="F433" s="7"/>
      <c r="G433" s="7"/>
      <c r="J433" s="7"/>
    </row>
    <row r="434" spans="3:10" ht="15" x14ac:dyDescent="0.25">
      <c r="C434" s="7"/>
      <c r="D434" s="7"/>
      <c r="E434" s="7"/>
      <c r="F434" s="7"/>
      <c r="G434" s="7"/>
      <c r="J434" s="7"/>
    </row>
    <row r="435" spans="3:10" ht="15" x14ac:dyDescent="0.25">
      <c r="C435" s="7"/>
      <c r="D435" s="7"/>
      <c r="E435" s="7"/>
      <c r="F435" s="7"/>
      <c r="G435" s="7"/>
      <c r="J435" s="7"/>
    </row>
    <row r="436" spans="3:10" ht="15" x14ac:dyDescent="0.25">
      <c r="C436" s="7"/>
      <c r="D436" s="7"/>
      <c r="E436" s="7"/>
      <c r="F436" s="7"/>
      <c r="G436" s="7"/>
      <c r="J436" s="7"/>
    </row>
    <row r="437" spans="3:10" ht="15" x14ac:dyDescent="0.25">
      <c r="C437" s="7"/>
      <c r="D437" s="7"/>
      <c r="E437" s="7"/>
      <c r="F437" s="7"/>
      <c r="G437" s="7"/>
      <c r="J437" s="7"/>
    </row>
    <row r="438" spans="3:10" ht="15" x14ac:dyDescent="0.25">
      <c r="C438" s="7"/>
      <c r="D438" s="7"/>
      <c r="E438" s="7"/>
      <c r="F438" s="7"/>
      <c r="G438" s="7"/>
      <c r="J438" s="7"/>
    </row>
    <row r="439" spans="3:10" ht="15" x14ac:dyDescent="0.25">
      <c r="C439" s="7"/>
      <c r="D439" s="7"/>
      <c r="E439" s="7"/>
      <c r="F439" s="7"/>
      <c r="G439" s="7"/>
      <c r="J439" s="7"/>
    </row>
    <row r="440" spans="3:10" ht="15" x14ac:dyDescent="0.25">
      <c r="C440" s="7"/>
      <c r="D440" s="7"/>
      <c r="E440" s="7"/>
      <c r="F440" s="7"/>
      <c r="G440" s="7"/>
      <c r="J440" s="7"/>
    </row>
    <row r="441" spans="3:10" ht="15" x14ac:dyDescent="0.25">
      <c r="C441" s="7"/>
      <c r="D441" s="7"/>
      <c r="E441" s="7"/>
      <c r="F441" s="7"/>
      <c r="G441" s="7"/>
      <c r="J441" s="7"/>
    </row>
    <row r="442" spans="3:10" ht="15" x14ac:dyDescent="0.25">
      <c r="C442" s="7"/>
      <c r="D442" s="7"/>
      <c r="E442" s="7"/>
      <c r="F442" s="7"/>
      <c r="G442" s="7"/>
      <c r="J442" s="7"/>
    </row>
    <row r="443" spans="3:10" ht="15" x14ac:dyDescent="0.25">
      <c r="C443" s="7"/>
      <c r="D443" s="7"/>
      <c r="E443" s="7"/>
      <c r="F443" s="7"/>
      <c r="G443" s="7"/>
      <c r="J443" s="7"/>
    </row>
    <row r="444" spans="3:10" ht="15" x14ac:dyDescent="0.25">
      <c r="C444" s="7"/>
      <c r="D444" s="7"/>
      <c r="E444" s="7"/>
      <c r="F444" s="7"/>
      <c r="G444" s="7"/>
      <c r="J444" s="7"/>
    </row>
    <row r="445" spans="3:10" ht="15" x14ac:dyDescent="0.25">
      <c r="C445" s="7"/>
      <c r="D445" s="7"/>
      <c r="E445" s="7"/>
      <c r="F445" s="7"/>
      <c r="G445" s="7"/>
      <c r="J445" s="7"/>
    </row>
    <row r="446" spans="3:10" ht="15" x14ac:dyDescent="0.25">
      <c r="C446" s="7"/>
      <c r="D446" s="7"/>
      <c r="E446" s="7"/>
      <c r="F446" s="7"/>
      <c r="G446" s="7"/>
      <c r="J446" s="7"/>
    </row>
    <row r="447" spans="3:10" ht="15" x14ac:dyDescent="0.25">
      <c r="C447" s="7"/>
      <c r="D447" s="7"/>
      <c r="E447" s="7"/>
      <c r="F447" s="7"/>
      <c r="G447" s="7"/>
      <c r="J447" s="7"/>
    </row>
    <row r="448" spans="3:10" ht="15" x14ac:dyDescent="0.25">
      <c r="C448" s="7"/>
      <c r="D448" s="7"/>
      <c r="E448" s="7"/>
      <c r="F448" s="7"/>
      <c r="G448" s="7"/>
      <c r="J448" s="7"/>
    </row>
    <row r="449" spans="3:10" ht="15" x14ac:dyDescent="0.25">
      <c r="C449" s="7"/>
      <c r="D449" s="7"/>
      <c r="E449" s="7"/>
      <c r="F449" s="7"/>
      <c r="G449" s="7"/>
      <c r="J449" s="7"/>
    </row>
    <row r="450" spans="3:10" ht="15" x14ac:dyDescent="0.25">
      <c r="C450" s="7"/>
      <c r="D450" s="7"/>
      <c r="E450" s="7"/>
      <c r="F450" s="7"/>
      <c r="G450" s="7"/>
      <c r="J450" s="7"/>
    </row>
    <row r="451" spans="3:10" ht="15" x14ac:dyDescent="0.25">
      <c r="C451" s="7"/>
      <c r="D451" s="7"/>
      <c r="E451" s="7"/>
      <c r="F451" s="7"/>
      <c r="G451" s="7"/>
      <c r="J451" s="7"/>
    </row>
    <row r="452" spans="3:10" ht="15" x14ac:dyDescent="0.25">
      <c r="C452" s="7"/>
      <c r="D452" s="7"/>
      <c r="E452" s="7"/>
      <c r="F452" s="7"/>
      <c r="G452" s="7"/>
      <c r="J452" s="7"/>
    </row>
    <row r="453" spans="3:10" ht="15" x14ac:dyDescent="0.25">
      <c r="C453" s="7"/>
      <c r="D453" s="7"/>
      <c r="E453" s="7"/>
      <c r="F453" s="7"/>
      <c r="G453" s="7"/>
      <c r="J453" s="7"/>
    </row>
    <row r="454" spans="3:10" ht="15" x14ac:dyDescent="0.25">
      <c r="C454" s="7"/>
      <c r="D454" s="7"/>
      <c r="E454" s="7"/>
      <c r="F454" s="7"/>
      <c r="G454" s="7"/>
      <c r="J454" s="7"/>
    </row>
    <row r="455" spans="3:10" ht="15" x14ac:dyDescent="0.25">
      <c r="C455" s="7"/>
      <c r="D455" s="7"/>
      <c r="E455" s="7"/>
      <c r="F455" s="7"/>
      <c r="G455" s="7"/>
      <c r="J455" s="7"/>
    </row>
    <row r="456" spans="3:10" ht="15" x14ac:dyDescent="0.25">
      <c r="C456" s="7"/>
      <c r="D456" s="7"/>
      <c r="E456" s="7"/>
      <c r="F456" s="7"/>
      <c r="G456" s="7"/>
      <c r="J456" s="7"/>
    </row>
    <row r="457" spans="3:10" ht="15" x14ac:dyDescent="0.25">
      <c r="C457" s="7"/>
      <c r="D457" s="7"/>
      <c r="E457" s="7"/>
      <c r="F457" s="7"/>
      <c r="G457" s="7"/>
      <c r="J457" s="7"/>
    </row>
    <row r="458" spans="3:10" ht="15" x14ac:dyDescent="0.25">
      <c r="C458" s="7"/>
      <c r="D458" s="7"/>
      <c r="E458" s="7"/>
      <c r="F458" s="7"/>
      <c r="G458" s="7"/>
      <c r="J458" s="7"/>
    </row>
    <row r="459" spans="3:10" ht="15" x14ac:dyDescent="0.25">
      <c r="C459" s="7"/>
      <c r="D459" s="7"/>
      <c r="E459" s="7"/>
      <c r="F459" s="7"/>
      <c r="G459" s="7"/>
      <c r="J459" s="7"/>
    </row>
    <row r="460" spans="3:10" ht="15" x14ac:dyDescent="0.25">
      <c r="C460" s="7"/>
      <c r="D460" s="7"/>
      <c r="E460" s="7"/>
      <c r="F460" s="7"/>
      <c r="G460" s="7"/>
      <c r="J460" s="7"/>
    </row>
    <row r="461" spans="3:10" ht="15" x14ac:dyDescent="0.25">
      <c r="C461" s="7"/>
      <c r="D461" s="7"/>
      <c r="E461" s="7"/>
      <c r="F461" s="7"/>
      <c r="G461" s="7"/>
      <c r="J461" s="7"/>
    </row>
    <row r="462" spans="3:10" ht="15" x14ac:dyDescent="0.25">
      <c r="C462" s="7"/>
      <c r="D462" s="7"/>
      <c r="E462" s="7"/>
      <c r="F462" s="7"/>
      <c r="G462" s="7"/>
      <c r="J462" s="7"/>
    </row>
    <row r="463" spans="3:10" ht="15" x14ac:dyDescent="0.25">
      <c r="C463" s="7"/>
      <c r="D463" s="7"/>
      <c r="E463" s="7"/>
      <c r="F463" s="7"/>
      <c r="G463" s="7"/>
      <c r="J463" s="7"/>
    </row>
    <row r="464" spans="3:10" ht="15" x14ac:dyDescent="0.25">
      <c r="C464" s="7"/>
      <c r="D464" s="7"/>
      <c r="E464" s="7"/>
      <c r="F464" s="7"/>
      <c r="G464" s="7"/>
      <c r="J464" s="7"/>
    </row>
    <row r="465" spans="3:10" ht="15" x14ac:dyDescent="0.25">
      <c r="C465" s="7"/>
      <c r="D465" s="7"/>
      <c r="E465" s="7"/>
      <c r="F465" s="7"/>
      <c r="G465" s="7"/>
      <c r="J465" s="7"/>
    </row>
    <row r="466" spans="3:10" ht="15" x14ac:dyDescent="0.25">
      <c r="C466" s="7"/>
      <c r="D466" s="7"/>
      <c r="E466" s="7"/>
      <c r="F466" s="7"/>
      <c r="G466" s="7"/>
      <c r="J466" s="7"/>
    </row>
    <row r="467" spans="3:10" ht="15" x14ac:dyDescent="0.25">
      <c r="C467" s="7"/>
      <c r="D467" s="7"/>
      <c r="E467" s="7"/>
      <c r="F467" s="7"/>
      <c r="G467" s="7"/>
      <c r="J467" s="7"/>
    </row>
    <row r="468" spans="3:10" ht="15" x14ac:dyDescent="0.25">
      <c r="C468" s="7"/>
      <c r="D468" s="7"/>
      <c r="E468" s="7"/>
      <c r="F468" s="7"/>
      <c r="G468" s="7"/>
      <c r="J468" s="7"/>
    </row>
    <row r="469" spans="3:10" ht="15" x14ac:dyDescent="0.25">
      <c r="C469" s="7"/>
      <c r="D469" s="7"/>
      <c r="E469" s="7"/>
      <c r="F469" s="7"/>
      <c r="G469" s="7"/>
      <c r="J469" s="7"/>
    </row>
    <row r="470" spans="3:10" ht="15" x14ac:dyDescent="0.25">
      <c r="C470" s="7"/>
      <c r="D470" s="7"/>
      <c r="E470" s="7"/>
      <c r="F470" s="7"/>
      <c r="G470" s="7"/>
      <c r="J470" s="7"/>
    </row>
    <row r="471" spans="3:10" ht="15" x14ac:dyDescent="0.25">
      <c r="C471" s="7"/>
      <c r="D471" s="7"/>
      <c r="E471" s="7"/>
      <c r="F471" s="7"/>
      <c r="G471" s="7"/>
      <c r="J471" s="7"/>
    </row>
    <row r="472" spans="3:10" ht="15" x14ac:dyDescent="0.25">
      <c r="C472" s="7"/>
      <c r="D472" s="7"/>
      <c r="E472" s="7"/>
      <c r="F472" s="7"/>
      <c r="G472" s="7"/>
      <c r="J472" s="7"/>
    </row>
    <row r="473" spans="3:10" ht="15" x14ac:dyDescent="0.25">
      <c r="C473" s="7"/>
      <c r="D473" s="7"/>
      <c r="E473" s="7"/>
      <c r="F473" s="7"/>
      <c r="G473" s="7"/>
      <c r="J473" s="7"/>
    </row>
    <row r="474" spans="3:10" ht="15" x14ac:dyDescent="0.25">
      <c r="C474" s="7"/>
      <c r="D474" s="7"/>
      <c r="E474" s="7"/>
      <c r="F474" s="7"/>
      <c r="G474" s="7"/>
      <c r="J474" s="7"/>
    </row>
    <row r="475" spans="3:10" ht="15" x14ac:dyDescent="0.25">
      <c r="C475" s="7"/>
      <c r="D475" s="7"/>
      <c r="E475" s="7"/>
      <c r="F475" s="7"/>
      <c r="G475" s="7"/>
      <c r="J475" s="7"/>
    </row>
    <row r="476" spans="3:10" ht="15" x14ac:dyDescent="0.25">
      <c r="C476" s="7"/>
      <c r="D476" s="7"/>
      <c r="E476" s="7"/>
      <c r="F476" s="7"/>
      <c r="G476" s="7"/>
      <c r="J476" s="7"/>
    </row>
    <row r="477" spans="3:10" ht="15" x14ac:dyDescent="0.25">
      <c r="C477" s="7"/>
      <c r="D477" s="7"/>
      <c r="E477" s="7"/>
      <c r="F477" s="7"/>
      <c r="G477" s="7"/>
      <c r="J477" s="7"/>
    </row>
    <row r="478" spans="3:10" ht="15" x14ac:dyDescent="0.25">
      <c r="C478" s="7"/>
      <c r="D478" s="7"/>
      <c r="E478" s="7"/>
      <c r="F478" s="7"/>
      <c r="G478" s="7"/>
      <c r="J478" s="7"/>
    </row>
    <row r="479" spans="3:10" ht="15" x14ac:dyDescent="0.25">
      <c r="C479" s="7"/>
      <c r="D479" s="7"/>
      <c r="E479" s="7"/>
      <c r="F479" s="7"/>
      <c r="G479" s="7"/>
      <c r="J479" s="7"/>
    </row>
    <row r="480" spans="3:10" ht="15" x14ac:dyDescent="0.25">
      <c r="C480" s="7"/>
      <c r="D480" s="7"/>
      <c r="E480" s="7"/>
      <c r="F480" s="7"/>
      <c r="G480" s="7"/>
      <c r="J480" s="7"/>
    </row>
    <row r="481" spans="3:10" ht="15" x14ac:dyDescent="0.25">
      <c r="C481" s="7"/>
      <c r="D481" s="7"/>
      <c r="E481" s="7"/>
      <c r="F481" s="7"/>
      <c r="G481" s="7"/>
      <c r="J481" s="7"/>
    </row>
    <row r="482" spans="3:10" ht="15" x14ac:dyDescent="0.25">
      <c r="C482" s="7"/>
      <c r="D482" s="7"/>
      <c r="E482" s="7"/>
      <c r="F482" s="7"/>
      <c r="G482" s="7"/>
      <c r="J482" s="7"/>
    </row>
    <row r="483" spans="3:10" ht="15" x14ac:dyDescent="0.25">
      <c r="C483" s="7"/>
      <c r="D483" s="7"/>
      <c r="E483" s="7"/>
      <c r="F483" s="7"/>
      <c r="G483" s="7"/>
      <c r="J483" s="7"/>
    </row>
    <row r="484" spans="3:10" ht="15" x14ac:dyDescent="0.25">
      <c r="C484" s="7"/>
      <c r="D484" s="7"/>
      <c r="E484" s="7"/>
      <c r="F484" s="7"/>
      <c r="G484" s="7"/>
      <c r="J484" s="7"/>
    </row>
    <row r="485" spans="3:10" ht="15" x14ac:dyDescent="0.25">
      <c r="C485" s="7"/>
      <c r="D485" s="7"/>
      <c r="E485" s="7"/>
      <c r="F485" s="7"/>
      <c r="G485" s="7"/>
      <c r="J485" s="7"/>
    </row>
    <row r="486" spans="3:10" ht="15" x14ac:dyDescent="0.25">
      <c r="C486" s="7"/>
      <c r="D486" s="7"/>
      <c r="E486" s="7"/>
      <c r="F486" s="7"/>
      <c r="G486" s="7"/>
      <c r="J486" s="7"/>
    </row>
    <row r="487" spans="3:10" ht="15" x14ac:dyDescent="0.25">
      <c r="C487" s="7"/>
      <c r="D487" s="7"/>
      <c r="E487" s="7"/>
      <c r="F487" s="7"/>
      <c r="G487" s="7"/>
      <c r="J487" s="7"/>
    </row>
    <row r="488" spans="3:10" ht="15" x14ac:dyDescent="0.25">
      <c r="C488" s="7"/>
      <c r="D488" s="7"/>
      <c r="E488" s="7"/>
      <c r="F488" s="7"/>
      <c r="G488" s="7"/>
      <c r="J488" s="7"/>
    </row>
    <row r="489" spans="3:10" ht="15" x14ac:dyDescent="0.25">
      <c r="C489" s="7"/>
      <c r="D489" s="7"/>
      <c r="E489" s="7"/>
      <c r="F489" s="7"/>
      <c r="G489" s="7"/>
      <c r="J489" s="7"/>
    </row>
    <row r="490" spans="3:10" ht="15" x14ac:dyDescent="0.25">
      <c r="C490" s="7"/>
      <c r="D490" s="7"/>
      <c r="E490" s="7"/>
      <c r="F490" s="7"/>
      <c r="G490" s="7"/>
      <c r="J490" s="7"/>
    </row>
    <row r="491" spans="3:10" ht="15" x14ac:dyDescent="0.25">
      <c r="C491" s="7"/>
      <c r="D491" s="7"/>
      <c r="E491" s="7"/>
      <c r="F491" s="7"/>
      <c r="G491" s="7"/>
      <c r="J491" s="7"/>
    </row>
    <row r="492" spans="3:10" ht="15" x14ac:dyDescent="0.25">
      <c r="C492" s="7"/>
      <c r="D492" s="7"/>
      <c r="E492" s="7"/>
      <c r="F492" s="7"/>
      <c r="G492" s="7"/>
      <c r="J492" s="7"/>
    </row>
    <row r="493" spans="3:10" ht="15" x14ac:dyDescent="0.25">
      <c r="C493" s="7"/>
      <c r="D493" s="7"/>
      <c r="E493" s="7"/>
      <c r="F493" s="7"/>
      <c r="G493" s="7"/>
      <c r="J493" s="7"/>
    </row>
    <row r="494" spans="3:10" ht="15" x14ac:dyDescent="0.25">
      <c r="C494" s="7"/>
      <c r="D494" s="7"/>
      <c r="E494" s="7"/>
      <c r="F494" s="7"/>
      <c r="G494" s="7"/>
      <c r="J494" s="7"/>
    </row>
    <row r="495" spans="3:10" ht="15" x14ac:dyDescent="0.25">
      <c r="C495" s="7"/>
      <c r="D495" s="7"/>
      <c r="E495" s="7"/>
      <c r="F495" s="7"/>
      <c r="G495" s="7"/>
      <c r="J495" s="7"/>
    </row>
    <row r="496" spans="3:10" ht="15" x14ac:dyDescent="0.25">
      <c r="C496" s="7"/>
      <c r="D496" s="7"/>
      <c r="E496" s="7"/>
      <c r="F496" s="7"/>
      <c r="G496" s="7"/>
      <c r="J496" s="7"/>
    </row>
    <row r="497" spans="2:10" ht="15" x14ac:dyDescent="0.25">
      <c r="C497" s="7"/>
      <c r="D497" s="7"/>
      <c r="E497" s="7"/>
      <c r="F497" s="7"/>
      <c r="G497" s="7"/>
      <c r="J497" s="7"/>
    </row>
    <row r="498" spans="2:10" ht="15" x14ac:dyDescent="0.25">
      <c r="C498" s="7"/>
      <c r="D498" s="7"/>
      <c r="E498" s="7"/>
      <c r="F498" s="7"/>
      <c r="G498" s="7"/>
      <c r="J498" s="7"/>
    </row>
    <row r="499" spans="2:10" ht="15" x14ac:dyDescent="0.25">
      <c r="B499" s="7"/>
      <c r="C499" s="7"/>
      <c r="D499" s="7"/>
      <c r="E499" s="7"/>
      <c r="F499" s="7"/>
      <c r="G499" s="7"/>
    </row>
    <row r="500" spans="2:10" ht="15" x14ac:dyDescent="0.25">
      <c r="B500" s="7"/>
      <c r="C500" s="7"/>
      <c r="D500" s="7"/>
      <c r="E500" s="7"/>
      <c r="F500" s="7"/>
      <c r="G500" s="7"/>
    </row>
    <row r="501" spans="2:10" ht="15" x14ac:dyDescent="0.25">
      <c r="B501" s="7"/>
      <c r="C501" s="7"/>
      <c r="D501" s="7"/>
      <c r="E501" s="7"/>
      <c r="F501" s="7"/>
      <c r="G501" s="7"/>
    </row>
    <row r="502" spans="2:10" ht="15" x14ac:dyDescent="0.25">
      <c r="B502" s="7"/>
      <c r="C502" s="7"/>
      <c r="D502" s="7"/>
      <c r="E502" s="7"/>
      <c r="F502" s="7"/>
      <c r="G502" s="7"/>
    </row>
    <row r="503" spans="2:10" ht="15" x14ac:dyDescent="0.25">
      <c r="B503" s="7"/>
      <c r="C503" s="7"/>
      <c r="D503" s="7"/>
      <c r="E503" s="7"/>
      <c r="F503" s="7"/>
      <c r="G503" s="7"/>
    </row>
    <row r="504" spans="2:10" ht="15" x14ac:dyDescent="0.25">
      <c r="B504" s="7"/>
      <c r="C504" s="7"/>
      <c r="D504" s="7"/>
      <c r="E504" s="7"/>
      <c r="F504" s="7"/>
      <c r="G504" s="7"/>
    </row>
    <row r="505" spans="2:10" ht="15" x14ac:dyDescent="0.25">
      <c r="B505" s="7"/>
      <c r="C505" s="7"/>
      <c r="D505" s="7"/>
      <c r="E505" s="7"/>
      <c r="F505" s="7"/>
      <c r="G505" s="7"/>
    </row>
    <row r="506" spans="2:10" ht="15" x14ac:dyDescent="0.25">
      <c r="B506" s="7"/>
      <c r="C506" s="7"/>
      <c r="D506" s="7"/>
      <c r="E506" s="7"/>
      <c r="F506" s="7"/>
      <c r="G506" s="7"/>
    </row>
    <row r="507" spans="2:10" ht="15" x14ac:dyDescent="0.25">
      <c r="B507" s="7"/>
      <c r="C507" s="7"/>
      <c r="D507" s="7"/>
      <c r="E507" s="7"/>
      <c r="F507" s="7"/>
      <c r="G507" s="7"/>
    </row>
    <row r="508" spans="2:10" ht="15" x14ac:dyDescent="0.25">
      <c r="B508" s="7"/>
      <c r="C508" s="7"/>
      <c r="D508" s="7"/>
      <c r="E508" s="7"/>
      <c r="F508" s="7"/>
      <c r="G508" s="7"/>
    </row>
    <row r="509" spans="2:10" ht="15" x14ac:dyDescent="0.25">
      <c r="B509" s="7"/>
      <c r="C509" s="7"/>
      <c r="D509" s="7"/>
      <c r="E509" s="7"/>
      <c r="F509" s="7"/>
      <c r="G509" s="7"/>
    </row>
    <row r="510" spans="2:10" ht="15" x14ac:dyDescent="0.25">
      <c r="B510" s="7"/>
      <c r="C510" s="7"/>
      <c r="D510" s="7"/>
      <c r="E510" s="7"/>
      <c r="F510" s="7"/>
      <c r="G510" s="7"/>
    </row>
    <row r="511" spans="2:10" ht="15" x14ac:dyDescent="0.25">
      <c r="B511" s="7"/>
      <c r="C511" s="7"/>
      <c r="D511" s="7"/>
      <c r="E511" s="7"/>
      <c r="F511" s="7"/>
      <c r="G511" s="7"/>
    </row>
    <row r="512" spans="2:10" ht="15" x14ac:dyDescent="0.25">
      <c r="B512" s="7"/>
      <c r="C512" s="7"/>
      <c r="D512" s="7"/>
      <c r="E512" s="7"/>
      <c r="F512" s="7"/>
      <c r="G512" s="7"/>
    </row>
    <row r="513" spans="2:7" ht="15" x14ac:dyDescent="0.25">
      <c r="B513" s="7"/>
      <c r="C513" s="7"/>
      <c r="D513" s="7"/>
      <c r="E513" s="7"/>
      <c r="F513" s="7"/>
      <c r="G513" s="7"/>
    </row>
    <row r="514" spans="2:7" ht="15" x14ac:dyDescent="0.25">
      <c r="B514" s="7"/>
      <c r="C514" s="7"/>
      <c r="D514" s="7"/>
      <c r="E514" s="7"/>
      <c r="F514" s="7"/>
      <c r="G514" s="7"/>
    </row>
    <row r="515" spans="2:7" ht="15" x14ac:dyDescent="0.25">
      <c r="B515" s="7"/>
      <c r="C515" s="7"/>
      <c r="D515" s="7"/>
      <c r="E515" s="7"/>
      <c r="F515" s="7"/>
      <c r="G515" s="7"/>
    </row>
    <row r="516" spans="2:7" ht="15" x14ac:dyDescent="0.25">
      <c r="B516" s="7"/>
      <c r="C516" s="7"/>
      <c r="D516" s="7"/>
      <c r="E516" s="7"/>
      <c r="F516" s="7"/>
      <c r="G516" s="7"/>
    </row>
    <row r="517" spans="2:7" ht="15" x14ac:dyDescent="0.25">
      <c r="B517" s="7"/>
      <c r="C517" s="7"/>
      <c r="D517" s="7"/>
      <c r="E517" s="7"/>
      <c r="F517" s="7"/>
      <c r="G517" s="7"/>
    </row>
    <row r="518" spans="2:7" ht="15" x14ac:dyDescent="0.25">
      <c r="B518" s="7"/>
      <c r="C518" s="7"/>
      <c r="D518" s="7"/>
      <c r="E518" s="7"/>
      <c r="F518" s="7"/>
      <c r="G518" s="7"/>
    </row>
    <row r="519" spans="2:7" ht="15" x14ac:dyDescent="0.25">
      <c r="B519" s="7"/>
      <c r="C519" s="7"/>
      <c r="D519" s="7"/>
      <c r="E519" s="7"/>
      <c r="F519" s="7"/>
      <c r="G519" s="7"/>
    </row>
    <row r="520" spans="2:7" ht="15" x14ac:dyDescent="0.25">
      <c r="B520" s="7"/>
      <c r="C520" s="7"/>
      <c r="D520" s="7"/>
      <c r="E520" s="7"/>
      <c r="F520" s="7"/>
      <c r="G520" s="7"/>
    </row>
    <row r="521" spans="2:7" ht="15" x14ac:dyDescent="0.25">
      <c r="B521" s="7"/>
      <c r="C521" s="7"/>
      <c r="D521" s="7"/>
      <c r="E521" s="7"/>
      <c r="F521" s="7"/>
      <c r="G521" s="7"/>
    </row>
    <row r="522" spans="2:7" ht="15" x14ac:dyDescent="0.25">
      <c r="B522" s="7"/>
      <c r="C522" s="7"/>
      <c r="D522" s="7"/>
      <c r="E522" s="7"/>
      <c r="F522" s="7"/>
      <c r="G522" s="7"/>
    </row>
    <row r="523" spans="2:7" ht="15" x14ac:dyDescent="0.25">
      <c r="B523" s="7"/>
      <c r="C523" s="7"/>
      <c r="D523" s="7"/>
      <c r="E523" s="7"/>
      <c r="F523" s="7"/>
      <c r="G523" s="7"/>
    </row>
    <row r="524" spans="2:7" ht="15" x14ac:dyDescent="0.25">
      <c r="B524" s="7"/>
      <c r="C524" s="7"/>
      <c r="D524" s="7"/>
      <c r="E524" s="7"/>
      <c r="F524" s="7"/>
      <c r="G524" s="7"/>
    </row>
    <row r="525" spans="2:7" ht="15" x14ac:dyDescent="0.25">
      <c r="B525" s="7"/>
      <c r="C525" s="7"/>
      <c r="D525" s="7"/>
      <c r="E525" s="7"/>
      <c r="F525" s="7"/>
      <c r="G525" s="7"/>
    </row>
    <row r="526" spans="2:7" ht="15" x14ac:dyDescent="0.25">
      <c r="B526" s="7"/>
      <c r="C526" s="7"/>
      <c r="D526" s="7"/>
      <c r="E526" s="7"/>
      <c r="F526" s="7"/>
      <c r="G526" s="7"/>
    </row>
    <row r="527" spans="2:7" ht="15" x14ac:dyDescent="0.25">
      <c r="B527" s="7"/>
      <c r="C527" s="7"/>
      <c r="D527" s="7"/>
      <c r="E527" s="7"/>
      <c r="F527" s="7"/>
      <c r="G527" s="7"/>
    </row>
    <row r="528" spans="2:7" ht="15" x14ac:dyDescent="0.25">
      <c r="B528" s="7"/>
      <c r="C528" s="7"/>
      <c r="D528" s="7"/>
      <c r="E528" s="7"/>
      <c r="F528" s="7"/>
      <c r="G528" s="7"/>
    </row>
    <row r="529" spans="2:7" ht="15" x14ac:dyDescent="0.25">
      <c r="B529" s="7"/>
      <c r="C529" s="7"/>
      <c r="D529" s="7"/>
      <c r="E529" s="7"/>
      <c r="F529" s="7"/>
      <c r="G529" s="7"/>
    </row>
    <row r="530" spans="2:7" ht="15" x14ac:dyDescent="0.25">
      <c r="B530" s="7"/>
      <c r="C530" s="7"/>
      <c r="D530" s="7"/>
      <c r="E530" s="7"/>
      <c r="F530" s="7"/>
      <c r="G530" s="7"/>
    </row>
    <row r="531" spans="2:7" ht="15" x14ac:dyDescent="0.25">
      <c r="B531" s="7"/>
      <c r="C531" s="7"/>
      <c r="D531" s="7"/>
      <c r="E531" s="7"/>
      <c r="F531" s="7"/>
      <c r="G531" s="7"/>
    </row>
    <row r="532" spans="2:7" ht="15" x14ac:dyDescent="0.25">
      <c r="B532" s="7"/>
      <c r="C532" s="7"/>
      <c r="D532" s="7"/>
      <c r="E532" s="7"/>
      <c r="F532" s="7"/>
      <c r="G532" s="7"/>
    </row>
    <row r="533" spans="2:7" ht="15" x14ac:dyDescent="0.25">
      <c r="B533" s="7"/>
      <c r="C533" s="7"/>
      <c r="D533" s="7"/>
      <c r="E533" s="7"/>
      <c r="F533" s="7"/>
      <c r="G533" s="7"/>
    </row>
    <row r="534" spans="2:7" ht="15" x14ac:dyDescent="0.25">
      <c r="B534" s="7"/>
      <c r="C534" s="7"/>
      <c r="D534" s="7"/>
      <c r="E534" s="7"/>
      <c r="F534" s="7"/>
      <c r="G534" s="7"/>
    </row>
    <row r="535" spans="2:7" ht="15" x14ac:dyDescent="0.25">
      <c r="B535" s="7"/>
      <c r="C535" s="7"/>
      <c r="D535" s="7"/>
      <c r="E535" s="7"/>
      <c r="F535" s="7"/>
      <c r="G535" s="7"/>
    </row>
    <row r="536" spans="2:7" ht="15" x14ac:dyDescent="0.25">
      <c r="B536" s="7"/>
      <c r="C536" s="7"/>
      <c r="D536" s="7"/>
      <c r="E536" s="7"/>
      <c r="F536" s="7"/>
      <c r="G536" s="7"/>
    </row>
    <row r="537" spans="2:7" ht="15" x14ac:dyDescent="0.25">
      <c r="B537" s="7"/>
      <c r="C537" s="7"/>
      <c r="D537" s="7"/>
      <c r="E537" s="7"/>
      <c r="F537" s="7"/>
      <c r="G537" s="7"/>
    </row>
    <row r="538" spans="2:7" ht="15" x14ac:dyDescent="0.25">
      <c r="B538" s="7"/>
      <c r="C538" s="7"/>
      <c r="D538" s="7"/>
      <c r="E538" s="7"/>
      <c r="F538" s="7"/>
      <c r="G538" s="7"/>
    </row>
    <row r="539" spans="2:7" ht="15" x14ac:dyDescent="0.25">
      <c r="B539" s="7"/>
      <c r="C539" s="7"/>
      <c r="D539" s="7"/>
      <c r="E539" s="7"/>
      <c r="F539" s="7"/>
      <c r="G539" s="7"/>
    </row>
    <row r="540" spans="2:7" ht="15" x14ac:dyDescent="0.25">
      <c r="B540" s="7"/>
      <c r="C540" s="7"/>
      <c r="D540" s="7"/>
      <c r="E540" s="7"/>
      <c r="F540" s="7"/>
      <c r="G540" s="7"/>
    </row>
    <row r="541" spans="2:7" ht="15" x14ac:dyDescent="0.25">
      <c r="B541" s="7"/>
      <c r="C541" s="7"/>
      <c r="D541" s="7"/>
      <c r="E541" s="7"/>
      <c r="F541" s="7"/>
      <c r="G541" s="7"/>
    </row>
    <row r="542" spans="2:7" ht="15" x14ac:dyDescent="0.25">
      <c r="B542" s="7"/>
      <c r="C542" s="7"/>
      <c r="D542" s="7"/>
      <c r="E542" s="7"/>
      <c r="F542" s="7"/>
      <c r="G542" s="7"/>
    </row>
    <row r="543" spans="2:7" ht="15" x14ac:dyDescent="0.25">
      <c r="B543" s="7"/>
      <c r="C543" s="7"/>
      <c r="D543" s="7"/>
      <c r="E543" s="7"/>
      <c r="F543" s="7"/>
      <c r="G543" s="7"/>
    </row>
    <row r="544" spans="2:7" ht="15" x14ac:dyDescent="0.25">
      <c r="B544" s="7"/>
      <c r="C544" s="7"/>
      <c r="D544" s="7"/>
      <c r="E544" s="7"/>
      <c r="F544" s="7"/>
      <c r="G544" s="7"/>
    </row>
    <row r="545" spans="2:7" ht="15" x14ac:dyDescent="0.25">
      <c r="B545" s="7"/>
      <c r="C545" s="7"/>
      <c r="D545" s="7"/>
      <c r="E545" s="7"/>
      <c r="F545" s="7"/>
      <c r="G545" s="7"/>
    </row>
    <row r="546" spans="2:7" ht="15" x14ac:dyDescent="0.25">
      <c r="B546" s="7"/>
      <c r="C546" s="7"/>
      <c r="D546" s="7"/>
      <c r="E546" s="7"/>
      <c r="F546" s="7"/>
      <c r="G546" s="7"/>
    </row>
    <row r="547" spans="2:7" ht="15" x14ac:dyDescent="0.25">
      <c r="B547" s="7"/>
      <c r="C547" s="7"/>
      <c r="D547" s="7"/>
      <c r="E547" s="7"/>
      <c r="F547" s="7"/>
      <c r="G547" s="7"/>
    </row>
    <row r="548" spans="2:7" ht="15" x14ac:dyDescent="0.25">
      <c r="B548" s="7"/>
      <c r="C548" s="7"/>
      <c r="D548" s="7"/>
      <c r="E548" s="7"/>
      <c r="F548" s="7"/>
      <c r="G548" s="7"/>
    </row>
    <row r="549" spans="2:7" ht="15" x14ac:dyDescent="0.25">
      <c r="B549" s="7"/>
      <c r="C549" s="7"/>
      <c r="D549" s="7"/>
      <c r="E549" s="7"/>
      <c r="F549" s="7"/>
      <c r="G549" s="7"/>
    </row>
    <row r="550" spans="2:7" ht="15" x14ac:dyDescent="0.25">
      <c r="B550" s="7"/>
      <c r="C550" s="7"/>
      <c r="D550" s="7"/>
      <c r="E550" s="7"/>
      <c r="F550" s="7"/>
      <c r="G550" s="7"/>
    </row>
    <row r="551" spans="2:7" ht="15" x14ac:dyDescent="0.25">
      <c r="B551" s="7"/>
      <c r="C551" s="7"/>
      <c r="D551" s="7"/>
      <c r="E551" s="7"/>
      <c r="F551" s="7"/>
      <c r="G551" s="7"/>
    </row>
    <row r="552" spans="2:7" ht="15" x14ac:dyDescent="0.25">
      <c r="B552" s="7"/>
      <c r="C552" s="7"/>
      <c r="D552" s="7"/>
      <c r="E552" s="7"/>
      <c r="F552" s="7"/>
      <c r="G552" s="7"/>
    </row>
    <row r="553" spans="2:7" ht="15" x14ac:dyDescent="0.25">
      <c r="B553" s="7"/>
      <c r="C553" s="7"/>
      <c r="D553" s="7"/>
      <c r="E553" s="7"/>
      <c r="F553" s="7"/>
      <c r="G553" s="7"/>
    </row>
    <row r="554" spans="2:7" ht="15" x14ac:dyDescent="0.25">
      <c r="B554" s="7"/>
      <c r="C554" s="7"/>
      <c r="D554" s="7"/>
      <c r="E554" s="7"/>
      <c r="F554" s="7"/>
      <c r="G554" s="7"/>
    </row>
    <row r="555" spans="2:7" ht="15" x14ac:dyDescent="0.25">
      <c r="B555" s="7"/>
      <c r="C555" s="7"/>
      <c r="D555" s="7"/>
      <c r="E555" s="7"/>
      <c r="F555" s="7"/>
      <c r="G555" s="7"/>
    </row>
    <row r="556" spans="2:7" ht="15" x14ac:dyDescent="0.25">
      <c r="B556" s="7"/>
      <c r="C556" s="7"/>
      <c r="D556" s="7"/>
      <c r="E556" s="7"/>
      <c r="F556" s="7"/>
      <c r="G556" s="7"/>
    </row>
    <row r="557" spans="2:7" ht="15" x14ac:dyDescent="0.25">
      <c r="B557" s="7"/>
      <c r="C557" s="7"/>
      <c r="D557" s="7"/>
      <c r="E557" s="7"/>
      <c r="F557" s="7"/>
      <c r="G557" s="7"/>
    </row>
    <row r="558" spans="2:7" ht="15" x14ac:dyDescent="0.25">
      <c r="B558" s="7"/>
      <c r="C558" s="7"/>
      <c r="D558" s="7"/>
      <c r="E558" s="7"/>
      <c r="F558" s="7"/>
      <c r="G558" s="7"/>
    </row>
    <row r="559" spans="2:7" ht="15" x14ac:dyDescent="0.25">
      <c r="B559" s="7"/>
      <c r="C559" s="7"/>
      <c r="D559" s="7"/>
      <c r="E559" s="7"/>
      <c r="F559" s="7"/>
      <c r="G559" s="7"/>
    </row>
    <row r="560" spans="2:7" ht="15" x14ac:dyDescent="0.25">
      <c r="B560" s="7"/>
      <c r="C560" s="7"/>
      <c r="D560" s="7"/>
      <c r="E560" s="7"/>
      <c r="F560" s="7"/>
      <c r="G560" s="7"/>
    </row>
    <row r="561" spans="2:7" ht="15" x14ac:dyDescent="0.25">
      <c r="B561" s="7"/>
      <c r="C561" s="7"/>
      <c r="D561" s="7"/>
      <c r="E561" s="7"/>
      <c r="F561" s="7"/>
      <c r="G561" s="7"/>
    </row>
    <row r="562" spans="2:7" ht="15" x14ac:dyDescent="0.25">
      <c r="B562" s="7"/>
      <c r="C562" s="7"/>
      <c r="D562" s="7"/>
      <c r="E562" s="7"/>
      <c r="F562" s="7"/>
      <c r="G562" s="7"/>
    </row>
    <row r="563" spans="2:7" ht="15" x14ac:dyDescent="0.25">
      <c r="B563" s="7"/>
      <c r="C563" s="7"/>
      <c r="D563" s="7"/>
      <c r="E563" s="7"/>
      <c r="F563" s="7"/>
      <c r="G563" s="7"/>
    </row>
    <row r="564" spans="2:7" ht="15" x14ac:dyDescent="0.25">
      <c r="B564" s="7"/>
      <c r="C564" s="7"/>
      <c r="D564" s="7"/>
      <c r="E564" s="7"/>
      <c r="F564" s="7"/>
      <c r="G564" s="7"/>
    </row>
    <row r="565" spans="2:7" ht="15" x14ac:dyDescent="0.25">
      <c r="B565" s="7"/>
      <c r="C565" s="7"/>
      <c r="D565" s="7"/>
      <c r="E565" s="7"/>
      <c r="F565" s="7"/>
      <c r="G565" s="7"/>
    </row>
    <row r="566" spans="2:7" ht="15" x14ac:dyDescent="0.25">
      <c r="B566" s="7"/>
      <c r="C566" s="7"/>
      <c r="D566" s="7"/>
      <c r="E566" s="7"/>
      <c r="F566" s="7"/>
      <c r="G566" s="7"/>
    </row>
    <row r="567" spans="2:7" ht="15" x14ac:dyDescent="0.25">
      <c r="B567" s="7"/>
      <c r="C567" s="7"/>
      <c r="D567" s="7"/>
      <c r="E567" s="7"/>
      <c r="F567" s="7"/>
      <c r="G567" s="7"/>
    </row>
    <row r="568" spans="2:7" ht="15" x14ac:dyDescent="0.25">
      <c r="B568" s="7"/>
      <c r="C568" s="7"/>
      <c r="D568" s="7"/>
      <c r="E568" s="7"/>
      <c r="F568" s="7"/>
      <c r="G568" s="7"/>
    </row>
    <row r="569" spans="2:7" ht="15" x14ac:dyDescent="0.25">
      <c r="B569" s="7"/>
      <c r="C569" s="7"/>
      <c r="D569" s="7"/>
      <c r="E569" s="7"/>
      <c r="F569" s="7"/>
      <c r="G569" s="7"/>
    </row>
    <row r="570" spans="2:7" ht="15" x14ac:dyDescent="0.25">
      <c r="B570" s="7"/>
      <c r="C570" s="7"/>
      <c r="D570" s="7"/>
      <c r="E570" s="7"/>
      <c r="F570" s="7"/>
      <c r="G570" s="7"/>
    </row>
    <row r="571" spans="2:7" ht="15" x14ac:dyDescent="0.25">
      <c r="B571" s="7"/>
      <c r="C571" s="7"/>
      <c r="D571" s="7"/>
      <c r="E571" s="7"/>
      <c r="F571" s="7"/>
      <c r="G571" s="7"/>
    </row>
    <row r="572" spans="2:7" ht="15" x14ac:dyDescent="0.25">
      <c r="B572" s="7"/>
      <c r="C572" s="7"/>
      <c r="D572" s="7"/>
      <c r="E572" s="7"/>
      <c r="F572" s="7"/>
      <c r="G572" s="7"/>
    </row>
    <row r="573" spans="2:7" ht="15" x14ac:dyDescent="0.25">
      <c r="B573" s="7"/>
      <c r="C573" s="7"/>
      <c r="D573" s="7"/>
      <c r="E573" s="7"/>
      <c r="F573" s="7"/>
      <c r="G573" s="7"/>
    </row>
    <row r="574" spans="2:7" ht="15" x14ac:dyDescent="0.25">
      <c r="B574" s="7"/>
      <c r="C574" s="7"/>
      <c r="D574" s="7"/>
      <c r="E574" s="7"/>
      <c r="F574" s="7"/>
      <c r="G574" s="7"/>
    </row>
    <row r="575" spans="2:7" ht="15" x14ac:dyDescent="0.25">
      <c r="B575" s="7"/>
      <c r="C575" s="7"/>
      <c r="D575" s="7"/>
      <c r="E575" s="7"/>
      <c r="F575" s="7"/>
      <c r="G575" s="7"/>
    </row>
    <row r="576" spans="2:7" ht="15" x14ac:dyDescent="0.25">
      <c r="B576" s="7"/>
      <c r="C576" s="7"/>
      <c r="D576" s="7"/>
      <c r="E576" s="7"/>
      <c r="F576" s="7"/>
      <c r="G576" s="7"/>
    </row>
    <row r="577" spans="2:7" ht="15" x14ac:dyDescent="0.25">
      <c r="B577" s="7"/>
      <c r="C577" s="7"/>
      <c r="D577" s="7"/>
      <c r="E577" s="7"/>
      <c r="F577" s="7"/>
      <c r="G577" s="7"/>
    </row>
    <row r="578" spans="2:7" ht="15" x14ac:dyDescent="0.25">
      <c r="B578" s="7"/>
      <c r="C578" s="7"/>
      <c r="D578" s="7"/>
      <c r="E578" s="7"/>
      <c r="F578" s="7"/>
      <c r="G578" s="7"/>
    </row>
    <row r="579" spans="2:7" ht="15" x14ac:dyDescent="0.25">
      <c r="B579" s="7"/>
      <c r="C579" s="7"/>
      <c r="D579" s="7"/>
      <c r="E579" s="7"/>
      <c r="F579" s="7"/>
      <c r="G579" s="7"/>
    </row>
    <row r="580" spans="2:7" ht="15" x14ac:dyDescent="0.25">
      <c r="B580" s="7"/>
      <c r="C580" s="7"/>
      <c r="D580" s="7"/>
      <c r="E580" s="7"/>
      <c r="F580" s="7"/>
      <c r="G580" s="7"/>
    </row>
    <row r="581" spans="2:7" ht="15" x14ac:dyDescent="0.25">
      <c r="B581" s="7"/>
      <c r="C581" s="7"/>
      <c r="D581" s="7"/>
      <c r="E581" s="7"/>
      <c r="F581" s="7"/>
      <c r="G581" s="7"/>
    </row>
    <row r="582" spans="2:7" ht="15" x14ac:dyDescent="0.25">
      <c r="B582" s="7"/>
      <c r="C582" s="7"/>
      <c r="D582" s="7"/>
      <c r="E582" s="7"/>
      <c r="F582" s="7"/>
      <c r="G582" s="7"/>
    </row>
    <row r="583" spans="2:7" ht="15" x14ac:dyDescent="0.25">
      <c r="B583" s="7"/>
      <c r="C583" s="7"/>
      <c r="D583" s="7"/>
      <c r="E583" s="7"/>
      <c r="F583" s="7"/>
      <c r="G583" s="7"/>
    </row>
    <row r="584" spans="2:7" ht="15" x14ac:dyDescent="0.25">
      <c r="B584" s="7"/>
      <c r="C584" s="7"/>
      <c r="D584" s="7"/>
      <c r="E584" s="7"/>
      <c r="F584" s="7"/>
      <c r="G584" s="7"/>
    </row>
    <row r="585" spans="2:7" ht="15" x14ac:dyDescent="0.25">
      <c r="B585" s="7"/>
      <c r="C585" s="7"/>
      <c r="D585" s="7"/>
      <c r="E585" s="7"/>
      <c r="F585" s="7"/>
      <c r="G585" s="7"/>
    </row>
    <row r="586" spans="2:7" ht="15" x14ac:dyDescent="0.25">
      <c r="B586" s="7"/>
      <c r="C586" s="7"/>
      <c r="D586" s="7"/>
      <c r="E586" s="7"/>
      <c r="F586" s="7"/>
      <c r="G586" s="7"/>
    </row>
    <row r="587" spans="2:7" ht="15" x14ac:dyDescent="0.25">
      <c r="B587" s="7"/>
      <c r="C587" s="7"/>
      <c r="D587" s="7"/>
      <c r="E587" s="7"/>
      <c r="F587" s="7"/>
      <c r="G587" s="7"/>
    </row>
    <row r="588" spans="2:7" ht="15" x14ac:dyDescent="0.25">
      <c r="B588" s="7"/>
      <c r="C588" s="7"/>
      <c r="D588" s="7"/>
      <c r="E588" s="7"/>
      <c r="F588" s="7"/>
      <c r="G588" s="7"/>
    </row>
    <row r="589" spans="2:7" ht="15" x14ac:dyDescent="0.25">
      <c r="B589" s="7"/>
      <c r="C589" s="7"/>
      <c r="D589" s="7"/>
      <c r="E589" s="7"/>
      <c r="F589" s="7"/>
      <c r="G589" s="7"/>
    </row>
    <row r="590" spans="2:7" ht="15" x14ac:dyDescent="0.25">
      <c r="B590" s="7"/>
      <c r="C590" s="7"/>
      <c r="D590" s="7"/>
      <c r="E590" s="7"/>
      <c r="F590" s="7"/>
      <c r="G590" s="7"/>
    </row>
    <row r="591" spans="2:7" ht="15" x14ac:dyDescent="0.25">
      <c r="B591" s="7"/>
      <c r="C591" s="7"/>
      <c r="D591" s="7"/>
      <c r="E591" s="7"/>
      <c r="F591" s="7"/>
      <c r="G591" s="7"/>
    </row>
    <row r="592" spans="2:7" ht="15" x14ac:dyDescent="0.25">
      <c r="B592" s="7"/>
      <c r="C592" s="7"/>
      <c r="D592" s="7"/>
      <c r="E592" s="7"/>
      <c r="F592" s="7"/>
      <c r="G592" s="7"/>
    </row>
    <row r="593" spans="2:7" ht="15" x14ac:dyDescent="0.25">
      <c r="B593" s="7"/>
      <c r="C593" s="7"/>
      <c r="D593" s="7"/>
      <c r="E593" s="7"/>
      <c r="F593" s="7"/>
      <c r="G593" s="7"/>
    </row>
    <row r="594" spans="2:7" ht="15" x14ac:dyDescent="0.25">
      <c r="B594" s="7"/>
      <c r="C594" s="7"/>
      <c r="D594" s="7"/>
      <c r="E594" s="7"/>
      <c r="F594" s="7"/>
      <c r="G594" s="7"/>
    </row>
    <row r="595" spans="2:7" ht="15" x14ac:dyDescent="0.25">
      <c r="B595" s="7"/>
      <c r="C595" s="7"/>
      <c r="D595" s="7"/>
      <c r="E595" s="7"/>
      <c r="F595" s="7"/>
      <c r="G595" s="7"/>
    </row>
    <row r="596" spans="2:7" ht="15" x14ac:dyDescent="0.25">
      <c r="B596" s="7"/>
      <c r="C596" s="7"/>
      <c r="D596" s="7"/>
      <c r="E596" s="7"/>
      <c r="F596" s="7"/>
      <c r="G596" s="7"/>
    </row>
    <row r="597" spans="2:7" ht="15" x14ac:dyDescent="0.25">
      <c r="B597" s="7"/>
      <c r="C597" s="7"/>
      <c r="D597" s="7"/>
      <c r="E597" s="7"/>
      <c r="F597" s="7"/>
      <c r="G597" s="7"/>
    </row>
    <row r="598" spans="2:7" ht="15" x14ac:dyDescent="0.25">
      <c r="B598" s="7"/>
      <c r="C598" s="7"/>
      <c r="D598" s="7"/>
      <c r="E598" s="7"/>
      <c r="F598" s="7"/>
      <c r="G598" s="7"/>
    </row>
    <row r="599" spans="2:7" ht="15" x14ac:dyDescent="0.25">
      <c r="B599" s="7"/>
      <c r="C599" s="7"/>
      <c r="D599" s="7"/>
      <c r="E599" s="7"/>
      <c r="F599" s="7"/>
      <c r="G599" s="7"/>
    </row>
    <row r="600" spans="2:7" ht="15" x14ac:dyDescent="0.25">
      <c r="B600" s="7"/>
      <c r="C600" s="7"/>
      <c r="D600" s="7"/>
      <c r="E600" s="7"/>
      <c r="F600" s="7"/>
      <c r="G600" s="7"/>
    </row>
    <row r="601" spans="2:7" ht="15" x14ac:dyDescent="0.25">
      <c r="B601" s="7"/>
      <c r="C601" s="7"/>
      <c r="D601" s="7"/>
      <c r="E601" s="7"/>
      <c r="F601" s="7"/>
      <c r="G601" s="7"/>
    </row>
    <row r="602" spans="2:7" ht="15" x14ac:dyDescent="0.25">
      <c r="B602" s="7"/>
      <c r="C602" s="7"/>
      <c r="D602" s="7"/>
      <c r="E602" s="7"/>
      <c r="F602" s="7"/>
      <c r="G602" s="7"/>
    </row>
    <row r="603" spans="2:7" ht="15" x14ac:dyDescent="0.25">
      <c r="B603" s="7"/>
      <c r="C603" s="7"/>
      <c r="D603" s="7"/>
      <c r="E603" s="7"/>
      <c r="F603" s="7"/>
      <c r="G603" s="7"/>
    </row>
    <row r="604" spans="2:7" ht="15" x14ac:dyDescent="0.25">
      <c r="B604" s="7"/>
      <c r="C604" s="7"/>
      <c r="D604" s="7"/>
      <c r="E604" s="7"/>
      <c r="F604" s="7"/>
      <c r="G604" s="7"/>
    </row>
    <row r="605" spans="2:7" ht="15" x14ac:dyDescent="0.25">
      <c r="B605" s="7"/>
      <c r="C605" s="7"/>
      <c r="D605" s="7"/>
      <c r="E605" s="7"/>
      <c r="F605" s="7"/>
      <c r="G605" s="7"/>
    </row>
    <row r="606" spans="2:7" ht="15" x14ac:dyDescent="0.25">
      <c r="B606" s="7"/>
      <c r="C606" s="7"/>
      <c r="D606" s="7"/>
      <c r="E606" s="7"/>
      <c r="F606" s="7"/>
      <c r="G606" s="7"/>
    </row>
    <row r="607" spans="2:7" ht="15" x14ac:dyDescent="0.25">
      <c r="B607" s="7"/>
      <c r="C607" s="7"/>
      <c r="D607" s="7"/>
      <c r="E607" s="7"/>
      <c r="F607" s="7"/>
      <c r="G607" s="7"/>
    </row>
    <row r="608" spans="2:7" ht="15" x14ac:dyDescent="0.25">
      <c r="B608" s="7"/>
      <c r="C608" s="7"/>
      <c r="D608" s="7"/>
      <c r="E608" s="7"/>
      <c r="F608" s="7"/>
      <c r="G608" s="7"/>
    </row>
    <row r="609" spans="2:7" ht="15" x14ac:dyDescent="0.25">
      <c r="B609" s="7"/>
      <c r="C609" s="7"/>
      <c r="D609" s="7"/>
      <c r="E609" s="7"/>
      <c r="F609" s="7"/>
      <c r="G609" s="7"/>
    </row>
    <row r="610" spans="2:7" ht="15" x14ac:dyDescent="0.25">
      <c r="B610" s="7"/>
      <c r="C610" s="7"/>
      <c r="D610" s="7"/>
      <c r="E610" s="7"/>
      <c r="F610" s="7"/>
      <c r="G610" s="7"/>
    </row>
    <row r="611" spans="2:7" ht="15" x14ac:dyDescent="0.25">
      <c r="B611" s="7"/>
      <c r="C611" s="7"/>
      <c r="D611" s="7"/>
      <c r="E611" s="7"/>
      <c r="F611" s="7"/>
      <c r="G611" s="7"/>
    </row>
    <row r="612" spans="2:7" ht="15" x14ac:dyDescent="0.25">
      <c r="B612" s="7"/>
      <c r="C612" s="7"/>
      <c r="D612" s="7"/>
      <c r="E612" s="7"/>
      <c r="F612" s="7"/>
      <c r="G612" s="7"/>
    </row>
    <row r="613" spans="2:7" ht="15" x14ac:dyDescent="0.25">
      <c r="B613" s="7"/>
      <c r="C613" s="7"/>
      <c r="D613" s="7"/>
      <c r="E613" s="7"/>
      <c r="F613" s="7"/>
      <c r="G613" s="7"/>
    </row>
    <row r="614" spans="2:7" ht="15" x14ac:dyDescent="0.25">
      <c r="B614" s="7"/>
      <c r="C614" s="7"/>
      <c r="D614" s="7"/>
      <c r="E614" s="7"/>
      <c r="F614" s="7"/>
      <c r="G614" s="7"/>
    </row>
    <row r="615" spans="2:7" ht="15" x14ac:dyDescent="0.25">
      <c r="B615" s="7"/>
      <c r="C615" s="7"/>
      <c r="D615" s="7"/>
      <c r="E615" s="7"/>
      <c r="F615" s="7"/>
      <c r="G615" s="7"/>
    </row>
    <row r="616" spans="2:7" ht="15" x14ac:dyDescent="0.25">
      <c r="B616" s="7"/>
      <c r="C616" s="7"/>
      <c r="D616" s="7"/>
      <c r="E616" s="7"/>
      <c r="F616" s="7"/>
      <c r="G616" s="7"/>
    </row>
    <row r="617" spans="2:7" ht="15" x14ac:dyDescent="0.25">
      <c r="B617" s="7"/>
      <c r="C617" s="7"/>
      <c r="D617" s="7"/>
      <c r="E617" s="7"/>
      <c r="F617" s="7"/>
      <c r="G617" s="7"/>
    </row>
    <row r="618" spans="2:7" ht="15" x14ac:dyDescent="0.25">
      <c r="B618" s="7"/>
      <c r="C618" s="7"/>
      <c r="D618" s="7"/>
      <c r="E618" s="7"/>
      <c r="F618" s="7"/>
      <c r="G618" s="7"/>
    </row>
    <row r="619" spans="2:7" ht="15" x14ac:dyDescent="0.25">
      <c r="B619" s="7"/>
      <c r="C619" s="7"/>
      <c r="D619" s="7"/>
      <c r="E619" s="7"/>
      <c r="F619" s="7"/>
      <c r="G619" s="7"/>
    </row>
    <row r="620" spans="2:7" ht="15" x14ac:dyDescent="0.25">
      <c r="B620" s="7"/>
      <c r="C620" s="7"/>
      <c r="D620" s="7"/>
      <c r="E620" s="7"/>
      <c r="F620" s="7"/>
      <c r="G620" s="7"/>
    </row>
    <row r="621" spans="2:7" ht="15" x14ac:dyDescent="0.25">
      <c r="B621" s="7"/>
      <c r="C621" s="7"/>
      <c r="D621" s="7"/>
      <c r="E621" s="7"/>
      <c r="F621" s="7"/>
      <c r="G621" s="7"/>
    </row>
    <row r="622" spans="2:7" ht="15" x14ac:dyDescent="0.25">
      <c r="B622" s="7"/>
      <c r="C622" s="7"/>
      <c r="D622" s="7"/>
      <c r="E622" s="7"/>
      <c r="F622" s="7"/>
      <c r="G622" s="7"/>
    </row>
    <row r="623" spans="2:7" ht="15" x14ac:dyDescent="0.25">
      <c r="B623" s="7"/>
      <c r="C623" s="7"/>
      <c r="D623" s="7"/>
      <c r="E623" s="7"/>
      <c r="F623" s="7"/>
      <c r="G623" s="7"/>
    </row>
    <row r="624" spans="2:7" ht="15" x14ac:dyDescent="0.25">
      <c r="B624" s="7"/>
      <c r="C624" s="7"/>
      <c r="D624" s="7"/>
      <c r="E624" s="7"/>
      <c r="F624" s="7"/>
      <c r="G624" s="7"/>
    </row>
    <row r="625" spans="2:7" ht="15" x14ac:dyDescent="0.25">
      <c r="B625" s="7"/>
      <c r="C625" s="7"/>
      <c r="D625" s="7"/>
      <c r="E625" s="7"/>
      <c r="F625" s="7"/>
      <c r="G625" s="7"/>
    </row>
    <row r="626" spans="2:7" ht="15" x14ac:dyDescent="0.25">
      <c r="B626" s="7"/>
      <c r="C626" s="7"/>
      <c r="D626" s="7"/>
      <c r="E626" s="7"/>
      <c r="F626" s="7"/>
      <c r="G626" s="7"/>
    </row>
    <row r="627" spans="2:7" ht="15" x14ac:dyDescent="0.25">
      <c r="B627" s="7"/>
      <c r="C627" s="7"/>
      <c r="D627" s="7"/>
      <c r="E627" s="7"/>
      <c r="F627" s="7"/>
      <c r="G627" s="7"/>
    </row>
    <row r="628" spans="2:7" ht="15" x14ac:dyDescent="0.25">
      <c r="B628" s="7"/>
      <c r="C628" s="7"/>
      <c r="D628" s="7"/>
      <c r="E628" s="7"/>
      <c r="F628" s="7"/>
      <c r="G628" s="7"/>
    </row>
    <row r="629" spans="2:7" ht="15" x14ac:dyDescent="0.25">
      <c r="B629" s="7"/>
      <c r="C629" s="7"/>
      <c r="D629" s="7"/>
      <c r="E629" s="7"/>
      <c r="F629" s="7"/>
      <c r="G629" s="7"/>
    </row>
    <row r="630" spans="2:7" ht="15" x14ac:dyDescent="0.25">
      <c r="B630" s="7"/>
      <c r="C630" s="7"/>
      <c r="D630" s="7"/>
      <c r="E630" s="7"/>
      <c r="F630" s="7"/>
      <c r="G630" s="7"/>
    </row>
    <row r="631" spans="2:7" ht="15" x14ac:dyDescent="0.25">
      <c r="B631" s="7"/>
      <c r="C631" s="7"/>
      <c r="D631" s="7"/>
      <c r="E631" s="7"/>
      <c r="F631" s="7"/>
      <c r="G631" s="7"/>
    </row>
    <row r="632" spans="2:7" ht="15" x14ac:dyDescent="0.25">
      <c r="B632" s="7"/>
      <c r="C632" s="7"/>
      <c r="D632" s="7"/>
      <c r="E632" s="7"/>
      <c r="F632" s="7"/>
      <c r="G632" s="7"/>
    </row>
    <row r="633" spans="2:7" ht="15" x14ac:dyDescent="0.25">
      <c r="B633" s="7"/>
      <c r="C633" s="7"/>
      <c r="D633" s="7"/>
      <c r="E633" s="7"/>
      <c r="F633" s="7"/>
      <c r="G633" s="7"/>
    </row>
    <row r="634" spans="2:7" ht="15" x14ac:dyDescent="0.25">
      <c r="B634" s="7"/>
      <c r="C634" s="7"/>
      <c r="D634" s="7"/>
      <c r="E634" s="7"/>
      <c r="F634" s="7"/>
      <c r="G634" s="7"/>
    </row>
    <row r="635" spans="2:7" ht="15" x14ac:dyDescent="0.25">
      <c r="B635" s="7"/>
      <c r="C635" s="7"/>
      <c r="D635" s="7"/>
      <c r="E635" s="7"/>
      <c r="F635" s="7"/>
      <c r="G635" s="7"/>
    </row>
    <row r="636" spans="2:7" ht="15" x14ac:dyDescent="0.25">
      <c r="B636" s="7"/>
      <c r="C636" s="7"/>
      <c r="D636" s="7"/>
      <c r="E636" s="7"/>
      <c r="F636" s="7"/>
      <c r="G636" s="7"/>
    </row>
    <row r="637" spans="2:7" ht="15" x14ac:dyDescent="0.25">
      <c r="B637" s="7"/>
      <c r="C637" s="7"/>
      <c r="D637" s="7"/>
      <c r="E637" s="7"/>
      <c r="F637" s="7"/>
      <c r="G637" s="7"/>
    </row>
    <row r="638" spans="2:7" ht="15" x14ac:dyDescent="0.25">
      <c r="B638" s="7"/>
      <c r="C638" s="7"/>
      <c r="D638" s="7"/>
      <c r="E638" s="7"/>
      <c r="F638" s="7"/>
      <c r="G638" s="7"/>
    </row>
    <row r="639" spans="2:7" ht="15" x14ac:dyDescent="0.25">
      <c r="B639" s="7"/>
      <c r="C639" s="7"/>
      <c r="D639" s="7"/>
      <c r="E639" s="7"/>
      <c r="F639" s="7"/>
      <c r="G639" s="7"/>
    </row>
    <row r="640" spans="2:7" ht="15" x14ac:dyDescent="0.25">
      <c r="B640" s="7"/>
      <c r="C640" s="7"/>
      <c r="D640" s="7"/>
      <c r="E640" s="7"/>
      <c r="F640" s="7"/>
      <c r="G640" s="7"/>
    </row>
    <row r="641" spans="2:7" ht="15" x14ac:dyDescent="0.25">
      <c r="B641" s="7"/>
      <c r="C641" s="7"/>
      <c r="D641" s="7"/>
      <c r="E641" s="7"/>
      <c r="F641" s="7"/>
      <c r="G641" s="7"/>
    </row>
    <row r="642" spans="2:7" ht="15" x14ac:dyDescent="0.25">
      <c r="B642" s="7"/>
      <c r="C642" s="7"/>
      <c r="D642" s="7"/>
      <c r="E642" s="7"/>
      <c r="F642" s="7"/>
      <c r="G642" s="7"/>
    </row>
    <row r="643" spans="2:7" ht="15" x14ac:dyDescent="0.25">
      <c r="B643" s="7"/>
      <c r="C643" s="7"/>
      <c r="D643" s="7"/>
      <c r="E643" s="7"/>
      <c r="F643" s="7"/>
      <c r="G643" s="7"/>
    </row>
    <row r="644" spans="2:7" ht="15" x14ac:dyDescent="0.25">
      <c r="B644" s="7"/>
      <c r="C644" s="7"/>
      <c r="D644" s="7"/>
      <c r="E644" s="7"/>
      <c r="F644" s="7"/>
      <c r="G644" s="7"/>
    </row>
    <row r="645" spans="2:7" ht="15" x14ac:dyDescent="0.25">
      <c r="B645" s="7"/>
      <c r="C645" s="7"/>
      <c r="D645" s="7"/>
      <c r="E645" s="7"/>
      <c r="F645" s="7"/>
      <c r="G645" s="7"/>
    </row>
    <row r="646" spans="2:7" ht="15" x14ac:dyDescent="0.25">
      <c r="B646" s="7"/>
      <c r="C646" s="7"/>
      <c r="D646" s="7"/>
      <c r="E646" s="7"/>
      <c r="F646" s="7"/>
      <c r="G646" s="7"/>
    </row>
    <row r="647" spans="2:7" ht="15" x14ac:dyDescent="0.25">
      <c r="B647" s="7"/>
      <c r="C647" s="7"/>
      <c r="D647" s="7"/>
      <c r="E647" s="7"/>
      <c r="F647" s="7"/>
      <c r="G647" s="7"/>
    </row>
    <row r="648" spans="2:7" ht="15" x14ac:dyDescent="0.25">
      <c r="B648" s="7"/>
      <c r="C648" s="7"/>
      <c r="D648" s="7"/>
      <c r="E648" s="7"/>
      <c r="F648" s="7"/>
      <c r="G648" s="7"/>
    </row>
    <row r="649" spans="2:7" ht="15" x14ac:dyDescent="0.25">
      <c r="B649" s="7"/>
      <c r="C649" s="7"/>
      <c r="D649" s="7"/>
      <c r="E649" s="7"/>
      <c r="F649" s="7"/>
      <c r="G649" s="7"/>
    </row>
    <row r="650" spans="2:7" ht="15" x14ac:dyDescent="0.25">
      <c r="B650" s="7"/>
      <c r="C650" s="7"/>
      <c r="D650" s="7"/>
      <c r="E650" s="7"/>
      <c r="F650" s="7"/>
      <c r="G650" s="7"/>
    </row>
    <row r="651" spans="2:7" ht="15" x14ac:dyDescent="0.25">
      <c r="B651" s="7"/>
      <c r="C651" s="7"/>
      <c r="D651" s="7"/>
      <c r="E651" s="7"/>
      <c r="F651" s="7"/>
      <c r="G651" s="7"/>
    </row>
    <row r="652" spans="2:7" ht="15" x14ac:dyDescent="0.25">
      <c r="B652" s="7"/>
      <c r="C652" s="7"/>
      <c r="D652" s="7"/>
      <c r="E652" s="7"/>
      <c r="F652" s="7"/>
      <c r="G652" s="7"/>
    </row>
    <row r="653" spans="2:7" ht="15" x14ac:dyDescent="0.25">
      <c r="B653" s="7"/>
      <c r="C653" s="7"/>
      <c r="D653" s="7"/>
      <c r="E653" s="7"/>
      <c r="F653" s="7"/>
      <c r="G653" s="7"/>
    </row>
    <row r="654" spans="2:7" ht="15" x14ac:dyDescent="0.25">
      <c r="B654" s="7"/>
      <c r="C654" s="7"/>
      <c r="D654" s="7"/>
      <c r="E654" s="7"/>
      <c r="F654" s="7"/>
      <c r="G654" s="7"/>
    </row>
    <row r="655" spans="2:7" ht="15" x14ac:dyDescent="0.25">
      <c r="B655" s="7"/>
      <c r="C655" s="7"/>
      <c r="D655" s="7"/>
      <c r="E655" s="7"/>
      <c r="F655" s="7"/>
      <c r="G655" s="7"/>
    </row>
    <row r="656" spans="2:7" ht="15" x14ac:dyDescent="0.25">
      <c r="B656" s="7"/>
      <c r="C656" s="7"/>
      <c r="D656" s="7"/>
      <c r="E656" s="7"/>
      <c r="F656" s="7"/>
      <c r="G656" s="7"/>
    </row>
    <row r="657" spans="2:7" ht="15" x14ac:dyDescent="0.25">
      <c r="B657" s="7"/>
      <c r="C657" s="7"/>
      <c r="D657" s="7"/>
      <c r="E657" s="7"/>
      <c r="F657" s="7"/>
      <c r="G657" s="7"/>
    </row>
    <row r="658" spans="2:7" ht="15" x14ac:dyDescent="0.25">
      <c r="B658" s="7"/>
      <c r="C658" s="7"/>
      <c r="D658" s="7"/>
      <c r="E658" s="7"/>
      <c r="F658" s="7"/>
      <c r="G658" s="7"/>
    </row>
    <row r="659" spans="2:7" ht="15" x14ac:dyDescent="0.25">
      <c r="B659" s="7"/>
      <c r="C659" s="7"/>
      <c r="D659" s="7"/>
      <c r="E659" s="7"/>
      <c r="F659" s="7"/>
      <c r="G659" s="7"/>
    </row>
    <row r="660" spans="2:7" ht="15" x14ac:dyDescent="0.25">
      <c r="B660" s="7"/>
      <c r="C660" s="7"/>
      <c r="D660" s="7"/>
      <c r="E660" s="7"/>
      <c r="F660" s="7"/>
      <c r="G660" s="7"/>
    </row>
    <row r="661" spans="2:7" ht="15" x14ac:dyDescent="0.25">
      <c r="B661" s="7"/>
      <c r="C661" s="7"/>
      <c r="D661" s="7"/>
      <c r="E661" s="7"/>
      <c r="F661" s="7"/>
      <c r="G661" s="7"/>
    </row>
    <row r="662" spans="2:7" ht="15" x14ac:dyDescent="0.25">
      <c r="B662" s="7"/>
      <c r="C662" s="7"/>
      <c r="D662" s="7"/>
      <c r="E662" s="7"/>
      <c r="F662" s="7"/>
      <c r="G662" s="7"/>
    </row>
    <row r="663" spans="2:7" ht="15" x14ac:dyDescent="0.25">
      <c r="B663" s="7"/>
      <c r="C663" s="7"/>
      <c r="D663" s="7"/>
      <c r="E663" s="7"/>
      <c r="F663" s="7"/>
      <c r="G663" s="7"/>
    </row>
    <row r="664" spans="2:7" ht="15" x14ac:dyDescent="0.25">
      <c r="B664" s="7"/>
      <c r="C664" s="7"/>
      <c r="D664" s="7"/>
      <c r="E664" s="7"/>
      <c r="F664" s="7"/>
      <c r="G664" s="7"/>
    </row>
    <row r="665" spans="2:7" ht="15" x14ac:dyDescent="0.25">
      <c r="B665" s="7"/>
      <c r="C665" s="7"/>
      <c r="D665" s="7"/>
      <c r="E665" s="7"/>
      <c r="F665" s="7"/>
      <c r="G665" s="7"/>
    </row>
    <row r="666" spans="2:7" ht="15" x14ac:dyDescent="0.25">
      <c r="B666" s="7"/>
      <c r="C666" s="7"/>
      <c r="D666" s="7"/>
      <c r="E666" s="7"/>
      <c r="F666" s="7"/>
      <c r="G666" s="7"/>
    </row>
    <row r="667" spans="2:7" ht="15" x14ac:dyDescent="0.25">
      <c r="B667" s="7"/>
      <c r="C667" s="7"/>
      <c r="D667" s="7"/>
      <c r="E667" s="7"/>
      <c r="F667" s="7"/>
      <c r="G667" s="7"/>
    </row>
    <row r="668" spans="2:7" ht="15" x14ac:dyDescent="0.25">
      <c r="B668" s="7"/>
      <c r="C668" s="7"/>
      <c r="D668" s="7"/>
      <c r="E668" s="7"/>
      <c r="F668" s="7"/>
      <c r="G668" s="7"/>
    </row>
    <row r="669" spans="2:7" ht="15" x14ac:dyDescent="0.25">
      <c r="B669" s="7"/>
      <c r="C669" s="7"/>
      <c r="D669" s="7"/>
      <c r="E669" s="7"/>
      <c r="F669" s="7"/>
      <c r="G669" s="7"/>
    </row>
    <row r="670" spans="2:7" ht="15" x14ac:dyDescent="0.25">
      <c r="B670" s="7"/>
      <c r="C670" s="7"/>
      <c r="D670" s="7"/>
      <c r="E670" s="7"/>
      <c r="F670" s="7"/>
      <c r="G670" s="7"/>
    </row>
    <row r="671" spans="2:7" ht="15" x14ac:dyDescent="0.25">
      <c r="B671" s="7"/>
      <c r="C671" s="7"/>
      <c r="D671" s="7"/>
      <c r="E671" s="7"/>
      <c r="F671" s="7"/>
      <c r="G671" s="7"/>
    </row>
    <row r="672" spans="2:7" ht="15" x14ac:dyDescent="0.25">
      <c r="B672" s="7"/>
      <c r="C672" s="7"/>
      <c r="D672" s="7"/>
      <c r="E672" s="7"/>
      <c r="F672" s="7"/>
      <c r="G672" s="7"/>
    </row>
    <row r="673" spans="2:7" ht="15" x14ac:dyDescent="0.25">
      <c r="B673" s="7"/>
      <c r="C673" s="7"/>
      <c r="D673" s="7"/>
      <c r="E673" s="7"/>
      <c r="F673" s="7"/>
      <c r="G673" s="7"/>
    </row>
    <row r="674" spans="2:7" ht="15" x14ac:dyDescent="0.25">
      <c r="B674" s="7"/>
      <c r="C674" s="7"/>
      <c r="D674" s="7"/>
      <c r="E674" s="7"/>
      <c r="F674" s="7"/>
      <c r="G674" s="7"/>
    </row>
    <row r="675" spans="2:7" ht="15" x14ac:dyDescent="0.25">
      <c r="B675" s="7"/>
      <c r="C675" s="7"/>
      <c r="D675" s="7"/>
      <c r="E675" s="7"/>
      <c r="F675" s="7"/>
      <c r="G675" s="7"/>
    </row>
    <row r="676" spans="2:7" ht="15" x14ac:dyDescent="0.25">
      <c r="B676" s="7"/>
      <c r="C676" s="7"/>
      <c r="D676" s="7"/>
      <c r="E676" s="7"/>
      <c r="F676" s="7"/>
      <c r="G676" s="7"/>
    </row>
    <row r="677" spans="2:7" ht="15" x14ac:dyDescent="0.25">
      <c r="B677" s="7"/>
      <c r="C677" s="7"/>
      <c r="D677" s="7"/>
      <c r="E677" s="7"/>
      <c r="F677" s="7"/>
      <c r="G677" s="7"/>
    </row>
    <row r="678" spans="2:7" ht="15" x14ac:dyDescent="0.25">
      <c r="B678" s="7"/>
      <c r="C678" s="7"/>
      <c r="D678" s="7"/>
      <c r="E678" s="7"/>
      <c r="F678" s="7"/>
      <c r="G678" s="7"/>
    </row>
    <row r="679" spans="2:7" ht="15" x14ac:dyDescent="0.25">
      <c r="B679" s="7"/>
      <c r="C679" s="7"/>
      <c r="D679" s="7"/>
      <c r="E679" s="7"/>
      <c r="F679" s="7"/>
      <c r="G679" s="7"/>
    </row>
    <row r="680" spans="2:7" ht="15" x14ac:dyDescent="0.25">
      <c r="B680" s="7"/>
      <c r="C680" s="7"/>
      <c r="D680" s="7"/>
      <c r="E680" s="7"/>
      <c r="F680" s="7"/>
      <c r="G680" s="7"/>
    </row>
    <row r="681" spans="2:7" ht="15" x14ac:dyDescent="0.25">
      <c r="B681" s="7"/>
      <c r="C681" s="7"/>
      <c r="D681" s="7"/>
      <c r="E681" s="7"/>
      <c r="F681" s="7"/>
      <c r="G681" s="7"/>
    </row>
    <row r="682" spans="2:7" ht="15" x14ac:dyDescent="0.25">
      <c r="B682" s="7"/>
      <c r="C682" s="7"/>
      <c r="D682" s="7"/>
      <c r="E682" s="7"/>
      <c r="F682" s="7"/>
      <c r="G682" s="7"/>
    </row>
    <row r="683" spans="2:7" ht="15" x14ac:dyDescent="0.25">
      <c r="B683" s="7"/>
      <c r="C683" s="7"/>
      <c r="D683" s="7"/>
      <c r="E683" s="7"/>
      <c r="F683" s="7"/>
      <c r="G683" s="7"/>
    </row>
    <row r="684" spans="2:7" ht="15" x14ac:dyDescent="0.25">
      <c r="B684" s="7"/>
      <c r="C684" s="7"/>
      <c r="D684" s="7"/>
      <c r="E684" s="7"/>
      <c r="F684" s="7"/>
      <c r="G684" s="7"/>
    </row>
    <row r="685" spans="2:7" ht="15" x14ac:dyDescent="0.25">
      <c r="B685" s="7"/>
      <c r="C685" s="7"/>
      <c r="D685" s="7"/>
      <c r="E685" s="7"/>
      <c r="F685" s="7"/>
      <c r="G685" s="7"/>
    </row>
    <row r="686" spans="2:7" ht="15" x14ac:dyDescent="0.25">
      <c r="B686" s="7"/>
      <c r="C686" s="7"/>
      <c r="D686" s="7"/>
      <c r="E686" s="7"/>
      <c r="F686" s="7"/>
      <c r="G686" s="7"/>
    </row>
    <row r="687" spans="2:7" ht="15" x14ac:dyDescent="0.25">
      <c r="B687" s="7"/>
      <c r="C687" s="7"/>
      <c r="D687" s="7"/>
      <c r="E687" s="7"/>
      <c r="F687" s="7"/>
      <c r="G687" s="7"/>
    </row>
    <row r="688" spans="2:7" ht="15" x14ac:dyDescent="0.25">
      <c r="B688" s="7"/>
      <c r="C688" s="7"/>
      <c r="D688" s="7"/>
      <c r="E688" s="7"/>
      <c r="F688" s="7"/>
      <c r="G688" s="7"/>
    </row>
    <row r="689" spans="2:7" ht="15" x14ac:dyDescent="0.25">
      <c r="B689" s="7"/>
      <c r="C689" s="7"/>
      <c r="D689" s="7"/>
      <c r="E689" s="7"/>
      <c r="F689" s="7"/>
      <c r="G689" s="7"/>
    </row>
    <row r="690" spans="2:7" ht="15" x14ac:dyDescent="0.25">
      <c r="B690" s="7"/>
      <c r="C690" s="7"/>
      <c r="D690" s="7"/>
      <c r="E690" s="7"/>
      <c r="F690" s="7"/>
      <c r="G690" s="7"/>
    </row>
    <row r="691" spans="2:7" ht="15" x14ac:dyDescent="0.25">
      <c r="B691" s="7"/>
      <c r="C691" s="7"/>
      <c r="D691" s="7"/>
      <c r="E691" s="7"/>
      <c r="F691" s="7"/>
      <c r="G691" s="7"/>
    </row>
    <row r="692" spans="2:7" ht="15" x14ac:dyDescent="0.25">
      <c r="B692" s="7"/>
      <c r="C692" s="7"/>
      <c r="D692" s="7"/>
      <c r="E692" s="7"/>
      <c r="F692" s="7"/>
      <c r="G692" s="7"/>
    </row>
    <row r="693" spans="2:7" ht="15" x14ac:dyDescent="0.25">
      <c r="B693" s="7"/>
      <c r="C693" s="7"/>
      <c r="D693" s="7"/>
      <c r="E693" s="7"/>
      <c r="F693" s="7"/>
      <c r="G693" s="7"/>
    </row>
    <row r="694" spans="2:7" ht="15" x14ac:dyDescent="0.25">
      <c r="B694" s="7"/>
      <c r="C694" s="7"/>
      <c r="D694" s="7"/>
      <c r="E694" s="7"/>
      <c r="F694" s="7"/>
      <c r="G694" s="7"/>
    </row>
    <row r="695" spans="2:7" ht="15" x14ac:dyDescent="0.25">
      <c r="B695" s="7"/>
      <c r="C695" s="7"/>
      <c r="D695" s="7"/>
      <c r="E695" s="7"/>
      <c r="F695" s="7"/>
      <c r="G695" s="7"/>
    </row>
    <row r="696" spans="2:7" ht="15" x14ac:dyDescent="0.25">
      <c r="B696" s="7"/>
      <c r="C696" s="7"/>
      <c r="D696" s="7"/>
      <c r="E696" s="7"/>
      <c r="F696" s="7"/>
      <c r="G696" s="7"/>
    </row>
    <row r="697" spans="2:7" ht="15" x14ac:dyDescent="0.25">
      <c r="B697" s="7"/>
      <c r="C697" s="7"/>
      <c r="D697" s="7"/>
      <c r="E697" s="7"/>
      <c r="F697" s="7"/>
      <c r="G697" s="7"/>
    </row>
    <row r="698" spans="2:7" ht="15" x14ac:dyDescent="0.25">
      <c r="B698" s="7"/>
      <c r="C698" s="7"/>
      <c r="D698" s="7"/>
      <c r="E698" s="7"/>
      <c r="F698" s="7"/>
      <c r="G698" s="7"/>
    </row>
    <row r="699" spans="2:7" ht="15" x14ac:dyDescent="0.25">
      <c r="B699" s="7"/>
      <c r="C699" s="7"/>
      <c r="D699" s="7"/>
      <c r="E699" s="7"/>
      <c r="F699" s="7"/>
      <c r="G699" s="7"/>
    </row>
    <row r="700" spans="2:7" ht="15" x14ac:dyDescent="0.25">
      <c r="B700" s="7"/>
      <c r="C700" s="7"/>
      <c r="D700" s="7"/>
      <c r="E700" s="7"/>
      <c r="F700" s="7"/>
      <c r="G700" s="7"/>
    </row>
    <row r="701" spans="2:7" ht="15" x14ac:dyDescent="0.25">
      <c r="B701" s="7"/>
      <c r="C701" s="7"/>
      <c r="D701" s="7"/>
      <c r="E701" s="7"/>
      <c r="F701" s="7"/>
      <c r="G701" s="7"/>
    </row>
    <row r="702" spans="2:7" ht="15" x14ac:dyDescent="0.25">
      <c r="B702" s="7"/>
      <c r="C702" s="7"/>
      <c r="D702" s="7"/>
      <c r="E702" s="7"/>
      <c r="F702" s="7"/>
      <c r="G702" s="7"/>
    </row>
    <row r="703" spans="2:7" ht="15" x14ac:dyDescent="0.25">
      <c r="B703" s="7"/>
      <c r="C703" s="7"/>
      <c r="D703" s="7"/>
      <c r="E703" s="7"/>
      <c r="F703" s="7"/>
      <c r="G703" s="7"/>
    </row>
    <row r="704" spans="2:7" ht="15" x14ac:dyDescent="0.25">
      <c r="B704" s="7"/>
      <c r="C704" s="7"/>
      <c r="D704" s="7"/>
      <c r="E704" s="7"/>
      <c r="F704" s="7"/>
      <c r="G704" s="7"/>
    </row>
    <row r="705" spans="2:7" ht="15" x14ac:dyDescent="0.25">
      <c r="B705" s="7"/>
      <c r="C705" s="7"/>
      <c r="D705" s="7"/>
      <c r="E705" s="7"/>
      <c r="F705" s="7"/>
      <c r="G705" s="7"/>
    </row>
    <row r="706" spans="2:7" ht="15" x14ac:dyDescent="0.25">
      <c r="B706" s="7"/>
      <c r="C706" s="7"/>
      <c r="D706" s="7"/>
      <c r="E706" s="7"/>
      <c r="F706" s="7"/>
      <c r="G706" s="7"/>
    </row>
    <row r="707" spans="2:7" ht="15" x14ac:dyDescent="0.25">
      <c r="B707" s="7"/>
      <c r="C707" s="7"/>
      <c r="D707" s="7"/>
      <c r="E707" s="7"/>
      <c r="F707" s="7"/>
      <c r="G707" s="7"/>
    </row>
    <row r="708" spans="2:7" ht="15" x14ac:dyDescent="0.25">
      <c r="B708" s="7"/>
      <c r="C708" s="7"/>
      <c r="D708" s="7"/>
      <c r="E708" s="7"/>
      <c r="F708" s="7"/>
      <c r="G708" s="7"/>
    </row>
    <row r="709" spans="2:7" ht="15" x14ac:dyDescent="0.25">
      <c r="B709" s="7"/>
      <c r="C709" s="7"/>
      <c r="D709" s="7"/>
      <c r="E709" s="7"/>
      <c r="F709" s="7"/>
      <c r="G709" s="7"/>
    </row>
    <row r="710" spans="2:7" ht="15" x14ac:dyDescent="0.25">
      <c r="B710" s="7"/>
      <c r="C710" s="7"/>
      <c r="D710" s="7"/>
      <c r="E710" s="7"/>
      <c r="F710" s="7"/>
      <c r="G710" s="7"/>
    </row>
    <row r="711" spans="2:7" ht="15" x14ac:dyDescent="0.25">
      <c r="B711" s="7"/>
      <c r="C711" s="7"/>
      <c r="D711" s="7"/>
      <c r="E711" s="7"/>
      <c r="F711" s="7"/>
      <c r="G711" s="7"/>
    </row>
    <row r="712" spans="2:7" ht="15" x14ac:dyDescent="0.25">
      <c r="B712" s="7"/>
      <c r="C712" s="7"/>
      <c r="D712" s="7"/>
      <c r="E712" s="7"/>
      <c r="F712" s="7"/>
      <c r="G712" s="7"/>
    </row>
    <row r="713" spans="2:7" ht="15" x14ac:dyDescent="0.25">
      <c r="B713" s="7"/>
      <c r="C713" s="7"/>
      <c r="D713" s="7"/>
      <c r="E713" s="7"/>
      <c r="F713" s="7"/>
      <c r="G713" s="7"/>
    </row>
    <row r="714" spans="2:7" ht="15" x14ac:dyDescent="0.25">
      <c r="B714" s="7"/>
      <c r="C714" s="7"/>
      <c r="D714" s="7"/>
      <c r="E714" s="7"/>
      <c r="F714" s="7"/>
      <c r="G714" s="7"/>
    </row>
    <row r="715" spans="2:7" ht="15" x14ac:dyDescent="0.25">
      <c r="B715" s="7"/>
      <c r="C715" s="7"/>
      <c r="D715" s="7"/>
      <c r="E715" s="7"/>
      <c r="F715" s="7"/>
      <c r="G715" s="7"/>
    </row>
    <row r="716" spans="2:7" ht="15" x14ac:dyDescent="0.25">
      <c r="B716" s="7"/>
      <c r="C716" s="7"/>
      <c r="D716" s="7"/>
      <c r="E716" s="7"/>
      <c r="F716" s="7"/>
      <c r="G716" s="7"/>
    </row>
    <row r="717" spans="2:7" ht="15" x14ac:dyDescent="0.25">
      <c r="B717" s="7"/>
      <c r="C717" s="7"/>
      <c r="D717" s="7"/>
      <c r="E717" s="7"/>
      <c r="F717" s="7"/>
      <c r="G717" s="7"/>
    </row>
    <row r="718" spans="2:7" ht="15" x14ac:dyDescent="0.25">
      <c r="B718" s="7"/>
      <c r="C718" s="7"/>
      <c r="D718" s="7"/>
      <c r="E718" s="7"/>
      <c r="F718" s="7"/>
      <c r="G718" s="7"/>
    </row>
    <row r="719" spans="2:7" ht="15" x14ac:dyDescent="0.25">
      <c r="B719" s="7"/>
      <c r="C719" s="7"/>
      <c r="D719" s="7"/>
      <c r="E719" s="7"/>
      <c r="F719" s="7"/>
      <c r="G719" s="7"/>
    </row>
    <row r="720" spans="2:7" ht="15" x14ac:dyDescent="0.25">
      <c r="B720" s="7"/>
      <c r="C720" s="7"/>
      <c r="D720" s="7"/>
      <c r="E720" s="7"/>
      <c r="F720" s="7"/>
      <c r="G720" s="7"/>
    </row>
    <row r="721" spans="2:7" ht="15" x14ac:dyDescent="0.25">
      <c r="B721" s="7"/>
      <c r="C721" s="7"/>
      <c r="D721" s="7"/>
      <c r="E721" s="7"/>
      <c r="F721" s="7"/>
      <c r="G721" s="7"/>
    </row>
    <row r="722" spans="2:7" ht="15" x14ac:dyDescent="0.25">
      <c r="B722" s="7"/>
      <c r="C722" s="7"/>
      <c r="D722" s="7"/>
      <c r="E722" s="7"/>
      <c r="F722" s="7"/>
      <c r="G722" s="7"/>
    </row>
    <row r="723" spans="2:7" ht="15" x14ac:dyDescent="0.25">
      <c r="B723" s="7"/>
      <c r="C723" s="7"/>
      <c r="D723" s="7"/>
      <c r="E723" s="7"/>
      <c r="F723" s="7"/>
      <c r="G723" s="7"/>
    </row>
    <row r="724" spans="2:7" ht="15" x14ac:dyDescent="0.25">
      <c r="B724" s="7"/>
      <c r="C724" s="7"/>
      <c r="D724" s="7"/>
      <c r="E724" s="7"/>
      <c r="F724" s="7"/>
      <c r="G724" s="7"/>
    </row>
    <row r="725" spans="2:7" ht="15" x14ac:dyDescent="0.25">
      <c r="B725" s="7"/>
      <c r="C725" s="7"/>
      <c r="D725" s="7"/>
      <c r="E725" s="7"/>
      <c r="F725" s="7"/>
      <c r="G725" s="7"/>
    </row>
    <row r="726" spans="2:7" ht="15" x14ac:dyDescent="0.25">
      <c r="B726" s="7"/>
      <c r="C726" s="7"/>
      <c r="D726" s="7"/>
      <c r="E726" s="7"/>
      <c r="F726" s="7"/>
      <c r="G726" s="7"/>
    </row>
    <row r="727" spans="2:7" ht="15" x14ac:dyDescent="0.25">
      <c r="B727" s="7"/>
      <c r="C727" s="7"/>
      <c r="D727" s="7"/>
      <c r="E727" s="7"/>
      <c r="F727" s="7"/>
      <c r="G727" s="7"/>
    </row>
    <row r="728" spans="2:7" ht="15" x14ac:dyDescent="0.25">
      <c r="B728" s="7"/>
      <c r="C728" s="7"/>
      <c r="D728" s="7"/>
      <c r="E728" s="7"/>
      <c r="F728" s="7"/>
      <c r="G728" s="7"/>
    </row>
    <row r="729" spans="2:7" ht="15" x14ac:dyDescent="0.25">
      <c r="B729" s="7"/>
      <c r="C729" s="7"/>
      <c r="D729" s="7"/>
      <c r="E729" s="7"/>
      <c r="F729" s="7"/>
      <c r="G729" s="7"/>
    </row>
    <row r="730" spans="2:7" ht="15" x14ac:dyDescent="0.25">
      <c r="B730" s="7"/>
      <c r="C730" s="7"/>
      <c r="D730" s="7"/>
      <c r="E730" s="7"/>
      <c r="F730" s="7"/>
      <c r="G730" s="7"/>
    </row>
    <row r="731" spans="2:7" ht="15" x14ac:dyDescent="0.25">
      <c r="B731" s="7"/>
      <c r="C731" s="7"/>
      <c r="D731" s="7"/>
      <c r="E731" s="7"/>
      <c r="F731" s="7"/>
      <c r="G731" s="7"/>
    </row>
    <row r="732" spans="2:7" ht="15" x14ac:dyDescent="0.25">
      <c r="B732" s="7"/>
      <c r="C732" s="7"/>
      <c r="D732" s="7"/>
      <c r="E732" s="7"/>
      <c r="F732" s="7"/>
      <c r="G732" s="7"/>
    </row>
    <row r="733" spans="2:7" ht="15" x14ac:dyDescent="0.25">
      <c r="B733" s="7"/>
      <c r="C733" s="7"/>
      <c r="D733" s="7"/>
      <c r="E733" s="7"/>
      <c r="F733" s="7"/>
      <c r="G733" s="7"/>
    </row>
    <row r="734" spans="2:7" ht="15" x14ac:dyDescent="0.25">
      <c r="B734" s="7"/>
      <c r="C734" s="7"/>
      <c r="D734" s="7"/>
      <c r="E734" s="7"/>
      <c r="F734" s="7"/>
      <c r="G734" s="7"/>
    </row>
    <row r="735" spans="2:7" ht="15" x14ac:dyDescent="0.25">
      <c r="B735" s="7"/>
      <c r="C735" s="7"/>
      <c r="D735" s="7"/>
      <c r="E735" s="7"/>
      <c r="F735" s="7"/>
      <c r="G735" s="7"/>
    </row>
    <row r="736" spans="2:7" ht="15" x14ac:dyDescent="0.25">
      <c r="B736" s="7"/>
      <c r="C736" s="7"/>
      <c r="D736" s="7"/>
      <c r="E736" s="7"/>
      <c r="F736" s="7"/>
      <c r="G736" s="7"/>
    </row>
    <row r="737" spans="2:7" ht="15" x14ac:dyDescent="0.25">
      <c r="B737" s="7"/>
      <c r="C737" s="7"/>
      <c r="D737" s="7"/>
      <c r="E737" s="7"/>
      <c r="F737" s="7"/>
      <c r="G737" s="7"/>
    </row>
    <row r="738" spans="2:7" ht="15" x14ac:dyDescent="0.25">
      <c r="B738" s="7"/>
      <c r="C738" s="7"/>
      <c r="D738" s="7"/>
      <c r="E738" s="7"/>
      <c r="F738" s="7"/>
      <c r="G738" s="7"/>
    </row>
    <row r="739" spans="2:7" ht="15" x14ac:dyDescent="0.25">
      <c r="B739" s="7"/>
      <c r="C739" s="7"/>
      <c r="D739" s="7"/>
      <c r="E739" s="7"/>
      <c r="F739" s="7"/>
      <c r="G739" s="7"/>
    </row>
    <row r="740" spans="2:7" ht="15" x14ac:dyDescent="0.25">
      <c r="B740" s="7"/>
      <c r="C740" s="7"/>
      <c r="D740" s="7"/>
      <c r="E740" s="7"/>
      <c r="F740" s="7"/>
      <c r="G740" s="7"/>
    </row>
    <row r="741" spans="2:7" ht="15" x14ac:dyDescent="0.25">
      <c r="B741" s="7"/>
      <c r="C741" s="7"/>
      <c r="D741" s="7"/>
      <c r="E741" s="7"/>
      <c r="F741" s="7"/>
      <c r="G741" s="7"/>
    </row>
    <row r="742" spans="2:7" ht="15" x14ac:dyDescent="0.25">
      <c r="B742" s="7"/>
      <c r="C742" s="7"/>
      <c r="D742" s="7"/>
      <c r="E742" s="7"/>
      <c r="F742" s="7"/>
      <c r="G742" s="7"/>
    </row>
    <row r="743" spans="2:7" ht="15" x14ac:dyDescent="0.25">
      <c r="B743" s="7"/>
      <c r="C743" s="7"/>
      <c r="D743" s="7"/>
      <c r="E743" s="7"/>
      <c r="F743" s="7"/>
      <c r="G743" s="7"/>
    </row>
    <row r="744" spans="2:7" ht="15" x14ac:dyDescent="0.25">
      <c r="B744" s="7"/>
      <c r="C744" s="7"/>
      <c r="D744" s="7"/>
      <c r="E744" s="7"/>
      <c r="F744" s="7"/>
      <c r="G744" s="7"/>
    </row>
    <row r="745" spans="2:7" ht="15" x14ac:dyDescent="0.25">
      <c r="B745" s="7"/>
      <c r="C745" s="7"/>
      <c r="D745" s="7"/>
      <c r="E745" s="7"/>
      <c r="F745" s="7"/>
      <c r="G745" s="7"/>
    </row>
    <row r="746" spans="2:7" ht="15" x14ac:dyDescent="0.25">
      <c r="B746" s="7"/>
      <c r="C746" s="7"/>
      <c r="D746" s="7"/>
      <c r="E746" s="7"/>
      <c r="F746" s="7"/>
      <c r="G746" s="7"/>
    </row>
    <row r="747" spans="2:7" ht="15" x14ac:dyDescent="0.25">
      <c r="B747" s="7"/>
      <c r="C747" s="7"/>
      <c r="D747" s="7"/>
      <c r="E747" s="7"/>
      <c r="F747" s="7"/>
      <c r="G747" s="7"/>
    </row>
    <row r="748" spans="2:7" ht="15" x14ac:dyDescent="0.25">
      <c r="B748" s="7"/>
      <c r="C748" s="7"/>
      <c r="D748" s="7"/>
      <c r="E748" s="7"/>
      <c r="F748" s="7"/>
      <c r="G748" s="7"/>
    </row>
    <row r="749" spans="2:7" ht="15" x14ac:dyDescent="0.25">
      <c r="B749" s="7"/>
      <c r="C749" s="7"/>
      <c r="D749" s="7"/>
      <c r="E749" s="7"/>
      <c r="F749" s="7"/>
      <c r="G749" s="7"/>
    </row>
    <row r="750" spans="2:7" ht="15" x14ac:dyDescent="0.25">
      <c r="B750" s="7"/>
      <c r="C750" s="7"/>
      <c r="D750" s="7"/>
      <c r="E750" s="7"/>
      <c r="F750" s="7"/>
      <c r="G750" s="7"/>
    </row>
    <row r="751" spans="2:7" ht="15" x14ac:dyDescent="0.25">
      <c r="B751" s="7"/>
      <c r="C751" s="7"/>
      <c r="D751" s="7"/>
      <c r="E751" s="7"/>
      <c r="F751" s="7"/>
      <c r="G751" s="7"/>
    </row>
    <row r="752" spans="2:7" ht="15" x14ac:dyDescent="0.25">
      <c r="B752" s="7"/>
      <c r="C752" s="7"/>
      <c r="D752" s="7"/>
      <c r="E752" s="7"/>
      <c r="F752" s="7"/>
      <c r="G752" s="7"/>
    </row>
    <row r="753" spans="2:7" ht="15" x14ac:dyDescent="0.25">
      <c r="B753" s="7"/>
      <c r="C753" s="7"/>
      <c r="D753" s="7"/>
      <c r="E753" s="7"/>
      <c r="F753" s="7"/>
      <c r="G753" s="7"/>
    </row>
    <row r="754" spans="2:7" ht="15" x14ac:dyDescent="0.25">
      <c r="B754" s="7"/>
      <c r="C754" s="7"/>
      <c r="D754" s="7"/>
      <c r="E754" s="7"/>
      <c r="F754" s="7"/>
      <c r="G754" s="7"/>
    </row>
    <row r="755" spans="2:7" ht="15" x14ac:dyDescent="0.25">
      <c r="B755" s="7"/>
      <c r="C755" s="7"/>
      <c r="D755" s="7"/>
      <c r="E755" s="7"/>
      <c r="F755" s="7"/>
      <c r="G755" s="7"/>
    </row>
    <row r="756" spans="2:7" ht="15" x14ac:dyDescent="0.25">
      <c r="B756" s="7"/>
      <c r="C756" s="7"/>
      <c r="D756" s="7"/>
      <c r="E756" s="7"/>
      <c r="F756" s="7"/>
      <c r="G756" s="7"/>
    </row>
    <row r="757" spans="2:7" ht="15" x14ac:dyDescent="0.25">
      <c r="B757" s="7"/>
      <c r="C757" s="7"/>
      <c r="D757" s="7"/>
      <c r="E757" s="7"/>
      <c r="F757" s="7"/>
      <c r="G757" s="7"/>
    </row>
    <row r="758" spans="2:7" ht="15" x14ac:dyDescent="0.25">
      <c r="B758" s="7"/>
      <c r="C758" s="7"/>
      <c r="D758" s="7"/>
      <c r="E758" s="7"/>
      <c r="F758" s="7"/>
      <c r="G758" s="7"/>
    </row>
    <row r="759" spans="2:7" ht="15" x14ac:dyDescent="0.25">
      <c r="B759" s="7"/>
      <c r="C759" s="7"/>
      <c r="D759" s="7"/>
      <c r="E759" s="7"/>
      <c r="F759" s="7"/>
      <c r="G759" s="7"/>
    </row>
    <row r="760" spans="2:7" ht="15" x14ac:dyDescent="0.25">
      <c r="B760" s="7"/>
      <c r="C760" s="7"/>
      <c r="D760" s="7"/>
      <c r="E760" s="7"/>
      <c r="F760" s="7"/>
      <c r="G760" s="7"/>
    </row>
    <row r="761" spans="2:7" ht="15" x14ac:dyDescent="0.25">
      <c r="B761" s="7"/>
      <c r="C761" s="7"/>
      <c r="D761" s="7"/>
      <c r="E761" s="7"/>
      <c r="F761" s="7"/>
      <c r="G761" s="7"/>
    </row>
    <row r="762" spans="2:7" ht="15" x14ac:dyDescent="0.25">
      <c r="B762" s="7"/>
      <c r="C762" s="7"/>
      <c r="D762" s="7"/>
      <c r="E762" s="7"/>
      <c r="F762" s="7"/>
      <c r="G762" s="7"/>
    </row>
    <row r="763" spans="2:7" ht="15" x14ac:dyDescent="0.25">
      <c r="B763" s="7"/>
      <c r="C763" s="7"/>
      <c r="D763" s="7"/>
      <c r="E763" s="7"/>
      <c r="F763" s="7"/>
      <c r="G763" s="7"/>
    </row>
    <row r="764" spans="2:7" ht="15" x14ac:dyDescent="0.25">
      <c r="B764" s="7"/>
      <c r="C764" s="7"/>
      <c r="D764" s="7"/>
      <c r="E764" s="7"/>
      <c r="F764" s="7"/>
      <c r="G764" s="7"/>
    </row>
    <row r="765" spans="2:7" ht="15" x14ac:dyDescent="0.25">
      <c r="B765" s="7"/>
      <c r="C765" s="7"/>
      <c r="D765" s="7"/>
      <c r="E765" s="7"/>
      <c r="F765" s="7"/>
      <c r="G765" s="7"/>
    </row>
    <row r="766" spans="2:7" ht="15" x14ac:dyDescent="0.25">
      <c r="B766" s="7"/>
      <c r="C766" s="7"/>
      <c r="D766" s="7"/>
      <c r="E766" s="7"/>
      <c r="F766" s="7"/>
      <c r="G766" s="7"/>
    </row>
    <row r="767" spans="2:7" ht="15" x14ac:dyDescent="0.25">
      <c r="B767" s="7"/>
      <c r="C767" s="7"/>
      <c r="D767" s="7"/>
      <c r="E767" s="7"/>
      <c r="F767" s="7"/>
      <c r="G767" s="7"/>
    </row>
    <row r="768" spans="2:7" ht="15" x14ac:dyDescent="0.25">
      <c r="B768" s="7"/>
      <c r="C768" s="7"/>
      <c r="D768" s="7"/>
      <c r="E768" s="7"/>
      <c r="F768" s="7"/>
      <c r="G768" s="7"/>
    </row>
    <row r="769" spans="2:7" ht="15" x14ac:dyDescent="0.25">
      <c r="B769" s="7"/>
      <c r="C769" s="7"/>
      <c r="D769" s="7"/>
      <c r="E769" s="7"/>
      <c r="F769" s="7"/>
      <c r="G769" s="7"/>
    </row>
    <row r="770" spans="2:7" ht="15" x14ac:dyDescent="0.25">
      <c r="B770" s="7"/>
      <c r="C770" s="7"/>
      <c r="D770" s="7"/>
      <c r="E770" s="7"/>
      <c r="F770" s="7"/>
      <c r="G770" s="7"/>
    </row>
    <row r="771" spans="2:7" ht="15" x14ac:dyDescent="0.25">
      <c r="B771" s="7"/>
      <c r="C771" s="7"/>
      <c r="D771" s="7"/>
      <c r="E771" s="7"/>
      <c r="F771" s="7"/>
      <c r="G771" s="7"/>
    </row>
    <row r="772" spans="2:7" ht="15" x14ac:dyDescent="0.25">
      <c r="B772" s="7"/>
      <c r="C772" s="7"/>
      <c r="D772" s="7"/>
      <c r="E772" s="7"/>
      <c r="F772" s="7"/>
      <c r="G772" s="7"/>
    </row>
    <row r="773" spans="2:7" ht="15" x14ac:dyDescent="0.25">
      <c r="B773" s="7"/>
      <c r="C773" s="7"/>
      <c r="D773" s="7"/>
      <c r="E773" s="7"/>
      <c r="F773" s="7"/>
      <c r="G773" s="7"/>
    </row>
    <row r="774" spans="2:7" ht="15" x14ac:dyDescent="0.25">
      <c r="B774" s="7"/>
      <c r="C774" s="7"/>
      <c r="D774" s="7"/>
      <c r="E774" s="7"/>
      <c r="F774" s="7"/>
      <c r="G774" s="7"/>
    </row>
    <row r="775" spans="2:7" ht="15" x14ac:dyDescent="0.25">
      <c r="B775" s="7"/>
      <c r="C775" s="7"/>
      <c r="D775" s="7"/>
      <c r="E775" s="7"/>
      <c r="F775" s="7"/>
      <c r="G775" s="7"/>
    </row>
    <row r="776" spans="2:7" ht="15" x14ac:dyDescent="0.25">
      <c r="B776" s="7"/>
      <c r="C776" s="7"/>
      <c r="D776" s="7"/>
      <c r="E776" s="7"/>
      <c r="F776" s="7"/>
      <c r="G776" s="7"/>
    </row>
    <row r="777" spans="2:7" ht="15" x14ac:dyDescent="0.25">
      <c r="B777" s="7"/>
      <c r="C777" s="7"/>
      <c r="D777" s="7"/>
      <c r="E777" s="7"/>
      <c r="F777" s="7"/>
      <c r="G777" s="7"/>
    </row>
    <row r="778" spans="2:7" ht="15" x14ac:dyDescent="0.25">
      <c r="B778" s="7"/>
      <c r="C778" s="7"/>
      <c r="D778" s="7"/>
      <c r="E778" s="7"/>
      <c r="F778" s="7"/>
      <c r="G778" s="7"/>
    </row>
    <row r="779" spans="2:7" ht="15" x14ac:dyDescent="0.25">
      <c r="B779" s="7"/>
      <c r="C779" s="7"/>
      <c r="D779" s="7"/>
      <c r="E779" s="7"/>
      <c r="F779" s="7"/>
      <c r="G779" s="7"/>
    </row>
    <row r="780" spans="2:7" ht="15" x14ac:dyDescent="0.25">
      <c r="B780" s="7"/>
      <c r="C780" s="7"/>
      <c r="D780" s="7"/>
      <c r="E780" s="7"/>
      <c r="F780" s="7"/>
      <c r="G780" s="7"/>
    </row>
    <row r="781" spans="2:7" ht="15" x14ac:dyDescent="0.25">
      <c r="B781" s="7"/>
      <c r="C781" s="7"/>
      <c r="D781" s="7"/>
      <c r="E781" s="7"/>
      <c r="F781" s="7"/>
      <c r="G781" s="7"/>
    </row>
    <row r="782" spans="2:7" ht="15" x14ac:dyDescent="0.25">
      <c r="B782" s="7"/>
      <c r="C782" s="7"/>
      <c r="D782" s="7"/>
      <c r="E782" s="7"/>
      <c r="F782" s="7"/>
      <c r="G782" s="7"/>
    </row>
    <row r="783" spans="2:7" ht="15" x14ac:dyDescent="0.25">
      <c r="B783" s="7"/>
      <c r="C783" s="7"/>
      <c r="D783" s="7"/>
      <c r="E783" s="7"/>
      <c r="F783" s="7"/>
      <c r="G783" s="7"/>
    </row>
    <row r="784" spans="2:7" ht="15" x14ac:dyDescent="0.25">
      <c r="B784" s="7"/>
      <c r="C784" s="7"/>
      <c r="D784" s="7"/>
      <c r="E784" s="7"/>
      <c r="F784" s="7"/>
      <c r="G784" s="7"/>
    </row>
    <row r="785" spans="2:7" ht="15" x14ac:dyDescent="0.25">
      <c r="B785" s="7"/>
      <c r="C785" s="7"/>
      <c r="D785" s="7"/>
      <c r="E785" s="7"/>
      <c r="F785" s="7"/>
      <c r="G785" s="7"/>
    </row>
    <row r="786" spans="2:7" ht="15" x14ac:dyDescent="0.25">
      <c r="B786" s="7"/>
      <c r="C786" s="7"/>
      <c r="D786" s="7"/>
      <c r="E786" s="7"/>
      <c r="F786" s="7"/>
      <c r="G786" s="7"/>
    </row>
    <row r="787" spans="2:7" ht="15" x14ac:dyDescent="0.25">
      <c r="B787" s="7"/>
      <c r="C787" s="7"/>
      <c r="D787" s="7"/>
      <c r="E787" s="7"/>
      <c r="F787" s="7"/>
      <c r="G787" s="7"/>
    </row>
    <row r="788" spans="2:7" ht="15" x14ac:dyDescent="0.25">
      <c r="B788" s="7"/>
      <c r="C788" s="7"/>
      <c r="D788" s="7"/>
      <c r="E788" s="7"/>
      <c r="F788" s="7"/>
      <c r="G788" s="7"/>
    </row>
    <row r="789" spans="2:7" ht="15" x14ac:dyDescent="0.25">
      <c r="B789" s="7"/>
      <c r="C789" s="7"/>
      <c r="D789" s="7"/>
      <c r="E789" s="7"/>
      <c r="F789" s="7"/>
      <c r="G789" s="7"/>
    </row>
    <row r="790" spans="2:7" ht="15" x14ac:dyDescent="0.25">
      <c r="B790" s="7"/>
      <c r="C790" s="7"/>
      <c r="D790" s="7"/>
      <c r="E790" s="7"/>
      <c r="F790" s="7"/>
      <c r="G790" s="7"/>
    </row>
    <row r="791" spans="2:7" ht="15" x14ac:dyDescent="0.25">
      <c r="B791" s="7"/>
      <c r="C791" s="7"/>
      <c r="D791" s="7"/>
      <c r="E791" s="7"/>
      <c r="F791" s="7"/>
      <c r="G791" s="7"/>
    </row>
    <row r="792" spans="2:7" ht="15" x14ac:dyDescent="0.25">
      <c r="B792" s="7"/>
      <c r="C792" s="7"/>
      <c r="D792" s="7"/>
      <c r="E792" s="7"/>
      <c r="F792" s="7"/>
      <c r="G792" s="7"/>
    </row>
    <row r="793" spans="2:7" ht="15" x14ac:dyDescent="0.25">
      <c r="B793" s="7"/>
      <c r="C793" s="7"/>
      <c r="D793" s="7"/>
      <c r="E793" s="7"/>
      <c r="F793" s="7"/>
      <c r="G793" s="7"/>
    </row>
    <row r="794" spans="2:7" ht="15" x14ac:dyDescent="0.25">
      <c r="B794" s="7"/>
      <c r="C794" s="7"/>
      <c r="D794" s="7"/>
      <c r="E794" s="7"/>
      <c r="F794" s="7"/>
      <c r="G794" s="7"/>
    </row>
    <row r="795" spans="2:7" ht="15" x14ac:dyDescent="0.25">
      <c r="B795" s="7"/>
      <c r="C795" s="7"/>
      <c r="D795" s="7"/>
      <c r="E795" s="7"/>
      <c r="F795" s="7"/>
      <c r="G795" s="7"/>
    </row>
    <row r="796" spans="2:7" ht="15" x14ac:dyDescent="0.25">
      <c r="B796" s="7"/>
      <c r="C796" s="7"/>
      <c r="D796" s="7"/>
      <c r="E796" s="7"/>
      <c r="F796" s="7"/>
      <c r="G796" s="7"/>
    </row>
    <row r="797" spans="2:7" ht="15" x14ac:dyDescent="0.25">
      <c r="B797" s="7"/>
      <c r="C797" s="7"/>
      <c r="D797" s="7"/>
      <c r="E797" s="7"/>
      <c r="F797" s="7"/>
      <c r="G797" s="7"/>
    </row>
    <row r="798" spans="2:7" ht="15" x14ac:dyDescent="0.25">
      <c r="B798" s="7"/>
      <c r="C798" s="7"/>
      <c r="D798" s="7"/>
      <c r="E798" s="7"/>
      <c r="F798" s="7"/>
      <c r="G798" s="7"/>
    </row>
    <row r="799" spans="2:7" ht="15" x14ac:dyDescent="0.25">
      <c r="B799" s="7"/>
      <c r="C799" s="7"/>
      <c r="D799" s="7"/>
      <c r="E799" s="7"/>
      <c r="F799" s="7"/>
      <c r="G799" s="7"/>
    </row>
    <row r="800" spans="2:7" ht="15" x14ac:dyDescent="0.25">
      <c r="B800" s="7"/>
      <c r="C800" s="7"/>
      <c r="D800" s="7"/>
      <c r="E800" s="7"/>
      <c r="F800" s="7"/>
      <c r="G800" s="7"/>
    </row>
    <row r="801" spans="2:7" ht="15" x14ac:dyDescent="0.25">
      <c r="B801" s="7"/>
      <c r="C801" s="7"/>
      <c r="D801" s="7"/>
      <c r="E801" s="7"/>
      <c r="F801" s="7"/>
      <c r="G801" s="7"/>
    </row>
    <row r="802" spans="2:7" ht="15" x14ac:dyDescent="0.25">
      <c r="B802" s="7"/>
      <c r="C802" s="7"/>
      <c r="D802" s="7"/>
      <c r="E802" s="7"/>
      <c r="F802" s="7"/>
      <c r="G802" s="7"/>
    </row>
    <row r="803" spans="2:7" ht="15" x14ac:dyDescent="0.25">
      <c r="B803" s="7"/>
      <c r="C803" s="7"/>
      <c r="D803" s="7"/>
      <c r="E803" s="7"/>
      <c r="F803" s="7"/>
      <c r="G803" s="7"/>
    </row>
    <row r="804" spans="2:7" ht="15" x14ac:dyDescent="0.25">
      <c r="B804" s="7"/>
      <c r="C804" s="7"/>
      <c r="D804" s="7"/>
      <c r="E804" s="7"/>
      <c r="F804" s="7"/>
      <c r="G804" s="7"/>
    </row>
    <row r="805" spans="2:7" ht="15" x14ac:dyDescent="0.25">
      <c r="B805" s="7"/>
      <c r="C805" s="7"/>
      <c r="D805" s="7"/>
      <c r="E805" s="7"/>
      <c r="F805" s="7"/>
      <c r="G805" s="7"/>
    </row>
    <row r="806" spans="2:7" ht="15" x14ac:dyDescent="0.25">
      <c r="B806" s="7"/>
      <c r="C806" s="7"/>
      <c r="D806" s="7"/>
      <c r="E806" s="7"/>
      <c r="F806" s="7"/>
      <c r="G806" s="7"/>
    </row>
    <row r="807" spans="2:7" ht="15" x14ac:dyDescent="0.25">
      <c r="B807" s="7"/>
      <c r="C807" s="7"/>
      <c r="D807" s="7"/>
      <c r="E807" s="7"/>
      <c r="F807" s="7"/>
      <c r="G807" s="7"/>
    </row>
    <row r="808" spans="2:7" ht="15" x14ac:dyDescent="0.25">
      <c r="B808" s="7"/>
      <c r="C808" s="7"/>
      <c r="D808" s="7"/>
      <c r="E808" s="7"/>
      <c r="F808" s="7"/>
      <c r="G808" s="7"/>
    </row>
    <row r="809" spans="2:7" ht="15" x14ac:dyDescent="0.25">
      <c r="B809" s="7"/>
      <c r="C809" s="7"/>
      <c r="D809" s="7"/>
      <c r="E809" s="7"/>
      <c r="F809" s="7"/>
      <c r="G809" s="7"/>
    </row>
    <row r="810" spans="2:7" ht="15" x14ac:dyDescent="0.25">
      <c r="B810" s="7"/>
      <c r="C810" s="7"/>
      <c r="D810" s="7"/>
      <c r="E810" s="7"/>
      <c r="F810" s="7"/>
      <c r="G810" s="7"/>
    </row>
    <row r="811" spans="2:7" ht="15" x14ac:dyDescent="0.25">
      <c r="B811" s="7"/>
      <c r="C811" s="7"/>
      <c r="D811" s="7"/>
      <c r="E811" s="7"/>
      <c r="F811" s="7"/>
      <c r="G811" s="7"/>
    </row>
    <row r="812" spans="2:7" ht="15" x14ac:dyDescent="0.25">
      <c r="B812" s="7"/>
      <c r="C812" s="7"/>
      <c r="D812" s="7"/>
      <c r="E812" s="7"/>
      <c r="F812" s="7"/>
      <c r="G812" s="7"/>
    </row>
    <row r="813" spans="2:7" ht="15" x14ac:dyDescent="0.25">
      <c r="B813" s="7"/>
      <c r="C813" s="7"/>
      <c r="D813" s="7"/>
      <c r="E813" s="7"/>
      <c r="F813" s="7"/>
      <c r="G813" s="7"/>
    </row>
    <row r="814" spans="2:7" ht="15" x14ac:dyDescent="0.25">
      <c r="B814" s="7"/>
      <c r="C814" s="7"/>
      <c r="D814" s="7"/>
      <c r="E814" s="7"/>
      <c r="F814" s="7"/>
      <c r="G814" s="7"/>
    </row>
    <row r="815" spans="2:7" ht="15" x14ac:dyDescent="0.25">
      <c r="B815" s="7"/>
      <c r="C815" s="7"/>
      <c r="D815" s="7"/>
      <c r="E815" s="7"/>
      <c r="F815" s="7"/>
      <c r="G815" s="7"/>
    </row>
    <row r="816" spans="2:7" ht="15" x14ac:dyDescent="0.25">
      <c r="B816" s="7"/>
      <c r="C816" s="7"/>
      <c r="D816" s="7"/>
      <c r="E816" s="7"/>
      <c r="F816" s="7"/>
      <c r="G816" s="7"/>
    </row>
    <row r="817" spans="2:7" ht="15" x14ac:dyDescent="0.25">
      <c r="B817" s="7"/>
      <c r="C817" s="7"/>
      <c r="D817" s="7"/>
      <c r="E817" s="7"/>
      <c r="F817" s="7"/>
      <c r="G817" s="7"/>
    </row>
    <row r="818" spans="2:7" ht="15" x14ac:dyDescent="0.25">
      <c r="B818" s="7"/>
      <c r="C818" s="7"/>
      <c r="D818" s="7"/>
      <c r="E818" s="7"/>
      <c r="F818" s="7"/>
      <c r="G818" s="7"/>
    </row>
    <row r="819" spans="2:7" ht="15" x14ac:dyDescent="0.25">
      <c r="B819" s="7"/>
      <c r="C819" s="7"/>
      <c r="D819" s="7"/>
      <c r="E819" s="7"/>
      <c r="F819" s="7"/>
      <c r="G819" s="7"/>
    </row>
    <row r="820" spans="2:7" ht="15" x14ac:dyDescent="0.25">
      <c r="B820" s="7"/>
      <c r="C820" s="7"/>
      <c r="D820" s="7"/>
      <c r="E820" s="7"/>
      <c r="F820" s="7"/>
      <c r="G820" s="7"/>
    </row>
    <row r="821" spans="2:7" ht="15" x14ac:dyDescent="0.25">
      <c r="B821" s="7"/>
      <c r="C821" s="7"/>
      <c r="D821" s="7"/>
      <c r="E821" s="7"/>
      <c r="F821" s="7"/>
      <c r="G821" s="7"/>
    </row>
    <row r="822" spans="2:7" ht="15" x14ac:dyDescent="0.25">
      <c r="B822" s="7"/>
      <c r="C822" s="7"/>
      <c r="D822" s="7"/>
      <c r="E822" s="7"/>
      <c r="F822" s="7"/>
      <c r="G822" s="7"/>
    </row>
    <row r="823" spans="2:7" ht="15" x14ac:dyDescent="0.25">
      <c r="B823" s="7"/>
      <c r="C823" s="7"/>
      <c r="D823" s="7"/>
      <c r="E823" s="7"/>
      <c r="F823" s="7"/>
      <c r="G823" s="7"/>
    </row>
    <row r="824" spans="2:7" ht="15" x14ac:dyDescent="0.25">
      <c r="B824" s="7"/>
      <c r="C824" s="7"/>
      <c r="D824" s="7"/>
      <c r="E824" s="7"/>
      <c r="F824" s="7"/>
      <c r="G824" s="7"/>
    </row>
    <row r="825" spans="2:7" ht="15" x14ac:dyDescent="0.25">
      <c r="B825" s="7"/>
      <c r="C825" s="7"/>
      <c r="D825" s="7"/>
      <c r="E825" s="7"/>
      <c r="F825" s="7"/>
      <c r="G825" s="7"/>
    </row>
    <row r="826" spans="2:7" ht="15" x14ac:dyDescent="0.25">
      <c r="B826" s="7"/>
      <c r="C826" s="7"/>
      <c r="D826" s="7"/>
      <c r="E826" s="7"/>
      <c r="F826" s="7"/>
      <c r="G826" s="7"/>
    </row>
    <row r="827" spans="2:7" ht="15" x14ac:dyDescent="0.25">
      <c r="B827" s="7"/>
      <c r="C827" s="7"/>
      <c r="D827" s="7"/>
      <c r="E827" s="7"/>
      <c r="F827" s="7"/>
      <c r="G827" s="7"/>
    </row>
    <row r="828" spans="2:7" ht="15" x14ac:dyDescent="0.25">
      <c r="B828" s="7"/>
      <c r="C828" s="7"/>
      <c r="D828" s="7"/>
      <c r="E828" s="7"/>
      <c r="F828" s="7"/>
      <c r="G828" s="7"/>
    </row>
    <row r="829" spans="2:7" ht="15" x14ac:dyDescent="0.25">
      <c r="B829" s="7"/>
      <c r="C829" s="7"/>
      <c r="D829" s="7"/>
      <c r="E829" s="7"/>
      <c r="F829" s="7"/>
      <c r="G829" s="7"/>
    </row>
    <row r="830" spans="2:7" ht="15" x14ac:dyDescent="0.25">
      <c r="B830" s="7"/>
      <c r="C830" s="7"/>
      <c r="D830" s="7"/>
      <c r="E830" s="7"/>
      <c r="F830" s="7"/>
      <c r="G830" s="7"/>
    </row>
    <row r="831" spans="2:7" ht="15" x14ac:dyDescent="0.25">
      <c r="B831" s="7"/>
      <c r="C831" s="7"/>
      <c r="D831" s="7"/>
      <c r="E831" s="7"/>
      <c r="F831" s="7"/>
      <c r="G831" s="7"/>
    </row>
    <row r="832" spans="2:7" ht="15" x14ac:dyDescent="0.25">
      <c r="B832" s="7"/>
      <c r="C832" s="7"/>
      <c r="D832" s="7"/>
      <c r="E832" s="7"/>
      <c r="F832" s="7"/>
      <c r="G832" s="7"/>
    </row>
    <row r="833" spans="2:7" ht="15" x14ac:dyDescent="0.25">
      <c r="B833" s="7"/>
      <c r="C833" s="7"/>
      <c r="D833" s="7"/>
      <c r="E833" s="7"/>
      <c r="F833" s="7"/>
      <c r="G833" s="7"/>
    </row>
    <row r="834" spans="2:7" ht="15" x14ac:dyDescent="0.25">
      <c r="B834" s="7"/>
      <c r="C834" s="7"/>
      <c r="D834" s="7"/>
      <c r="E834" s="7"/>
      <c r="F834" s="7"/>
      <c r="G834" s="7"/>
    </row>
    <row r="835" spans="2:7" ht="15" x14ac:dyDescent="0.25">
      <c r="B835" s="7"/>
      <c r="C835" s="7"/>
      <c r="D835" s="7"/>
      <c r="E835" s="7"/>
      <c r="F835" s="7"/>
      <c r="G835" s="7"/>
    </row>
    <row r="836" spans="2:7" ht="15" x14ac:dyDescent="0.25">
      <c r="B836" s="7"/>
      <c r="C836" s="7"/>
      <c r="D836" s="7"/>
      <c r="E836" s="7"/>
      <c r="F836" s="7"/>
      <c r="G836" s="7"/>
    </row>
    <row r="837" spans="2:7" ht="15" x14ac:dyDescent="0.25">
      <c r="B837" s="7"/>
      <c r="C837" s="7"/>
      <c r="D837" s="7"/>
      <c r="E837" s="7"/>
      <c r="F837" s="7"/>
      <c r="G837" s="7"/>
    </row>
    <row r="838" spans="2:7" ht="15" x14ac:dyDescent="0.25">
      <c r="B838" s="7"/>
      <c r="C838" s="7"/>
      <c r="D838" s="7"/>
      <c r="E838" s="7"/>
      <c r="F838" s="7"/>
      <c r="G838" s="7"/>
    </row>
    <row r="839" spans="2:7" ht="15" x14ac:dyDescent="0.25">
      <c r="B839" s="7"/>
      <c r="C839" s="7"/>
      <c r="D839" s="7"/>
      <c r="E839" s="7"/>
      <c r="F839" s="7"/>
      <c r="G839" s="7"/>
    </row>
    <row r="840" spans="2:7" ht="15" x14ac:dyDescent="0.25">
      <c r="B840" s="7"/>
      <c r="C840" s="7"/>
      <c r="D840" s="7"/>
      <c r="E840" s="7"/>
      <c r="F840" s="7"/>
      <c r="G840" s="7"/>
    </row>
    <row r="841" spans="2:7" ht="15" x14ac:dyDescent="0.25">
      <c r="B841" s="7"/>
      <c r="C841" s="7"/>
      <c r="D841" s="7"/>
      <c r="E841" s="7"/>
      <c r="F841" s="7"/>
      <c r="G841" s="7"/>
    </row>
    <row r="842" spans="2:7" ht="15" x14ac:dyDescent="0.25">
      <c r="B842" s="7"/>
      <c r="C842" s="7"/>
      <c r="D842" s="7"/>
      <c r="E842" s="7"/>
      <c r="F842" s="7"/>
      <c r="G842" s="7"/>
    </row>
    <row r="843" spans="2:7" ht="15" x14ac:dyDescent="0.25">
      <c r="B843" s="7"/>
      <c r="C843" s="7"/>
      <c r="D843" s="7"/>
      <c r="E843" s="7"/>
      <c r="F843" s="7"/>
      <c r="G843" s="7"/>
    </row>
    <row r="844" spans="2:7" ht="15" x14ac:dyDescent="0.25">
      <c r="B844" s="7"/>
      <c r="C844" s="7"/>
      <c r="D844" s="7"/>
      <c r="E844" s="7"/>
      <c r="F844" s="7"/>
      <c r="G844" s="7"/>
    </row>
    <row r="845" spans="2:7" ht="15" x14ac:dyDescent="0.25">
      <c r="B845" s="7"/>
      <c r="C845" s="7"/>
      <c r="D845" s="7"/>
      <c r="E845" s="7"/>
      <c r="F845" s="7"/>
      <c r="G845" s="7"/>
    </row>
    <row r="846" spans="2:7" ht="15" x14ac:dyDescent="0.25">
      <c r="B846" s="7"/>
      <c r="C846" s="7"/>
      <c r="D846" s="7"/>
      <c r="E846" s="7"/>
      <c r="F846" s="7"/>
      <c r="G846" s="7"/>
    </row>
    <row r="847" spans="2:7" ht="15" x14ac:dyDescent="0.25">
      <c r="B847" s="7"/>
      <c r="C847" s="7"/>
      <c r="D847" s="7"/>
      <c r="E847" s="7"/>
      <c r="F847" s="7"/>
      <c r="G847" s="7"/>
    </row>
    <row r="848" spans="2:7" ht="15" x14ac:dyDescent="0.25">
      <c r="B848" s="7"/>
      <c r="C848" s="7"/>
      <c r="D848" s="7"/>
      <c r="E848" s="7"/>
      <c r="F848" s="7"/>
      <c r="G848" s="7"/>
    </row>
    <row r="849" spans="2:7" ht="15" x14ac:dyDescent="0.25">
      <c r="B849" s="7"/>
      <c r="C849" s="7"/>
      <c r="D849" s="7"/>
      <c r="E849" s="7"/>
      <c r="F849" s="7"/>
      <c r="G849" s="7"/>
    </row>
    <row r="850" spans="2:7" ht="15" x14ac:dyDescent="0.25">
      <c r="B850" s="7"/>
      <c r="C850" s="7"/>
      <c r="D850" s="7"/>
      <c r="E850" s="7"/>
      <c r="F850" s="7"/>
      <c r="G850" s="7"/>
    </row>
    <row r="851" spans="2:7" ht="15" x14ac:dyDescent="0.25">
      <c r="B851" s="7"/>
      <c r="C851" s="7"/>
      <c r="D851" s="7"/>
      <c r="E851" s="7"/>
      <c r="F851" s="7"/>
      <c r="G851" s="7"/>
    </row>
    <row r="852" spans="2:7" ht="15" x14ac:dyDescent="0.25">
      <c r="B852" s="7"/>
      <c r="C852" s="7"/>
      <c r="D852" s="7"/>
      <c r="E852" s="7"/>
      <c r="F852" s="7"/>
      <c r="G852" s="7"/>
    </row>
    <row r="853" spans="2:7" ht="15" x14ac:dyDescent="0.25">
      <c r="B853" s="7"/>
      <c r="C853" s="7"/>
      <c r="D853" s="7"/>
      <c r="E853" s="7"/>
      <c r="F853" s="7"/>
      <c r="G853" s="7"/>
    </row>
    <row r="854" spans="2:7" ht="15" x14ac:dyDescent="0.25">
      <c r="B854" s="7"/>
      <c r="C854" s="7"/>
      <c r="D854" s="7"/>
      <c r="E854" s="7"/>
      <c r="F854" s="7"/>
      <c r="G854" s="7"/>
    </row>
    <row r="855" spans="2:7" ht="15" x14ac:dyDescent="0.25">
      <c r="B855" s="7"/>
      <c r="C855" s="7"/>
      <c r="D855" s="7"/>
      <c r="E855" s="7"/>
      <c r="F855" s="7"/>
      <c r="G855" s="7"/>
    </row>
    <row r="856" spans="2:7" ht="15" x14ac:dyDescent="0.25">
      <c r="B856" s="7"/>
      <c r="C856" s="7"/>
      <c r="D856" s="7"/>
      <c r="E856" s="7"/>
      <c r="F856" s="7"/>
      <c r="G856" s="7"/>
    </row>
    <row r="857" spans="2:7" ht="15" x14ac:dyDescent="0.25">
      <c r="B857" s="7"/>
      <c r="C857" s="7"/>
      <c r="D857" s="7"/>
      <c r="E857" s="7"/>
      <c r="F857" s="7"/>
      <c r="G857" s="7"/>
    </row>
    <row r="858" spans="2:7" ht="15" x14ac:dyDescent="0.25">
      <c r="B858" s="7"/>
      <c r="C858" s="7"/>
      <c r="D858" s="7"/>
      <c r="E858" s="7"/>
      <c r="F858" s="7"/>
      <c r="G858" s="7"/>
    </row>
    <row r="859" spans="2:7" ht="15" x14ac:dyDescent="0.25">
      <c r="B859" s="7"/>
      <c r="C859" s="7"/>
      <c r="D859" s="7"/>
      <c r="E859" s="7"/>
      <c r="F859" s="7"/>
      <c r="G859" s="7"/>
    </row>
    <row r="860" spans="2:7" ht="15" x14ac:dyDescent="0.25">
      <c r="B860" s="7"/>
      <c r="C860" s="7"/>
      <c r="D860" s="7"/>
      <c r="E860" s="7"/>
      <c r="F860" s="7"/>
      <c r="G860" s="7"/>
    </row>
    <row r="861" spans="2:7" ht="15" x14ac:dyDescent="0.25">
      <c r="B861" s="7"/>
      <c r="C861" s="7"/>
      <c r="D861" s="7"/>
      <c r="E861" s="7"/>
      <c r="F861" s="7"/>
      <c r="G861" s="7"/>
    </row>
    <row r="862" spans="2:7" ht="15" x14ac:dyDescent="0.25">
      <c r="B862" s="7"/>
      <c r="C862" s="7"/>
      <c r="D862" s="7"/>
      <c r="E862" s="7"/>
      <c r="F862" s="7"/>
      <c r="G862" s="7"/>
    </row>
    <row r="863" spans="2:7" ht="15" x14ac:dyDescent="0.25">
      <c r="B863" s="7"/>
      <c r="C863" s="7"/>
      <c r="D863" s="7"/>
      <c r="E863" s="7"/>
      <c r="F863" s="7"/>
      <c r="G863" s="7"/>
    </row>
    <row r="864" spans="2:7" ht="15" x14ac:dyDescent="0.25">
      <c r="B864" s="7"/>
      <c r="C864" s="7"/>
      <c r="D864" s="7"/>
      <c r="E864" s="7"/>
      <c r="F864" s="7"/>
      <c r="G864" s="7"/>
    </row>
    <row r="865" spans="2:7" ht="15" x14ac:dyDescent="0.25">
      <c r="B865" s="7"/>
      <c r="C865" s="7"/>
      <c r="D865" s="7"/>
      <c r="E865" s="7"/>
      <c r="F865" s="7"/>
      <c r="G865" s="7"/>
    </row>
    <row r="866" spans="2:7" ht="15" x14ac:dyDescent="0.25">
      <c r="B866" s="7"/>
      <c r="C866" s="7"/>
      <c r="D866" s="7"/>
      <c r="E866" s="7"/>
      <c r="F866" s="7"/>
      <c r="G866" s="7"/>
    </row>
    <row r="867" spans="2:7" ht="15" x14ac:dyDescent="0.25">
      <c r="B867" s="7"/>
      <c r="C867" s="7"/>
      <c r="D867" s="7"/>
      <c r="E867" s="7"/>
      <c r="F867" s="7"/>
      <c r="G867" s="7"/>
    </row>
    <row r="868" spans="2:7" ht="15" x14ac:dyDescent="0.25">
      <c r="B868" s="7"/>
      <c r="C868" s="7"/>
      <c r="D868" s="7"/>
      <c r="E868" s="7"/>
      <c r="F868" s="7"/>
      <c r="G868" s="7"/>
    </row>
    <row r="869" spans="2:7" ht="15" x14ac:dyDescent="0.25">
      <c r="B869" s="7"/>
      <c r="C869" s="7"/>
      <c r="D869" s="7"/>
      <c r="E869" s="7"/>
      <c r="F869" s="7"/>
      <c r="G869" s="7"/>
    </row>
    <row r="870" spans="2:7" ht="15" x14ac:dyDescent="0.25">
      <c r="B870" s="7"/>
      <c r="C870" s="7"/>
      <c r="D870" s="7"/>
      <c r="E870" s="7"/>
      <c r="F870" s="7"/>
      <c r="G870" s="7"/>
    </row>
    <row r="871" spans="2:7" ht="15" x14ac:dyDescent="0.25">
      <c r="B871" s="7"/>
      <c r="C871" s="7"/>
      <c r="D871" s="7"/>
      <c r="E871" s="7"/>
      <c r="F871" s="7"/>
      <c r="G871" s="7"/>
    </row>
    <row r="872" spans="2:7" ht="15" x14ac:dyDescent="0.25">
      <c r="B872" s="7"/>
      <c r="C872" s="7"/>
      <c r="D872" s="7"/>
      <c r="E872" s="7"/>
      <c r="F872" s="7"/>
      <c r="G872" s="7"/>
    </row>
    <row r="873" spans="2:7" ht="15" x14ac:dyDescent="0.25">
      <c r="B873" s="7"/>
      <c r="C873" s="7"/>
      <c r="D873" s="7"/>
      <c r="E873" s="7"/>
      <c r="F873" s="7"/>
      <c r="G873" s="7"/>
    </row>
    <row r="874" spans="2:7" ht="15" x14ac:dyDescent="0.25">
      <c r="B874" s="7"/>
      <c r="C874" s="7"/>
      <c r="D874" s="7"/>
      <c r="E874" s="7"/>
      <c r="F874" s="7"/>
      <c r="G874" s="7"/>
    </row>
    <row r="875" spans="2:7" ht="15" x14ac:dyDescent="0.25">
      <c r="B875" s="7"/>
      <c r="C875" s="7"/>
      <c r="D875" s="7"/>
      <c r="E875" s="7"/>
      <c r="F875" s="7"/>
      <c r="G875" s="7"/>
    </row>
    <row r="876" spans="2:7" ht="15" x14ac:dyDescent="0.25">
      <c r="B876" s="7"/>
      <c r="C876" s="7"/>
      <c r="D876" s="7"/>
      <c r="E876" s="7"/>
      <c r="F876" s="7"/>
      <c r="G876" s="7"/>
    </row>
    <row r="877" spans="2:7" ht="15" x14ac:dyDescent="0.25">
      <c r="B877" s="7"/>
      <c r="C877" s="7"/>
      <c r="D877" s="7"/>
      <c r="E877" s="7"/>
      <c r="F877" s="7"/>
      <c r="G877" s="7"/>
    </row>
    <row r="878" spans="2:7" ht="15" x14ac:dyDescent="0.25">
      <c r="B878" s="7"/>
      <c r="C878" s="7"/>
      <c r="D878" s="7"/>
      <c r="E878" s="7"/>
      <c r="F878" s="7"/>
      <c r="G878" s="7"/>
    </row>
    <row r="879" spans="2:7" ht="15" x14ac:dyDescent="0.25">
      <c r="B879" s="7"/>
      <c r="C879" s="7"/>
      <c r="D879" s="7"/>
      <c r="E879" s="7"/>
      <c r="F879" s="7"/>
      <c r="G879" s="7"/>
    </row>
    <row r="880" spans="2:7" ht="15" x14ac:dyDescent="0.25">
      <c r="B880" s="7"/>
      <c r="C880" s="7"/>
      <c r="D880" s="7"/>
      <c r="E880" s="7"/>
      <c r="F880" s="7"/>
      <c r="G880" s="7"/>
    </row>
    <row r="881" spans="2:7" ht="15" x14ac:dyDescent="0.25">
      <c r="B881" s="7"/>
      <c r="C881" s="7"/>
      <c r="D881" s="7"/>
      <c r="E881" s="7"/>
      <c r="F881" s="7"/>
      <c r="G881" s="7"/>
    </row>
    <row r="882" spans="2:7" ht="15" x14ac:dyDescent="0.25">
      <c r="B882" s="7"/>
      <c r="C882" s="7"/>
      <c r="D882" s="7"/>
      <c r="E882" s="7"/>
      <c r="F882" s="7"/>
      <c r="G882" s="7"/>
    </row>
    <row r="883" spans="2:7" ht="15" x14ac:dyDescent="0.25">
      <c r="B883" s="7"/>
      <c r="C883" s="7"/>
      <c r="D883" s="7"/>
      <c r="E883" s="7"/>
      <c r="F883" s="7"/>
      <c r="G883" s="7"/>
    </row>
    <row r="884" spans="2:7" ht="15" x14ac:dyDescent="0.25">
      <c r="B884" s="7"/>
      <c r="C884" s="7"/>
      <c r="D884" s="7"/>
      <c r="E884" s="7"/>
      <c r="F884" s="7"/>
      <c r="G884" s="7"/>
    </row>
    <row r="885" spans="2:7" ht="15" x14ac:dyDescent="0.25">
      <c r="B885" s="7"/>
      <c r="C885" s="7"/>
      <c r="D885" s="7"/>
      <c r="E885" s="7"/>
      <c r="F885" s="7"/>
      <c r="G885" s="7"/>
    </row>
    <row r="886" spans="2:7" ht="15" x14ac:dyDescent="0.25">
      <c r="B886" s="7"/>
      <c r="C886" s="7"/>
      <c r="D886" s="7"/>
      <c r="E886" s="7"/>
      <c r="F886" s="7"/>
      <c r="G886" s="7"/>
    </row>
    <row r="887" spans="2:7" ht="15" x14ac:dyDescent="0.25">
      <c r="B887" s="7"/>
      <c r="C887" s="7"/>
      <c r="D887" s="7"/>
      <c r="E887" s="7"/>
      <c r="F887" s="7"/>
      <c r="G887" s="7"/>
    </row>
    <row r="888" spans="2:7" ht="15" x14ac:dyDescent="0.25">
      <c r="B888" s="7"/>
      <c r="C888" s="7"/>
      <c r="D888" s="7"/>
      <c r="E888" s="7"/>
      <c r="F888" s="7"/>
      <c r="G888" s="7"/>
    </row>
    <row r="889" spans="2:7" ht="15" x14ac:dyDescent="0.25">
      <c r="B889" s="7"/>
      <c r="C889" s="7"/>
      <c r="D889" s="7"/>
      <c r="E889" s="7"/>
      <c r="F889" s="7"/>
      <c r="G889" s="7"/>
    </row>
    <row r="890" spans="2:7" ht="15" x14ac:dyDescent="0.25">
      <c r="B890" s="7"/>
      <c r="C890" s="7"/>
      <c r="D890" s="7"/>
      <c r="E890" s="7"/>
      <c r="F890" s="7"/>
      <c r="G890" s="7"/>
    </row>
    <row r="891" spans="2:7" ht="15" x14ac:dyDescent="0.25">
      <c r="B891" s="7"/>
      <c r="C891" s="7"/>
      <c r="D891" s="7"/>
      <c r="E891" s="7"/>
      <c r="F891" s="7"/>
      <c r="G891" s="7"/>
    </row>
    <row r="892" spans="2:7" ht="15" x14ac:dyDescent="0.25">
      <c r="B892" s="7"/>
      <c r="C892" s="7"/>
      <c r="D892" s="7"/>
      <c r="E892" s="7"/>
      <c r="F892" s="7"/>
      <c r="G892" s="7"/>
    </row>
    <row r="893" spans="2:7" ht="15" x14ac:dyDescent="0.25">
      <c r="B893" s="7"/>
      <c r="C893" s="7"/>
      <c r="D893" s="7"/>
      <c r="E893" s="7"/>
      <c r="F893" s="7"/>
      <c r="G893" s="7"/>
    </row>
    <row r="894" spans="2:7" ht="15" x14ac:dyDescent="0.25">
      <c r="B894" s="7"/>
      <c r="C894" s="7"/>
      <c r="D894" s="7"/>
      <c r="E894" s="7"/>
      <c r="F894" s="7"/>
      <c r="G894" s="7"/>
    </row>
    <row r="895" spans="2:7" ht="15" x14ac:dyDescent="0.25">
      <c r="B895" s="7"/>
      <c r="C895" s="7"/>
      <c r="D895" s="7"/>
      <c r="E895" s="7"/>
      <c r="F895" s="7"/>
      <c r="G895" s="7"/>
    </row>
    <row r="896" spans="2:7" ht="15" x14ac:dyDescent="0.25">
      <c r="B896" s="7"/>
      <c r="C896" s="7"/>
      <c r="D896" s="7"/>
      <c r="E896" s="7"/>
      <c r="F896" s="7"/>
      <c r="G896" s="7"/>
    </row>
    <row r="897" spans="2:7" ht="15" x14ac:dyDescent="0.25">
      <c r="B897" s="7"/>
      <c r="C897" s="7"/>
      <c r="D897" s="7"/>
      <c r="E897" s="7"/>
      <c r="F897" s="7"/>
      <c r="G897" s="7"/>
    </row>
    <row r="898" spans="2:7" ht="15" x14ac:dyDescent="0.25">
      <c r="B898" s="7"/>
      <c r="C898" s="7"/>
      <c r="D898" s="7"/>
      <c r="E898" s="7"/>
      <c r="F898" s="7"/>
      <c r="G898" s="7"/>
    </row>
    <row r="899" spans="2:7" ht="15" x14ac:dyDescent="0.25">
      <c r="B899" s="7"/>
      <c r="C899" s="7"/>
      <c r="D899" s="7"/>
      <c r="E899" s="7"/>
      <c r="F899" s="7"/>
      <c r="G899" s="7"/>
    </row>
    <row r="900" spans="2:7" ht="15" x14ac:dyDescent="0.25">
      <c r="B900" s="7"/>
      <c r="C900" s="7"/>
      <c r="D900" s="7"/>
      <c r="E900" s="7"/>
      <c r="F900" s="7"/>
      <c r="G900" s="7"/>
    </row>
    <row r="901" spans="2:7" ht="15" x14ac:dyDescent="0.25">
      <c r="B901" s="7"/>
      <c r="C901" s="7"/>
      <c r="D901" s="7"/>
      <c r="E901" s="7"/>
      <c r="F901" s="7"/>
      <c r="G901" s="7"/>
    </row>
    <row r="902" spans="2:7" ht="15" x14ac:dyDescent="0.25">
      <c r="B902" s="7"/>
      <c r="C902" s="7"/>
      <c r="D902" s="7"/>
      <c r="E902" s="7"/>
      <c r="F902" s="7"/>
      <c r="G902" s="7"/>
    </row>
    <row r="903" spans="2:7" ht="15" x14ac:dyDescent="0.25">
      <c r="B903" s="7"/>
      <c r="C903" s="7"/>
      <c r="D903" s="7"/>
      <c r="E903" s="7"/>
      <c r="F903" s="7"/>
      <c r="G903" s="7"/>
    </row>
    <row r="904" spans="2:7" ht="15" x14ac:dyDescent="0.25">
      <c r="B904" s="7"/>
      <c r="C904" s="7"/>
      <c r="D904" s="7"/>
      <c r="E904" s="7"/>
      <c r="F904" s="7"/>
      <c r="G904" s="7"/>
    </row>
    <row r="905" spans="2:7" ht="15" x14ac:dyDescent="0.25">
      <c r="B905" s="7"/>
      <c r="C905" s="7"/>
      <c r="D905" s="7"/>
      <c r="E905" s="7"/>
      <c r="F905" s="7"/>
      <c r="G905" s="7"/>
    </row>
    <row r="906" spans="2:7" ht="15" x14ac:dyDescent="0.25">
      <c r="B906" s="7"/>
      <c r="C906" s="7"/>
      <c r="D906" s="7"/>
      <c r="E906" s="7"/>
      <c r="F906" s="7"/>
      <c r="G906" s="7"/>
    </row>
    <row r="907" spans="2:7" ht="15" x14ac:dyDescent="0.25">
      <c r="B907" s="7"/>
      <c r="C907" s="7"/>
      <c r="D907" s="7"/>
      <c r="E907" s="7"/>
      <c r="F907" s="7"/>
      <c r="G907" s="7"/>
    </row>
    <row r="908" spans="2:7" ht="15" x14ac:dyDescent="0.25">
      <c r="B908" s="7"/>
      <c r="C908" s="7"/>
      <c r="D908" s="7"/>
      <c r="E908" s="7"/>
      <c r="F908" s="7"/>
      <c r="G908" s="7"/>
    </row>
    <row r="909" spans="2:7" ht="15" x14ac:dyDescent="0.25">
      <c r="B909" s="7"/>
      <c r="C909" s="7"/>
      <c r="D909" s="7"/>
      <c r="E909" s="7"/>
      <c r="F909" s="7"/>
      <c r="G909" s="7"/>
    </row>
    <row r="910" spans="2:7" ht="15" x14ac:dyDescent="0.25">
      <c r="B910" s="7"/>
      <c r="C910" s="7"/>
      <c r="D910" s="7"/>
      <c r="E910" s="7"/>
      <c r="F910" s="7"/>
      <c r="G910" s="7"/>
    </row>
    <row r="911" spans="2:7" ht="15" x14ac:dyDescent="0.25">
      <c r="B911" s="7"/>
      <c r="C911" s="7"/>
      <c r="D911" s="7"/>
      <c r="E911" s="7"/>
      <c r="F911" s="7"/>
      <c r="G911" s="7"/>
    </row>
    <row r="912" spans="2:7" ht="15" x14ac:dyDescent="0.25">
      <c r="B912" s="7"/>
      <c r="C912" s="7"/>
      <c r="D912" s="7"/>
      <c r="E912" s="7"/>
      <c r="F912" s="7"/>
      <c r="G912" s="7"/>
    </row>
    <row r="913" spans="2:7" ht="15" x14ac:dyDescent="0.25">
      <c r="B913" s="7"/>
      <c r="C913" s="7"/>
      <c r="D913" s="7"/>
      <c r="E913" s="7"/>
      <c r="F913" s="7"/>
      <c r="G913" s="7"/>
    </row>
    <row r="914" spans="2:7" ht="15" x14ac:dyDescent="0.25">
      <c r="B914" s="7"/>
      <c r="C914" s="7"/>
      <c r="D914" s="7"/>
      <c r="E914" s="7"/>
      <c r="F914" s="7"/>
      <c r="G914" s="7"/>
    </row>
    <row r="915" spans="2:7" ht="15" x14ac:dyDescent="0.25">
      <c r="B915" s="7"/>
      <c r="C915" s="7"/>
      <c r="D915" s="7"/>
      <c r="E915" s="7"/>
      <c r="F915" s="7"/>
      <c r="G915" s="7"/>
    </row>
    <row r="916" spans="2:7" ht="15" x14ac:dyDescent="0.25">
      <c r="B916" s="7"/>
      <c r="C916" s="7"/>
      <c r="D916" s="7"/>
      <c r="E916" s="7"/>
      <c r="F916" s="7"/>
      <c r="G916" s="7"/>
    </row>
    <row r="917" spans="2:7" ht="15" x14ac:dyDescent="0.25">
      <c r="B917" s="7"/>
      <c r="C917" s="7"/>
      <c r="D917" s="7"/>
      <c r="E917" s="7"/>
      <c r="F917" s="7"/>
      <c r="G917" s="7"/>
    </row>
    <row r="918" spans="2:7" ht="15" x14ac:dyDescent="0.25">
      <c r="B918" s="7"/>
      <c r="C918" s="7"/>
      <c r="D918" s="7"/>
      <c r="E918" s="7"/>
      <c r="F918" s="7"/>
      <c r="G918" s="7"/>
    </row>
    <row r="919" spans="2:7" ht="15" x14ac:dyDescent="0.25">
      <c r="B919" s="7"/>
      <c r="C919" s="7"/>
      <c r="D919" s="7"/>
      <c r="E919" s="7"/>
      <c r="F919" s="7"/>
      <c r="G919" s="7"/>
    </row>
    <row r="920" spans="2:7" ht="15" x14ac:dyDescent="0.25">
      <c r="B920" s="7"/>
      <c r="C920" s="7"/>
      <c r="D920" s="7"/>
      <c r="E920" s="7"/>
      <c r="F920" s="7"/>
      <c r="G920" s="7"/>
    </row>
    <row r="921" spans="2:7" ht="15" x14ac:dyDescent="0.25">
      <c r="B921" s="7"/>
      <c r="C921" s="7"/>
      <c r="D921" s="7"/>
      <c r="E921" s="7"/>
      <c r="F921" s="7"/>
      <c r="G921" s="7"/>
    </row>
    <row r="922" spans="2:7" ht="15" x14ac:dyDescent="0.25">
      <c r="B922" s="7"/>
      <c r="C922" s="7"/>
      <c r="D922" s="7"/>
      <c r="E922" s="7"/>
      <c r="F922" s="7"/>
      <c r="G922" s="7"/>
    </row>
    <row r="923" spans="2:7" ht="15" x14ac:dyDescent="0.25">
      <c r="B923" s="7"/>
      <c r="C923" s="7"/>
      <c r="D923" s="7"/>
      <c r="E923" s="7"/>
      <c r="F923" s="7"/>
      <c r="G923" s="7"/>
    </row>
    <row r="924" spans="2:7" ht="15" x14ac:dyDescent="0.25">
      <c r="B924" s="7"/>
      <c r="C924" s="7"/>
      <c r="D924" s="7"/>
      <c r="E924" s="7"/>
      <c r="F924" s="7"/>
      <c r="G924" s="7"/>
    </row>
    <row r="925" spans="2:7" ht="15" x14ac:dyDescent="0.25">
      <c r="B925" s="7"/>
      <c r="C925" s="7"/>
      <c r="D925" s="7"/>
      <c r="E925" s="7"/>
      <c r="F925" s="7"/>
      <c r="G925" s="7"/>
    </row>
    <row r="926" spans="2:7" ht="15" x14ac:dyDescent="0.25">
      <c r="B926" s="7"/>
      <c r="C926" s="7"/>
      <c r="D926" s="7"/>
      <c r="E926" s="7"/>
      <c r="F926" s="7"/>
      <c r="G926" s="7"/>
    </row>
    <row r="927" spans="2:7" ht="15" x14ac:dyDescent="0.25">
      <c r="B927" s="7"/>
      <c r="C927" s="7"/>
      <c r="D927" s="7"/>
      <c r="E927" s="7"/>
      <c r="F927" s="7"/>
      <c r="G927" s="7"/>
    </row>
    <row r="928" spans="2:7" ht="15" x14ac:dyDescent="0.25">
      <c r="B928" s="7"/>
      <c r="C928" s="7"/>
      <c r="D928" s="7"/>
      <c r="E928" s="7"/>
      <c r="F928" s="7"/>
      <c r="G928" s="7"/>
    </row>
    <row r="929" spans="2:7" ht="15" x14ac:dyDescent="0.25">
      <c r="B929" s="7"/>
      <c r="C929" s="7"/>
      <c r="D929" s="7"/>
      <c r="E929" s="7"/>
      <c r="F929" s="7"/>
      <c r="G929" s="7"/>
    </row>
    <row r="930" spans="2:7" ht="15" x14ac:dyDescent="0.25">
      <c r="B930" s="7"/>
      <c r="C930" s="7"/>
      <c r="D930" s="7"/>
      <c r="E930" s="7"/>
      <c r="F930" s="7"/>
      <c r="G930" s="7"/>
    </row>
    <row r="931" spans="2:7" ht="15" x14ac:dyDescent="0.25">
      <c r="B931" s="7"/>
      <c r="C931" s="7"/>
      <c r="D931" s="7"/>
      <c r="E931" s="7"/>
      <c r="F931" s="7"/>
      <c r="G931" s="7"/>
    </row>
    <row r="932" spans="2:7" ht="15" x14ac:dyDescent="0.25">
      <c r="B932" s="7"/>
      <c r="C932" s="7"/>
      <c r="D932" s="7"/>
      <c r="E932" s="7"/>
      <c r="F932" s="7"/>
      <c r="G932" s="7"/>
    </row>
    <row r="933" spans="2:7" ht="15" x14ac:dyDescent="0.25">
      <c r="B933" s="7"/>
      <c r="C933" s="7"/>
      <c r="D933" s="7"/>
      <c r="E933" s="7"/>
      <c r="F933" s="7"/>
      <c r="G933" s="7"/>
    </row>
    <row r="934" spans="2:7" ht="15" x14ac:dyDescent="0.25">
      <c r="B934" s="7"/>
      <c r="C934" s="7"/>
      <c r="D934" s="7"/>
      <c r="E934" s="7"/>
      <c r="F934" s="7"/>
      <c r="G934" s="7"/>
    </row>
    <row r="935" spans="2:7" ht="15" x14ac:dyDescent="0.25">
      <c r="B935" s="7"/>
      <c r="C935" s="7"/>
      <c r="D935" s="7"/>
      <c r="E935" s="7"/>
      <c r="F935" s="7"/>
      <c r="G935" s="7"/>
    </row>
    <row r="936" spans="2:7" ht="15" x14ac:dyDescent="0.25">
      <c r="B936" s="7"/>
      <c r="C936" s="7"/>
      <c r="D936" s="7"/>
      <c r="E936" s="7"/>
      <c r="F936" s="7"/>
      <c r="G936" s="7"/>
    </row>
    <row r="937" spans="2:7" ht="15" x14ac:dyDescent="0.25">
      <c r="B937" s="7"/>
      <c r="C937" s="7"/>
      <c r="D937" s="7"/>
      <c r="E937" s="7"/>
      <c r="F937" s="7"/>
      <c r="G937" s="7"/>
    </row>
    <row r="938" spans="2:7" ht="15" x14ac:dyDescent="0.25">
      <c r="B938" s="7"/>
      <c r="C938" s="7"/>
      <c r="D938" s="7"/>
      <c r="E938" s="7"/>
      <c r="F938" s="7"/>
      <c r="G938" s="7"/>
    </row>
    <row r="939" spans="2:7" ht="15" x14ac:dyDescent="0.25">
      <c r="B939" s="7"/>
      <c r="C939" s="7"/>
      <c r="D939" s="7"/>
      <c r="E939" s="7"/>
      <c r="F939" s="7"/>
      <c r="G939" s="7"/>
    </row>
    <row r="940" spans="2:7" ht="15" x14ac:dyDescent="0.25">
      <c r="B940" s="7"/>
      <c r="C940" s="7"/>
      <c r="D940" s="7"/>
      <c r="E940" s="7"/>
      <c r="F940" s="7"/>
      <c r="G940" s="7"/>
    </row>
    <row r="941" spans="2:7" ht="15" x14ac:dyDescent="0.25">
      <c r="B941" s="7"/>
      <c r="C941" s="7"/>
      <c r="D941" s="7"/>
      <c r="E941" s="7"/>
      <c r="F941" s="7"/>
      <c r="G941" s="7"/>
    </row>
    <row r="942" spans="2:7" ht="15" x14ac:dyDescent="0.25">
      <c r="B942" s="7"/>
      <c r="C942" s="7"/>
      <c r="D942" s="7"/>
      <c r="E942" s="7"/>
      <c r="F942" s="7"/>
      <c r="G942" s="7"/>
    </row>
    <row r="943" spans="2:7" ht="15" x14ac:dyDescent="0.25">
      <c r="B943" s="7"/>
      <c r="C943" s="7"/>
      <c r="D943" s="7"/>
      <c r="E943" s="7"/>
      <c r="F943" s="7"/>
      <c r="G943" s="7"/>
    </row>
    <row r="944" spans="2:7" ht="15" x14ac:dyDescent="0.25">
      <c r="B944" s="7"/>
      <c r="C944" s="7"/>
      <c r="D944" s="7"/>
      <c r="E944" s="7"/>
      <c r="F944" s="7"/>
      <c r="G944" s="7"/>
    </row>
    <row r="945" spans="2:7" ht="15" x14ac:dyDescent="0.25">
      <c r="B945" s="7"/>
      <c r="C945" s="7"/>
      <c r="D945" s="7"/>
      <c r="E945" s="7"/>
      <c r="F945" s="7"/>
      <c r="G945" s="7"/>
    </row>
    <row r="946" spans="2:7" ht="15" x14ac:dyDescent="0.25">
      <c r="B946" s="7"/>
      <c r="C946" s="7"/>
      <c r="D946" s="7"/>
      <c r="E946" s="7"/>
      <c r="F946" s="7"/>
      <c r="G946" s="7"/>
    </row>
    <row r="947" spans="2:7" ht="15" x14ac:dyDescent="0.25">
      <c r="B947" s="7"/>
      <c r="C947" s="7"/>
      <c r="D947" s="7"/>
      <c r="E947" s="7"/>
      <c r="F947" s="7"/>
      <c r="G947" s="7"/>
    </row>
    <row r="948" spans="2:7" ht="15" x14ac:dyDescent="0.25">
      <c r="B948" s="7"/>
      <c r="C948" s="7"/>
      <c r="D948" s="7"/>
      <c r="E948" s="7"/>
      <c r="F948" s="7"/>
      <c r="G948" s="7"/>
    </row>
    <row r="949" spans="2:7" ht="15" x14ac:dyDescent="0.25">
      <c r="B949" s="7"/>
      <c r="C949" s="7"/>
      <c r="D949" s="7"/>
      <c r="E949" s="7"/>
      <c r="F949" s="7"/>
      <c r="G949" s="7"/>
    </row>
    <row r="950" spans="2:7" ht="15" x14ac:dyDescent="0.25">
      <c r="B950" s="7"/>
      <c r="C950" s="7"/>
      <c r="D950" s="7"/>
      <c r="E950" s="7"/>
      <c r="F950" s="7"/>
      <c r="G950" s="7"/>
    </row>
    <row r="951" spans="2:7" ht="15" x14ac:dyDescent="0.25">
      <c r="B951" s="7"/>
      <c r="C951" s="7"/>
      <c r="D951" s="7"/>
      <c r="E951" s="7"/>
      <c r="F951" s="7"/>
      <c r="G951" s="7"/>
    </row>
    <row r="952" spans="2:7" ht="15" x14ac:dyDescent="0.25">
      <c r="B952" s="7"/>
      <c r="C952" s="7"/>
      <c r="D952" s="7"/>
      <c r="E952" s="7"/>
      <c r="F952" s="7"/>
      <c r="G952" s="7"/>
    </row>
    <row r="953" spans="2:7" ht="15" x14ac:dyDescent="0.25">
      <c r="B953" s="7"/>
      <c r="C953" s="7"/>
      <c r="D953" s="7"/>
      <c r="E953" s="7"/>
      <c r="F953" s="7"/>
      <c r="G953" s="7"/>
    </row>
    <row r="954" spans="2:7" ht="15" x14ac:dyDescent="0.25">
      <c r="B954" s="7"/>
      <c r="C954" s="7"/>
      <c r="D954" s="7"/>
      <c r="E954" s="7"/>
      <c r="F954" s="7"/>
      <c r="G954" s="7"/>
    </row>
    <row r="955" spans="2:7" ht="15" x14ac:dyDescent="0.25">
      <c r="B955" s="7"/>
      <c r="C955" s="7"/>
      <c r="D955" s="7"/>
      <c r="E955" s="7"/>
      <c r="F955" s="7"/>
      <c r="G955" s="7"/>
    </row>
    <row r="956" spans="2:7" ht="15" x14ac:dyDescent="0.25">
      <c r="B956" s="7"/>
      <c r="C956" s="7"/>
      <c r="D956" s="7"/>
      <c r="E956" s="7"/>
      <c r="F956" s="7"/>
      <c r="G956" s="7"/>
    </row>
    <row r="957" spans="2:7" ht="15" x14ac:dyDescent="0.25">
      <c r="B957" s="7"/>
      <c r="C957" s="7"/>
      <c r="D957" s="7"/>
      <c r="E957" s="7"/>
      <c r="F957" s="7"/>
      <c r="G957" s="7"/>
    </row>
    <row r="958" spans="2:7" ht="15" x14ac:dyDescent="0.25">
      <c r="B958" s="7"/>
      <c r="C958" s="7"/>
      <c r="D958" s="7"/>
      <c r="E958" s="7"/>
      <c r="F958" s="7"/>
      <c r="G958" s="7"/>
    </row>
    <row r="959" spans="2:7" ht="15" x14ac:dyDescent="0.25">
      <c r="B959" s="7"/>
      <c r="C959" s="7"/>
      <c r="D959" s="7"/>
      <c r="E959" s="7"/>
      <c r="F959" s="7"/>
      <c r="G959" s="7"/>
    </row>
    <row r="960" spans="2:7" ht="15" x14ac:dyDescent="0.25">
      <c r="B960" s="7"/>
      <c r="C960" s="7"/>
      <c r="D960" s="7"/>
      <c r="E960" s="7"/>
      <c r="F960" s="7"/>
      <c r="G960" s="7"/>
    </row>
    <row r="961" spans="2:7" ht="15" x14ac:dyDescent="0.25">
      <c r="B961" s="7"/>
      <c r="C961" s="7"/>
      <c r="D961" s="7"/>
      <c r="E961" s="7"/>
      <c r="F961" s="7"/>
      <c r="G961" s="7"/>
    </row>
    <row r="962" spans="2:7" ht="15" x14ac:dyDescent="0.25">
      <c r="B962" s="7"/>
      <c r="C962" s="7"/>
      <c r="D962" s="7"/>
      <c r="E962" s="7"/>
      <c r="F962" s="7"/>
      <c r="G962" s="7"/>
    </row>
    <row r="963" spans="2:7" ht="15" x14ac:dyDescent="0.25">
      <c r="B963" s="7"/>
      <c r="C963" s="7"/>
      <c r="D963" s="7"/>
      <c r="E963" s="7"/>
      <c r="F963" s="7"/>
      <c r="G963" s="7"/>
    </row>
    <row r="964" spans="2:7" ht="15" x14ac:dyDescent="0.25">
      <c r="B964" s="7"/>
      <c r="C964" s="7"/>
      <c r="D964" s="7"/>
      <c r="E964" s="7"/>
      <c r="F964" s="7"/>
      <c r="G964" s="7"/>
    </row>
    <row r="965" spans="2:7" ht="15" x14ac:dyDescent="0.25">
      <c r="B965" s="7"/>
      <c r="C965" s="7"/>
      <c r="D965" s="7"/>
      <c r="E965" s="7"/>
      <c r="F965" s="7"/>
      <c r="G965" s="7"/>
    </row>
    <row r="966" spans="2:7" ht="15" x14ac:dyDescent="0.25">
      <c r="B966" s="7"/>
      <c r="C966" s="7"/>
      <c r="D966" s="7"/>
      <c r="E966" s="7"/>
      <c r="F966" s="7"/>
      <c r="G966" s="7"/>
    </row>
    <row r="967" spans="2:7" ht="15" x14ac:dyDescent="0.25">
      <c r="B967" s="7"/>
      <c r="C967" s="7"/>
      <c r="D967" s="7"/>
      <c r="E967" s="7"/>
      <c r="F967" s="7"/>
      <c r="G967" s="7"/>
    </row>
    <row r="968" spans="2:7" ht="15" x14ac:dyDescent="0.25">
      <c r="B968" s="7"/>
      <c r="C968" s="7"/>
      <c r="D968" s="7"/>
      <c r="E968" s="7"/>
      <c r="F968" s="7"/>
      <c r="G968" s="7"/>
    </row>
    <row r="969" spans="2:7" ht="15" x14ac:dyDescent="0.25">
      <c r="B969" s="7"/>
      <c r="C969" s="7"/>
      <c r="D969" s="7"/>
      <c r="E969" s="7"/>
      <c r="F969" s="7"/>
      <c r="G969" s="7"/>
    </row>
    <row r="970" spans="2:7" ht="15" x14ac:dyDescent="0.25">
      <c r="B970" s="7"/>
      <c r="C970" s="7"/>
      <c r="D970" s="7"/>
      <c r="E970" s="7"/>
      <c r="F970" s="7"/>
      <c r="G970" s="7"/>
    </row>
    <row r="971" spans="2:7" ht="15" x14ac:dyDescent="0.25">
      <c r="B971" s="7"/>
      <c r="C971" s="7"/>
      <c r="D971" s="7"/>
      <c r="E971" s="7"/>
      <c r="F971" s="7"/>
      <c r="G971" s="7"/>
    </row>
    <row r="972" spans="2:7" ht="15" x14ac:dyDescent="0.25">
      <c r="B972" s="7"/>
      <c r="C972" s="7"/>
      <c r="D972" s="7"/>
      <c r="E972" s="7"/>
      <c r="F972" s="7"/>
      <c r="G972" s="7"/>
    </row>
    <row r="973" spans="2:7" ht="15" x14ac:dyDescent="0.25">
      <c r="B973" s="7"/>
      <c r="C973" s="7"/>
      <c r="D973" s="7"/>
      <c r="E973" s="7"/>
      <c r="F973" s="7"/>
      <c r="G973" s="7"/>
    </row>
    <row r="974" spans="2:7" ht="15" x14ac:dyDescent="0.25">
      <c r="B974" s="7"/>
      <c r="C974" s="7"/>
      <c r="D974" s="7"/>
      <c r="E974" s="7"/>
      <c r="F974" s="7"/>
      <c r="G974" s="7"/>
    </row>
    <row r="975" spans="2:7" ht="15" x14ac:dyDescent="0.25">
      <c r="B975" s="7"/>
      <c r="C975" s="7"/>
      <c r="D975" s="7"/>
      <c r="E975" s="7"/>
      <c r="F975" s="7"/>
      <c r="G975" s="7"/>
    </row>
    <row r="976" spans="2:7" ht="15" x14ac:dyDescent="0.25">
      <c r="B976" s="7"/>
      <c r="C976" s="7"/>
      <c r="D976" s="7"/>
      <c r="E976" s="7"/>
      <c r="F976" s="7"/>
      <c r="G976" s="7"/>
    </row>
    <row r="977" spans="2:7" ht="15" x14ac:dyDescent="0.25">
      <c r="B977" s="7"/>
      <c r="C977" s="7"/>
      <c r="D977" s="7"/>
      <c r="E977" s="7"/>
      <c r="F977" s="7"/>
      <c r="G977" s="7"/>
    </row>
    <row r="978" spans="2:7" ht="15" x14ac:dyDescent="0.25">
      <c r="B978" s="7"/>
      <c r="C978" s="7"/>
      <c r="D978" s="7"/>
      <c r="E978" s="7"/>
      <c r="F978" s="7"/>
      <c r="G978" s="7"/>
    </row>
    <row r="979" spans="2:7" ht="15" x14ac:dyDescent="0.25">
      <c r="B979" s="7"/>
      <c r="C979" s="7"/>
      <c r="D979" s="7"/>
      <c r="E979" s="7"/>
      <c r="F979" s="7"/>
      <c r="G979" s="7"/>
    </row>
    <row r="980" spans="2:7" ht="15" x14ac:dyDescent="0.25">
      <c r="B980" s="7"/>
      <c r="C980" s="7"/>
      <c r="D980" s="7"/>
      <c r="E980" s="7"/>
      <c r="F980" s="7"/>
      <c r="G980" s="7"/>
    </row>
    <row r="981" spans="2:7" ht="15" x14ac:dyDescent="0.25">
      <c r="B981" s="7"/>
      <c r="C981" s="7"/>
      <c r="D981" s="7"/>
      <c r="E981" s="7"/>
      <c r="F981" s="7"/>
      <c r="G981" s="7"/>
    </row>
    <row r="982" spans="2:7" ht="15" x14ac:dyDescent="0.25">
      <c r="B982" s="7"/>
      <c r="C982" s="7"/>
      <c r="D982" s="7"/>
      <c r="E982" s="7"/>
      <c r="F982" s="7"/>
      <c r="G982" s="7"/>
    </row>
    <row r="983" spans="2:7" ht="15" x14ac:dyDescent="0.25">
      <c r="B983" s="7"/>
      <c r="C983" s="7"/>
      <c r="D983" s="7"/>
      <c r="E983" s="7"/>
      <c r="F983" s="7"/>
      <c r="G983" s="7"/>
    </row>
    <row r="984" spans="2:7" ht="15" x14ac:dyDescent="0.25">
      <c r="B984" s="7"/>
      <c r="C984" s="7"/>
      <c r="D984" s="7"/>
      <c r="E984" s="7"/>
      <c r="F984" s="7"/>
      <c r="G984" s="7"/>
    </row>
    <row r="985" spans="2:7" ht="15" x14ac:dyDescent="0.25">
      <c r="B985" s="7"/>
      <c r="C985" s="7"/>
      <c r="D985" s="7"/>
      <c r="E985" s="7"/>
      <c r="F985" s="7"/>
      <c r="G985" s="7"/>
    </row>
    <row r="986" spans="2:7" ht="15" x14ac:dyDescent="0.25">
      <c r="B986" s="7"/>
      <c r="C986" s="7"/>
      <c r="D986" s="7"/>
      <c r="E986" s="7"/>
      <c r="F986" s="7"/>
      <c r="G986" s="7"/>
    </row>
    <row r="987" spans="2:7" ht="15" x14ac:dyDescent="0.25">
      <c r="B987" s="7"/>
      <c r="C987" s="7"/>
      <c r="D987" s="7"/>
      <c r="E987" s="7"/>
      <c r="F987" s="7"/>
      <c r="G987" s="7"/>
    </row>
    <row r="988" spans="2:7" ht="15" x14ac:dyDescent="0.25">
      <c r="B988" s="7"/>
      <c r="C988" s="7"/>
      <c r="D988" s="7"/>
      <c r="E988" s="7"/>
      <c r="F988" s="7"/>
      <c r="G988" s="7"/>
    </row>
    <row r="989" spans="2:7" ht="15" x14ac:dyDescent="0.25">
      <c r="B989" s="7"/>
      <c r="C989" s="7"/>
      <c r="D989" s="7"/>
      <c r="E989" s="7"/>
      <c r="F989" s="7"/>
      <c r="G989" s="7"/>
    </row>
    <row r="990" spans="2:7" ht="15" x14ac:dyDescent="0.25">
      <c r="B990" s="7"/>
      <c r="C990" s="7"/>
      <c r="D990" s="7"/>
      <c r="E990" s="7"/>
      <c r="F990" s="7"/>
      <c r="G990" s="7"/>
    </row>
    <row r="991" spans="2:7" ht="15" x14ac:dyDescent="0.25">
      <c r="B991" s="7"/>
      <c r="C991" s="7"/>
      <c r="D991" s="7"/>
      <c r="E991" s="7"/>
      <c r="F991" s="7"/>
      <c r="G991" s="7"/>
    </row>
    <row r="992" spans="2:7" ht="15" x14ac:dyDescent="0.25">
      <c r="B992" s="7"/>
      <c r="C992" s="7"/>
      <c r="D992" s="7"/>
      <c r="E992" s="7"/>
      <c r="F992" s="7"/>
      <c r="G992" s="7"/>
    </row>
    <row r="993" spans="2:7" ht="15" x14ac:dyDescent="0.25">
      <c r="B993" s="7"/>
      <c r="C993" s="7"/>
      <c r="D993" s="7"/>
      <c r="E993" s="7"/>
      <c r="F993" s="7"/>
      <c r="G993" s="7"/>
    </row>
    <row r="994" spans="2:7" ht="15" x14ac:dyDescent="0.25">
      <c r="B994" s="7"/>
      <c r="C994" s="7"/>
      <c r="D994" s="7"/>
      <c r="E994" s="7"/>
      <c r="F994" s="7"/>
      <c r="G994" s="7"/>
    </row>
    <row r="995" spans="2:7" ht="15" x14ac:dyDescent="0.25">
      <c r="B995" s="7"/>
      <c r="C995" s="7"/>
      <c r="D995" s="7"/>
      <c r="E995" s="7"/>
      <c r="F995" s="7"/>
      <c r="G995" s="7"/>
    </row>
    <row r="996" spans="2:7" ht="15" x14ac:dyDescent="0.25">
      <c r="B996" s="7"/>
      <c r="C996" s="7"/>
      <c r="D996" s="7"/>
      <c r="E996" s="7"/>
      <c r="F996" s="7"/>
      <c r="G996" s="7"/>
    </row>
    <row r="997" spans="2:7" ht="15" x14ac:dyDescent="0.25">
      <c r="B997" s="7"/>
      <c r="C997" s="7"/>
      <c r="D997" s="7"/>
      <c r="E997" s="7"/>
      <c r="F997" s="7"/>
      <c r="G997" s="7"/>
    </row>
    <row r="998" spans="2:7" ht="15" x14ac:dyDescent="0.25">
      <c r="B998" s="7"/>
      <c r="C998" s="7"/>
      <c r="D998" s="7"/>
      <c r="E998" s="7"/>
      <c r="F998" s="7"/>
      <c r="G998" s="7"/>
    </row>
    <row r="999" spans="2:7" ht="15" x14ac:dyDescent="0.25">
      <c r="B999" s="7"/>
      <c r="C999" s="7"/>
      <c r="D999" s="7"/>
      <c r="E999" s="7"/>
      <c r="F999" s="7"/>
      <c r="G999" s="7"/>
    </row>
    <row r="1000" spans="2:7" ht="15" x14ac:dyDescent="0.25">
      <c r="B1000" s="7"/>
      <c r="C1000" s="7"/>
      <c r="D1000" s="7"/>
      <c r="E1000" s="7"/>
      <c r="F1000" s="7"/>
      <c r="G1000" s="7"/>
    </row>
    <row r="1001" spans="2:7" ht="15" x14ac:dyDescent="0.25">
      <c r="B1001" s="7"/>
      <c r="C1001" s="7"/>
      <c r="D1001" s="7"/>
      <c r="E1001" s="7"/>
      <c r="F1001" s="7"/>
      <c r="G1001" s="7"/>
    </row>
    <row r="1002" spans="2:7" ht="15" x14ac:dyDescent="0.25">
      <c r="B1002" s="7"/>
      <c r="C1002" s="7"/>
      <c r="D1002" s="7"/>
      <c r="E1002" s="7"/>
      <c r="F1002" s="7"/>
      <c r="G1002" s="7"/>
    </row>
    <row r="1003" spans="2:7" ht="15" x14ac:dyDescent="0.25">
      <c r="B1003" s="7"/>
      <c r="C1003" s="7"/>
      <c r="D1003" s="7"/>
      <c r="E1003" s="7"/>
      <c r="F1003" s="7"/>
      <c r="G1003" s="7"/>
    </row>
    <row r="1004" spans="2:7" ht="15" x14ac:dyDescent="0.25">
      <c r="B1004" s="7"/>
      <c r="C1004" s="7"/>
      <c r="D1004" s="7"/>
      <c r="E1004" s="7"/>
      <c r="F1004" s="7"/>
      <c r="G1004" s="7"/>
    </row>
    <row r="1005" spans="2:7" ht="15" x14ac:dyDescent="0.25">
      <c r="B1005" s="7"/>
      <c r="C1005" s="7"/>
      <c r="D1005" s="7"/>
      <c r="E1005" s="7"/>
      <c r="F1005" s="7"/>
      <c r="G1005" s="7"/>
    </row>
    <row r="1006" spans="2:7" ht="15" x14ac:dyDescent="0.25">
      <c r="B1006" s="7"/>
      <c r="C1006" s="7"/>
      <c r="D1006" s="7"/>
      <c r="E1006" s="7"/>
      <c r="F1006" s="7"/>
      <c r="G1006" s="7"/>
    </row>
    <row r="1007" spans="2:7" ht="15" x14ac:dyDescent="0.25">
      <c r="B1007" s="7"/>
      <c r="C1007" s="7"/>
      <c r="D1007" s="7"/>
      <c r="E1007" s="7"/>
      <c r="F1007" s="7"/>
      <c r="G1007" s="7"/>
    </row>
    <row r="1008" spans="2:7" ht="15" x14ac:dyDescent="0.25">
      <c r="B1008" s="7"/>
      <c r="C1008" s="7"/>
      <c r="D1008" s="7"/>
      <c r="E1008" s="7"/>
      <c r="F1008" s="7"/>
      <c r="G1008" s="7"/>
    </row>
    <row r="1009" spans="2:7" ht="15" x14ac:dyDescent="0.25">
      <c r="B1009" s="7"/>
      <c r="C1009" s="7"/>
      <c r="D1009" s="7"/>
      <c r="E1009" s="7"/>
      <c r="F1009" s="7"/>
      <c r="G1009" s="7"/>
    </row>
    <row r="1010" spans="2:7" ht="15" x14ac:dyDescent="0.25">
      <c r="B1010" s="7"/>
      <c r="C1010" s="7"/>
      <c r="D1010" s="7"/>
      <c r="E1010" s="7"/>
      <c r="F1010" s="7"/>
      <c r="G1010" s="7"/>
    </row>
    <row r="1011" spans="2:7" ht="15" x14ac:dyDescent="0.25">
      <c r="B1011" s="7"/>
      <c r="C1011" s="7"/>
      <c r="D1011" s="7"/>
      <c r="E1011" s="7"/>
      <c r="F1011" s="7"/>
      <c r="G1011" s="7"/>
    </row>
    <row r="1012" spans="2:7" ht="15" x14ac:dyDescent="0.25">
      <c r="B1012" s="7"/>
      <c r="C1012" s="7"/>
      <c r="D1012" s="7"/>
      <c r="E1012" s="7"/>
      <c r="F1012" s="7"/>
      <c r="G1012" s="7"/>
    </row>
    <row r="1013" spans="2:7" ht="15" x14ac:dyDescent="0.25">
      <c r="B1013" s="7"/>
      <c r="C1013" s="7"/>
      <c r="D1013" s="7"/>
      <c r="E1013" s="7"/>
      <c r="F1013" s="7"/>
      <c r="G1013" s="7"/>
    </row>
    <row r="1014" spans="2:7" ht="15" x14ac:dyDescent="0.25">
      <c r="B1014" s="7"/>
      <c r="C1014" s="7"/>
      <c r="D1014" s="7"/>
      <c r="E1014" s="7"/>
      <c r="F1014" s="7"/>
      <c r="G1014" s="7"/>
    </row>
    <row r="1015" spans="2:7" ht="15" x14ac:dyDescent="0.25">
      <c r="B1015" s="7"/>
      <c r="C1015" s="7"/>
      <c r="D1015" s="7"/>
      <c r="E1015" s="7"/>
      <c r="F1015" s="7"/>
      <c r="G1015" s="7"/>
    </row>
    <row r="1016" spans="2:7" ht="15" x14ac:dyDescent="0.25">
      <c r="B1016" s="7"/>
      <c r="C1016" s="7"/>
      <c r="D1016" s="7"/>
      <c r="E1016" s="7"/>
      <c r="F1016" s="7"/>
      <c r="G1016" s="7"/>
    </row>
    <row r="1017" spans="2:7" ht="15" x14ac:dyDescent="0.25">
      <c r="B1017" s="7"/>
      <c r="C1017" s="7"/>
      <c r="D1017" s="7"/>
      <c r="E1017" s="7"/>
      <c r="F1017" s="7"/>
      <c r="G1017" s="7"/>
    </row>
    <row r="1018" spans="2:7" ht="15" x14ac:dyDescent="0.25">
      <c r="B1018" s="7"/>
      <c r="C1018" s="7"/>
      <c r="D1018" s="7"/>
      <c r="E1018" s="7"/>
      <c r="F1018" s="7"/>
      <c r="G1018" s="7"/>
    </row>
    <row r="1019" spans="2:7" ht="15" x14ac:dyDescent="0.25">
      <c r="B1019" s="7"/>
      <c r="C1019" s="7"/>
      <c r="D1019" s="7"/>
      <c r="E1019" s="7"/>
      <c r="F1019" s="7"/>
      <c r="G1019" s="7"/>
    </row>
    <row r="1020" spans="2:7" ht="15" x14ac:dyDescent="0.25">
      <c r="B1020" s="7"/>
      <c r="C1020" s="7"/>
      <c r="D1020" s="7"/>
      <c r="E1020" s="7"/>
      <c r="F1020" s="7"/>
      <c r="G1020" s="7"/>
    </row>
    <row r="1021" spans="2:7" ht="15" x14ac:dyDescent="0.25">
      <c r="B1021" s="7"/>
      <c r="C1021" s="7"/>
      <c r="D1021" s="7"/>
      <c r="E1021" s="7"/>
      <c r="F1021" s="7"/>
      <c r="G1021" s="7"/>
    </row>
    <row r="1022" spans="2:7" ht="15" x14ac:dyDescent="0.25">
      <c r="B1022" s="7"/>
      <c r="C1022" s="7"/>
      <c r="D1022" s="7"/>
      <c r="E1022" s="7"/>
      <c r="F1022" s="7"/>
      <c r="G1022" s="7"/>
    </row>
    <row r="1023" spans="2:7" ht="15" x14ac:dyDescent="0.25">
      <c r="B1023" s="7"/>
      <c r="C1023" s="7"/>
      <c r="D1023" s="7"/>
      <c r="E1023" s="7"/>
      <c r="F1023" s="7"/>
      <c r="G1023" s="7"/>
    </row>
    <row r="1024" spans="2:7" ht="15" x14ac:dyDescent="0.25">
      <c r="B1024" s="7"/>
      <c r="C1024" s="7"/>
      <c r="D1024" s="7"/>
      <c r="E1024" s="7"/>
      <c r="F1024" s="7"/>
      <c r="G1024" s="7"/>
    </row>
    <row r="1025" spans="2:7" ht="15" x14ac:dyDescent="0.25">
      <c r="B1025" s="7"/>
      <c r="C1025" s="7"/>
      <c r="D1025" s="7"/>
      <c r="E1025" s="7"/>
      <c r="F1025" s="7"/>
      <c r="G1025" s="7"/>
    </row>
    <row r="1026" spans="2:7" ht="15" x14ac:dyDescent="0.25">
      <c r="B1026" s="7"/>
      <c r="C1026" s="7"/>
      <c r="D1026" s="7"/>
      <c r="E1026" s="7"/>
      <c r="F1026" s="7"/>
      <c r="G1026" s="7"/>
    </row>
    <row r="1027" spans="2:7" ht="15" x14ac:dyDescent="0.25">
      <c r="B1027" s="7"/>
      <c r="C1027" s="7"/>
      <c r="D1027" s="7"/>
      <c r="E1027" s="7"/>
      <c r="F1027" s="7"/>
      <c r="G1027" s="7"/>
    </row>
    <row r="1028" spans="2:7" ht="15" x14ac:dyDescent="0.25">
      <c r="B1028" s="7"/>
      <c r="C1028" s="7"/>
      <c r="D1028" s="7"/>
      <c r="E1028" s="7"/>
      <c r="F1028" s="7"/>
      <c r="G1028" s="7"/>
    </row>
    <row r="1029" spans="2:7" ht="15" x14ac:dyDescent="0.25">
      <c r="B1029" s="7"/>
      <c r="C1029" s="7"/>
      <c r="D1029" s="7"/>
      <c r="E1029" s="7"/>
      <c r="F1029" s="7"/>
      <c r="G1029" s="7"/>
    </row>
    <row r="1030" spans="2:7" ht="15" x14ac:dyDescent="0.25">
      <c r="B1030" s="7"/>
      <c r="C1030" s="7"/>
      <c r="D1030" s="7"/>
      <c r="E1030" s="7"/>
      <c r="F1030" s="7"/>
      <c r="G1030" s="7"/>
    </row>
    <row r="1031" spans="2:7" ht="15" x14ac:dyDescent="0.25">
      <c r="B1031" s="7"/>
      <c r="C1031" s="7"/>
      <c r="D1031" s="7"/>
      <c r="E1031" s="7"/>
      <c r="F1031" s="7"/>
      <c r="G1031" s="7"/>
    </row>
    <row r="1032" spans="2:7" ht="15" x14ac:dyDescent="0.25">
      <c r="B1032" s="7"/>
      <c r="C1032" s="7"/>
      <c r="D1032" s="7"/>
      <c r="E1032" s="7"/>
      <c r="F1032" s="7"/>
      <c r="G1032" s="7"/>
    </row>
    <row r="1033" spans="2:7" ht="15" x14ac:dyDescent="0.25">
      <c r="B1033" s="7"/>
      <c r="C1033" s="7"/>
      <c r="D1033" s="7"/>
      <c r="E1033" s="7"/>
      <c r="F1033" s="7"/>
      <c r="G1033" s="7"/>
    </row>
    <row r="1034" spans="2:7" ht="15" x14ac:dyDescent="0.25">
      <c r="B1034" s="7"/>
      <c r="C1034" s="7"/>
      <c r="D1034" s="7"/>
      <c r="E1034" s="7"/>
      <c r="F1034" s="7"/>
      <c r="G1034" s="7"/>
    </row>
    <row r="1035" spans="2:7" ht="15" x14ac:dyDescent="0.25">
      <c r="B1035" s="7"/>
      <c r="C1035" s="7"/>
      <c r="D1035" s="7"/>
      <c r="E1035" s="7"/>
      <c r="F1035" s="7"/>
      <c r="G1035" s="7"/>
    </row>
    <row r="1036" spans="2:7" ht="15" x14ac:dyDescent="0.25">
      <c r="B1036" s="7"/>
      <c r="C1036" s="7"/>
      <c r="D1036" s="7"/>
      <c r="E1036" s="7"/>
      <c r="F1036" s="7"/>
      <c r="G1036" s="7"/>
    </row>
    <row r="1037" spans="2:7" ht="15" x14ac:dyDescent="0.25">
      <c r="B1037" s="7"/>
      <c r="C1037" s="7"/>
      <c r="D1037" s="7"/>
      <c r="E1037" s="7"/>
      <c r="F1037" s="7"/>
      <c r="G1037" s="7"/>
    </row>
    <row r="1038" spans="2:7" ht="15" x14ac:dyDescent="0.25">
      <c r="B1038" s="7"/>
      <c r="C1038" s="7"/>
      <c r="D1038" s="7"/>
      <c r="E1038" s="7"/>
      <c r="F1038" s="7"/>
      <c r="G1038" s="7"/>
    </row>
    <row r="1039" spans="2:7" ht="15" x14ac:dyDescent="0.25">
      <c r="B1039" s="7"/>
      <c r="C1039" s="7"/>
      <c r="D1039" s="7"/>
      <c r="E1039" s="7"/>
      <c r="F1039" s="7"/>
      <c r="G1039" s="7"/>
    </row>
    <row r="1040" spans="2:7" ht="15" x14ac:dyDescent="0.25">
      <c r="B1040" s="7"/>
      <c r="C1040" s="7"/>
      <c r="D1040" s="7"/>
      <c r="E1040" s="7"/>
      <c r="F1040" s="7"/>
      <c r="G1040" s="7"/>
    </row>
    <row r="1041" spans="2:7" ht="15" x14ac:dyDescent="0.25">
      <c r="B1041" s="7"/>
      <c r="C1041" s="7"/>
      <c r="D1041" s="7"/>
      <c r="E1041" s="7"/>
      <c r="F1041" s="7"/>
      <c r="G1041" s="7"/>
    </row>
    <row r="1042" spans="2:7" ht="15" x14ac:dyDescent="0.25">
      <c r="B1042" s="7"/>
      <c r="C1042" s="7"/>
      <c r="D1042" s="7"/>
      <c r="E1042" s="7"/>
      <c r="F1042" s="7"/>
      <c r="G1042" s="7"/>
    </row>
    <row r="1043" spans="2:7" ht="15" x14ac:dyDescent="0.25">
      <c r="B1043" s="7"/>
      <c r="C1043" s="7"/>
      <c r="D1043" s="7"/>
      <c r="E1043" s="7"/>
      <c r="F1043" s="7"/>
      <c r="G1043" s="7"/>
    </row>
    <row r="1044" spans="2:7" ht="15" x14ac:dyDescent="0.25">
      <c r="B1044" s="7"/>
      <c r="C1044" s="7"/>
      <c r="D1044" s="7"/>
      <c r="E1044" s="7"/>
      <c r="F1044" s="7"/>
      <c r="G1044" s="7"/>
    </row>
    <row r="1045" spans="2:7" ht="15" x14ac:dyDescent="0.25">
      <c r="B1045" s="7"/>
      <c r="C1045" s="7"/>
      <c r="D1045" s="7"/>
      <c r="E1045" s="7"/>
      <c r="F1045" s="7"/>
      <c r="G1045" s="7"/>
    </row>
    <row r="1046" spans="2:7" ht="15" x14ac:dyDescent="0.25">
      <c r="B1046" s="7"/>
      <c r="C1046" s="7"/>
      <c r="D1046" s="7"/>
      <c r="E1046" s="7"/>
      <c r="F1046" s="7"/>
      <c r="G1046" s="7"/>
    </row>
    <row r="1047" spans="2:7" ht="15" x14ac:dyDescent="0.25">
      <c r="B1047" s="7"/>
      <c r="C1047" s="7"/>
      <c r="D1047" s="7"/>
      <c r="E1047" s="7"/>
      <c r="F1047" s="7"/>
      <c r="G1047" s="7"/>
    </row>
    <row r="1048" spans="2:7" ht="15" x14ac:dyDescent="0.25">
      <c r="B1048" s="7"/>
      <c r="C1048" s="7"/>
      <c r="D1048" s="7"/>
      <c r="E1048" s="7"/>
      <c r="F1048" s="7"/>
      <c r="G1048" s="7"/>
    </row>
    <row r="1049" spans="2:7" ht="15" x14ac:dyDescent="0.25">
      <c r="B1049" s="7"/>
      <c r="C1049" s="7"/>
      <c r="D1049" s="7"/>
      <c r="E1049" s="7"/>
      <c r="F1049" s="7"/>
      <c r="G1049" s="7"/>
    </row>
    <row r="1050" spans="2:7" ht="15" x14ac:dyDescent="0.25">
      <c r="B1050" s="7"/>
      <c r="C1050" s="7"/>
      <c r="D1050" s="7"/>
      <c r="E1050" s="7"/>
      <c r="F1050" s="7"/>
      <c r="G1050" s="7"/>
    </row>
    <row r="1051" spans="2:7" ht="15" x14ac:dyDescent="0.25">
      <c r="B1051" s="7"/>
      <c r="C1051" s="7"/>
      <c r="D1051" s="7"/>
      <c r="E1051" s="7"/>
      <c r="F1051" s="7"/>
      <c r="G1051" s="7"/>
    </row>
    <row r="1052" spans="2:7" ht="15" x14ac:dyDescent="0.25">
      <c r="B1052" s="7"/>
      <c r="C1052" s="7"/>
      <c r="D1052" s="7"/>
      <c r="E1052" s="7"/>
      <c r="F1052" s="7"/>
      <c r="G1052" s="7"/>
    </row>
    <row r="1053" spans="2:7" ht="15" x14ac:dyDescent="0.25">
      <c r="B1053" s="7"/>
      <c r="C1053" s="7"/>
      <c r="D1053" s="7"/>
      <c r="E1053" s="7"/>
      <c r="F1053" s="7"/>
      <c r="G1053" s="7"/>
    </row>
    <row r="1054" spans="2:7" ht="15" x14ac:dyDescent="0.25">
      <c r="B1054" s="7"/>
      <c r="C1054" s="7"/>
      <c r="D1054" s="7"/>
      <c r="E1054" s="7"/>
      <c r="F1054" s="7"/>
      <c r="G1054" s="7"/>
    </row>
    <row r="1055" spans="2:7" ht="15" x14ac:dyDescent="0.25">
      <c r="B1055" s="7"/>
      <c r="C1055" s="7"/>
      <c r="D1055" s="7"/>
      <c r="E1055" s="7"/>
      <c r="F1055" s="7"/>
      <c r="G1055" s="7"/>
    </row>
    <row r="1056" spans="2:7" ht="15" x14ac:dyDescent="0.25">
      <c r="B1056" s="7"/>
      <c r="C1056" s="7"/>
      <c r="D1056" s="7"/>
      <c r="E1056" s="7"/>
      <c r="F1056" s="7"/>
      <c r="G1056" s="7"/>
    </row>
    <row r="1057" spans="2:7" ht="15" x14ac:dyDescent="0.25">
      <c r="B1057" s="7"/>
      <c r="C1057" s="7"/>
      <c r="D1057" s="7"/>
      <c r="E1057" s="7"/>
      <c r="F1057" s="7"/>
      <c r="G1057" s="7"/>
    </row>
    <row r="1058" spans="2:7" ht="15" x14ac:dyDescent="0.25">
      <c r="B1058" s="7"/>
      <c r="C1058" s="7"/>
      <c r="D1058" s="7"/>
      <c r="E1058" s="7"/>
      <c r="F1058" s="7"/>
      <c r="G1058" s="7"/>
    </row>
    <row r="1059" spans="2:7" ht="15" x14ac:dyDescent="0.25">
      <c r="B1059" s="7"/>
      <c r="C1059" s="7"/>
      <c r="D1059" s="7"/>
      <c r="E1059" s="7"/>
      <c r="F1059" s="7"/>
      <c r="G1059" s="7"/>
    </row>
    <row r="1060" spans="2:7" ht="15" x14ac:dyDescent="0.25">
      <c r="B1060" s="7"/>
      <c r="C1060" s="7"/>
      <c r="D1060" s="7"/>
      <c r="E1060" s="7"/>
      <c r="F1060" s="7"/>
      <c r="G1060" s="7"/>
    </row>
    <row r="1061" spans="2:7" ht="15" x14ac:dyDescent="0.25">
      <c r="B1061" s="7"/>
      <c r="C1061" s="7"/>
      <c r="D1061" s="7"/>
      <c r="E1061" s="7"/>
      <c r="F1061" s="7"/>
      <c r="G1061" s="7"/>
    </row>
    <row r="1062" spans="2:7" ht="15" x14ac:dyDescent="0.25">
      <c r="B1062" s="7"/>
      <c r="C1062" s="7"/>
      <c r="D1062" s="7"/>
      <c r="E1062" s="7"/>
      <c r="F1062" s="7"/>
      <c r="G1062" s="7"/>
    </row>
    <row r="1063" spans="2:7" ht="15" x14ac:dyDescent="0.25">
      <c r="B1063" s="7"/>
      <c r="C1063" s="7"/>
      <c r="D1063" s="7"/>
      <c r="E1063" s="7"/>
      <c r="F1063" s="7"/>
      <c r="G1063" s="7"/>
    </row>
    <row r="1064" spans="2:7" ht="15" x14ac:dyDescent="0.25">
      <c r="B1064" s="7"/>
      <c r="C1064" s="7"/>
      <c r="D1064" s="7"/>
      <c r="E1064" s="7"/>
      <c r="F1064" s="7"/>
      <c r="G1064" s="7"/>
    </row>
    <row r="1065" spans="2:7" ht="15" x14ac:dyDescent="0.25">
      <c r="B1065" s="7"/>
      <c r="C1065" s="7"/>
      <c r="D1065" s="7"/>
      <c r="E1065" s="7"/>
      <c r="F1065" s="7"/>
      <c r="G1065" s="7"/>
    </row>
    <row r="1066" spans="2:7" ht="15" x14ac:dyDescent="0.25">
      <c r="B1066" s="7"/>
      <c r="C1066" s="7"/>
      <c r="D1066" s="7"/>
      <c r="E1066" s="7"/>
      <c r="F1066" s="7"/>
      <c r="G1066" s="7"/>
    </row>
    <row r="1067" spans="2:7" ht="15" x14ac:dyDescent="0.25">
      <c r="B1067" s="7"/>
      <c r="C1067" s="7"/>
      <c r="D1067" s="7"/>
      <c r="E1067" s="7"/>
      <c r="F1067" s="7"/>
      <c r="G1067" s="7"/>
    </row>
    <row r="1068" spans="2:7" ht="15" x14ac:dyDescent="0.25">
      <c r="B1068" s="7"/>
      <c r="C1068" s="7"/>
      <c r="D1068" s="7"/>
      <c r="E1068" s="7"/>
      <c r="F1068" s="7"/>
      <c r="G1068" s="7"/>
    </row>
    <row r="1069" spans="2:7" ht="15" x14ac:dyDescent="0.25">
      <c r="B1069" s="7"/>
      <c r="C1069" s="7"/>
      <c r="D1069" s="7"/>
      <c r="E1069" s="7"/>
      <c r="F1069" s="7"/>
      <c r="G1069" s="7"/>
    </row>
    <row r="1070" spans="2:7" ht="15" x14ac:dyDescent="0.25">
      <c r="B1070" s="7"/>
      <c r="C1070" s="7"/>
      <c r="D1070" s="7"/>
      <c r="E1070" s="7"/>
      <c r="F1070" s="7"/>
      <c r="G1070" s="7"/>
    </row>
    <row r="1071" spans="2:7" ht="15" x14ac:dyDescent="0.25">
      <c r="B1071" s="7"/>
      <c r="C1071" s="7"/>
      <c r="D1071" s="7"/>
      <c r="E1071" s="7"/>
      <c r="F1071" s="7"/>
      <c r="G1071" s="7"/>
    </row>
    <row r="1072" spans="2:7" ht="15" x14ac:dyDescent="0.25">
      <c r="B1072" s="7"/>
      <c r="C1072" s="7"/>
      <c r="D1072" s="7"/>
      <c r="E1072" s="7"/>
      <c r="F1072" s="7"/>
      <c r="G1072" s="7"/>
    </row>
    <row r="1073" spans="2:7" ht="15" x14ac:dyDescent="0.25">
      <c r="B1073" s="7"/>
      <c r="C1073" s="7"/>
      <c r="D1073" s="7"/>
      <c r="E1073" s="7"/>
      <c r="F1073" s="7"/>
      <c r="G1073" s="7"/>
    </row>
    <row r="1074" spans="2:7" ht="15" x14ac:dyDescent="0.25">
      <c r="B1074" s="7"/>
      <c r="C1074" s="7"/>
      <c r="D1074" s="7"/>
      <c r="E1074" s="7"/>
      <c r="F1074" s="7"/>
      <c r="G1074" s="7"/>
    </row>
    <row r="1075" spans="2:7" ht="15" x14ac:dyDescent="0.25">
      <c r="B1075" s="7"/>
      <c r="C1075" s="7"/>
      <c r="D1075" s="7"/>
      <c r="E1075" s="7"/>
      <c r="F1075" s="7"/>
      <c r="G1075" s="7"/>
    </row>
    <row r="1076" spans="2:7" ht="15" x14ac:dyDescent="0.25">
      <c r="B1076" s="7"/>
      <c r="C1076" s="7"/>
      <c r="D1076" s="7"/>
      <c r="E1076" s="7"/>
      <c r="F1076" s="7"/>
      <c r="G1076" s="7"/>
    </row>
    <row r="1077" spans="2:7" ht="15" x14ac:dyDescent="0.25">
      <c r="B1077" s="7"/>
      <c r="C1077" s="7"/>
      <c r="D1077" s="7"/>
      <c r="E1077" s="7"/>
      <c r="F1077" s="7"/>
      <c r="G1077" s="7"/>
    </row>
    <row r="1078" spans="2:7" ht="15" x14ac:dyDescent="0.25">
      <c r="B1078" s="7"/>
      <c r="C1078" s="7"/>
      <c r="D1078" s="7"/>
      <c r="E1078" s="7"/>
      <c r="F1078" s="7"/>
      <c r="G1078" s="7"/>
    </row>
    <row r="1079" spans="2:7" ht="15" x14ac:dyDescent="0.25">
      <c r="B1079" s="7"/>
      <c r="C1079" s="7"/>
      <c r="D1079" s="7"/>
      <c r="E1079" s="7"/>
      <c r="F1079" s="7"/>
      <c r="G1079" s="7"/>
    </row>
    <row r="1080" spans="2:7" ht="15" x14ac:dyDescent="0.25">
      <c r="B1080" s="7"/>
      <c r="C1080" s="7"/>
      <c r="D1080" s="7"/>
      <c r="E1080" s="7"/>
      <c r="F1080" s="7"/>
      <c r="G1080" s="7"/>
    </row>
    <row r="1081" spans="2:7" ht="15" x14ac:dyDescent="0.25">
      <c r="B1081" s="7"/>
      <c r="C1081" s="7"/>
      <c r="D1081" s="7"/>
      <c r="E1081" s="7"/>
      <c r="F1081" s="7"/>
      <c r="G1081" s="7"/>
    </row>
    <row r="1082" spans="2:7" ht="15" x14ac:dyDescent="0.25">
      <c r="B1082" s="7"/>
      <c r="C1082" s="7"/>
      <c r="D1082" s="7"/>
      <c r="E1082" s="7"/>
      <c r="F1082" s="7"/>
      <c r="G1082" s="7"/>
    </row>
    <row r="1083" spans="2:7" ht="15" x14ac:dyDescent="0.25">
      <c r="B1083" s="7"/>
      <c r="C1083" s="7"/>
      <c r="D1083" s="7"/>
      <c r="E1083" s="7"/>
      <c r="F1083" s="7"/>
      <c r="G1083" s="7"/>
    </row>
    <row r="1084" spans="2:7" ht="15" x14ac:dyDescent="0.25">
      <c r="B1084" s="7"/>
      <c r="C1084" s="7"/>
      <c r="D1084" s="7"/>
      <c r="E1084" s="7"/>
      <c r="F1084" s="7"/>
      <c r="G1084" s="7"/>
    </row>
    <row r="1085" spans="2:7" ht="15" x14ac:dyDescent="0.25">
      <c r="B1085" s="7"/>
      <c r="C1085" s="7"/>
      <c r="D1085" s="7"/>
      <c r="E1085" s="7"/>
      <c r="F1085" s="7"/>
      <c r="G1085" s="7"/>
    </row>
    <row r="1086" spans="2:7" ht="15" x14ac:dyDescent="0.25">
      <c r="B1086" s="7"/>
      <c r="C1086" s="7"/>
      <c r="D1086" s="7"/>
      <c r="E1086" s="7"/>
      <c r="F1086" s="7"/>
      <c r="G1086" s="7"/>
    </row>
    <row r="1087" spans="2:7" ht="15" x14ac:dyDescent="0.25">
      <c r="B1087" s="7"/>
      <c r="C1087" s="7"/>
      <c r="D1087" s="7"/>
      <c r="E1087" s="7"/>
      <c r="F1087" s="7"/>
      <c r="G1087" s="7"/>
    </row>
    <row r="1088" spans="2:7" ht="15" x14ac:dyDescent="0.25">
      <c r="B1088" s="7"/>
      <c r="C1088" s="7"/>
      <c r="D1088" s="7"/>
      <c r="E1088" s="7"/>
      <c r="F1088" s="7"/>
      <c r="G1088" s="7"/>
    </row>
    <row r="1089" spans="2:7" ht="15" x14ac:dyDescent="0.25">
      <c r="B1089" s="7"/>
      <c r="C1089" s="7"/>
      <c r="D1089" s="7"/>
      <c r="E1089" s="7"/>
      <c r="F1089" s="7"/>
      <c r="G1089" s="7"/>
    </row>
    <row r="1090" spans="2:7" ht="15" x14ac:dyDescent="0.25">
      <c r="B1090" s="7"/>
      <c r="C1090" s="7"/>
      <c r="D1090" s="7"/>
      <c r="E1090" s="7"/>
      <c r="F1090" s="7"/>
      <c r="G1090" s="7"/>
    </row>
    <row r="1091" spans="2:7" ht="15" x14ac:dyDescent="0.25">
      <c r="B1091" s="7"/>
      <c r="C1091" s="7"/>
      <c r="D1091" s="7"/>
      <c r="E1091" s="7"/>
      <c r="F1091" s="7"/>
      <c r="G1091" s="7"/>
    </row>
    <row r="1092" spans="2:7" ht="15" x14ac:dyDescent="0.25">
      <c r="B1092" s="7"/>
      <c r="C1092" s="7"/>
      <c r="D1092" s="7"/>
      <c r="E1092" s="7"/>
      <c r="F1092" s="7"/>
      <c r="G1092" s="7"/>
    </row>
    <row r="1093" spans="2:7" ht="15" x14ac:dyDescent="0.25">
      <c r="B1093" s="7"/>
      <c r="C1093" s="7"/>
      <c r="D1093" s="7"/>
      <c r="E1093" s="7"/>
      <c r="F1093" s="7"/>
      <c r="G1093" s="7"/>
    </row>
    <row r="1094" spans="2:7" ht="15" x14ac:dyDescent="0.25">
      <c r="B1094" s="7"/>
      <c r="C1094" s="7"/>
      <c r="D1094" s="7"/>
      <c r="E1094" s="7"/>
      <c r="F1094" s="7"/>
      <c r="G1094" s="7"/>
    </row>
    <row r="1095" spans="2:7" ht="15" x14ac:dyDescent="0.25">
      <c r="B1095" s="7"/>
      <c r="C1095" s="7"/>
      <c r="D1095" s="7"/>
      <c r="E1095" s="7"/>
      <c r="F1095" s="7"/>
      <c r="G1095" s="7"/>
    </row>
    <row r="1096" spans="2:7" ht="15" x14ac:dyDescent="0.25">
      <c r="B1096" s="7"/>
      <c r="C1096" s="7"/>
      <c r="D1096" s="7"/>
      <c r="E1096" s="7"/>
      <c r="F1096" s="7"/>
      <c r="G1096" s="7"/>
    </row>
    <row r="1097" spans="2:7" ht="15" x14ac:dyDescent="0.25">
      <c r="B1097" s="7"/>
      <c r="C1097" s="7"/>
      <c r="D1097" s="7"/>
      <c r="E1097" s="7"/>
      <c r="F1097" s="7"/>
      <c r="G1097" s="7"/>
    </row>
    <row r="1098" spans="2:7" ht="15" x14ac:dyDescent="0.25">
      <c r="B1098" s="7"/>
      <c r="C1098" s="7"/>
      <c r="D1098" s="7"/>
      <c r="E1098" s="7"/>
      <c r="F1098" s="7"/>
      <c r="G1098" s="7"/>
    </row>
    <row r="1099" spans="2:7" ht="15" x14ac:dyDescent="0.25">
      <c r="B1099" s="7"/>
      <c r="C1099" s="7"/>
      <c r="D1099" s="7"/>
      <c r="E1099" s="7"/>
      <c r="F1099" s="7"/>
      <c r="G1099" s="7"/>
    </row>
    <row r="1100" spans="2:7" ht="15" x14ac:dyDescent="0.25">
      <c r="B1100" s="7"/>
      <c r="C1100" s="7"/>
      <c r="D1100" s="7"/>
      <c r="E1100" s="7"/>
      <c r="F1100" s="7"/>
      <c r="G1100" s="7"/>
    </row>
    <row r="1101" spans="2:7" ht="15" x14ac:dyDescent="0.25">
      <c r="B1101" s="7"/>
      <c r="C1101" s="7"/>
      <c r="D1101" s="7"/>
      <c r="E1101" s="7"/>
      <c r="F1101" s="7"/>
      <c r="G1101" s="7"/>
    </row>
    <row r="1102" spans="2:7" ht="15" x14ac:dyDescent="0.25">
      <c r="B1102" s="7"/>
      <c r="C1102" s="7"/>
      <c r="D1102" s="7"/>
      <c r="E1102" s="7"/>
      <c r="F1102" s="7"/>
      <c r="G1102" s="7"/>
    </row>
    <row r="1103" spans="2:7" ht="15" x14ac:dyDescent="0.25">
      <c r="B1103" s="7"/>
      <c r="C1103" s="7"/>
      <c r="D1103" s="7"/>
      <c r="E1103" s="7"/>
      <c r="F1103" s="7"/>
      <c r="G1103" s="7"/>
    </row>
    <row r="1104" spans="2:7" ht="15" x14ac:dyDescent="0.25">
      <c r="B1104" s="7"/>
      <c r="C1104" s="7"/>
      <c r="D1104" s="7"/>
      <c r="E1104" s="7"/>
      <c r="F1104" s="7"/>
      <c r="G1104" s="7"/>
    </row>
    <row r="1105" spans="2:7" ht="15" x14ac:dyDescent="0.25">
      <c r="B1105" s="7"/>
      <c r="C1105" s="7"/>
      <c r="D1105" s="7"/>
      <c r="E1105" s="7"/>
      <c r="F1105" s="7"/>
      <c r="G1105" s="7"/>
    </row>
    <row r="1106" spans="2:7" ht="15" x14ac:dyDescent="0.25">
      <c r="B1106" s="7"/>
      <c r="C1106" s="7"/>
      <c r="D1106" s="7"/>
      <c r="E1106" s="7"/>
      <c r="F1106" s="7"/>
      <c r="G1106" s="7"/>
    </row>
    <row r="1107" spans="2:7" ht="15" x14ac:dyDescent="0.25">
      <c r="B1107" s="7"/>
      <c r="C1107" s="7"/>
      <c r="D1107" s="7"/>
      <c r="E1107" s="7"/>
      <c r="F1107" s="7"/>
      <c r="G1107" s="7"/>
    </row>
    <row r="1108" spans="2:7" ht="15" x14ac:dyDescent="0.25">
      <c r="B1108" s="7"/>
      <c r="C1108" s="7"/>
      <c r="D1108" s="7"/>
      <c r="E1108" s="7"/>
      <c r="F1108" s="7"/>
      <c r="G1108" s="7"/>
    </row>
    <row r="1109" spans="2:7" ht="15" x14ac:dyDescent="0.25">
      <c r="B1109" s="7"/>
      <c r="C1109" s="7"/>
      <c r="D1109" s="7"/>
      <c r="E1109" s="7"/>
      <c r="F1109" s="7"/>
      <c r="G1109" s="7"/>
    </row>
    <row r="1110" spans="2:7" ht="15" x14ac:dyDescent="0.25">
      <c r="B1110" s="7"/>
      <c r="C1110" s="7"/>
      <c r="D1110" s="7"/>
      <c r="E1110" s="7"/>
      <c r="F1110" s="7"/>
      <c r="G1110" s="7"/>
    </row>
    <row r="1111" spans="2:7" ht="15" x14ac:dyDescent="0.25">
      <c r="B1111" s="7"/>
      <c r="C1111" s="7"/>
      <c r="D1111" s="7"/>
      <c r="E1111" s="7"/>
      <c r="F1111" s="7"/>
      <c r="G1111" s="7"/>
    </row>
    <row r="1112" spans="2:7" ht="15" x14ac:dyDescent="0.25">
      <c r="B1112" s="7"/>
      <c r="C1112" s="7"/>
      <c r="D1112" s="7"/>
      <c r="E1112" s="7"/>
      <c r="F1112" s="7"/>
      <c r="G1112" s="7"/>
    </row>
    <row r="1113" spans="2:7" ht="15" x14ac:dyDescent="0.25">
      <c r="B1113" s="7"/>
      <c r="C1113" s="7"/>
      <c r="D1113" s="7"/>
      <c r="E1113" s="7"/>
      <c r="F1113" s="7"/>
      <c r="G1113" s="7"/>
    </row>
    <row r="1114" spans="2:7" ht="15" x14ac:dyDescent="0.25">
      <c r="B1114" s="7"/>
      <c r="C1114" s="7"/>
      <c r="D1114" s="7"/>
      <c r="E1114" s="7"/>
      <c r="F1114" s="7"/>
      <c r="G1114" s="7"/>
    </row>
    <row r="1115" spans="2:7" ht="15" x14ac:dyDescent="0.25">
      <c r="B1115" s="7"/>
      <c r="C1115" s="7"/>
      <c r="D1115" s="7"/>
      <c r="E1115" s="7"/>
      <c r="F1115" s="7"/>
      <c r="G1115" s="7"/>
    </row>
    <row r="1116" spans="2:7" ht="15" x14ac:dyDescent="0.25">
      <c r="B1116" s="7"/>
      <c r="C1116" s="7"/>
      <c r="D1116" s="7"/>
      <c r="E1116" s="7"/>
      <c r="F1116" s="7"/>
      <c r="G1116" s="7"/>
    </row>
    <row r="1117" spans="2:7" ht="15" x14ac:dyDescent="0.25">
      <c r="B1117" s="7"/>
      <c r="C1117" s="7"/>
      <c r="D1117" s="7"/>
      <c r="E1117" s="7"/>
      <c r="F1117" s="7"/>
      <c r="G1117" s="7"/>
    </row>
    <row r="1118" spans="2:7" ht="15" x14ac:dyDescent="0.25">
      <c r="B1118" s="7"/>
      <c r="C1118" s="7"/>
      <c r="D1118" s="7"/>
      <c r="E1118" s="7"/>
      <c r="F1118" s="7"/>
      <c r="G1118" s="7"/>
    </row>
    <row r="1119" spans="2:7" ht="15" x14ac:dyDescent="0.25">
      <c r="B1119" s="7"/>
      <c r="C1119" s="7"/>
      <c r="D1119" s="7"/>
      <c r="E1119" s="7"/>
      <c r="F1119" s="7"/>
      <c r="G1119" s="7"/>
    </row>
    <row r="1120" spans="2:7" ht="15" x14ac:dyDescent="0.25">
      <c r="B1120" s="7"/>
      <c r="C1120" s="7"/>
      <c r="D1120" s="7"/>
      <c r="E1120" s="7"/>
      <c r="F1120" s="7"/>
      <c r="G1120" s="7"/>
    </row>
    <row r="1121" spans="2:7" ht="15" x14ac:dyDescent="0.25">
      <c r="B1121" s="7"/>
      <c r="C1121" s="7"/>
      <c r="D1121" s="7"/>
      <c r="E1121" s="7"/>
      <c r="F1121" s="7"/>
      <c r="G1121" s="7"/>
    </row>
    <row r="1122" spans="2:7" ht="15" x14ac:dyDescent="0.25">
      <c r="B1122" s="7"/>
      <c r="C1122" s="7"/>
      <c r="D1122" s="7"/>
      <c r="E1122" s="7"/>
      <c r="F1122" s="7"/>
      <c r="G1122" s="7"/>
    </row>
    <row r="1123" spans="2:7" ht="15" x14ac:dyDescent="0.25">
      <c r="B1123" s="7"/>
      <c r="C1123" s="7"/>
      <c r="D1123" s="7"/>
      <c r="E1123" s="7"/>
      <c r="F1123" s="7"/>
      <c r="G1123" s="7"/>
    </row>
    <row r="1124" spans="2:7" ht="15" x14ac:dyDescent="0.25">
      <c r="B1124" s="7"/>
      <c r="C1124" s="7"/>
      <c r="D1124" s="7"/>
      <c r="E1124" s="7"/>
      <c r="F1124" s="7"/>
      <c r="G1124" s="7"/>
    </row>
    <row r="1125" spans="2:7" ht="15" x14ac:dyDescent="0.25">
      <c r="B1125" s="7"/>
      <c r="C1125" s="7"/>
      <c r="D1125" s="7"/>
      <c r="E1125" s="7"/>
      <c r="F1125" s="7"/>
      <c r="G1125" s="7"/>
    </row>
    <row r="1126" spans="2:7" ht="15" x14ac:dyDescent="0.25">
      <c r="B1126" s="7"/>
      <c r="C1126" s="7"/>
      <c r="D1126" s="7"/>
      <c r="E1126" s="7"/>
      <c r="F1126" s="7"/>
      <c r="G1126" s="7"/>
    </row>
    <row r="1127" spans="2:7" ht="15" x14ac:dyDescent="0.25">
      <c r="B1127" s="7"/>
      <c r="C1127" s="7"/>
      <c r="D1127" s="7"/>
      <c r="E1127" s="7"/>
      <c r="F1127" s="7"/>
      <c r="G1127" s="7"/>
    </row>
    <row r="1128" spans="2:7" ht="15" x14ac:dyDescent="0.25">
      <c r="B1128" s="7"/>
      <c r="C1128" s="7"/>
      <c r="D1128" s="7"/>
      <c r="E1128" s="7"/>
      <c r="F1128" s="7"/>
      <c r="G1128" s="7"/>
    </row>
    <row r="1129" spans="2:7" ht="15" x14ac:dyDescent="0.25">
      <c r="B1129" s="7"/>
      <c r="C1129" s="7"/>
      <c r="D1129" s="7"/>
      <c r="E1129" s="7"/>
      <c r="F1129" s="7"/>
      <c r="G1129" s="7"/>
    </row>
    <row r="1130" spans="2:7" ht="15" x14ac:dyDescent="0.25">
      <c r="B1130" s="7"/>
      <c r="C1130" s="7"/>
      <c r="D1130" s="7"/>
      <c r="E1130" s="7"/>
      <c r="F1130" s="7"/>
      <c r="G1130" s="7"/>
    </row>
    <row r="1131" spans="2:7" ht="15" x14ac:dyDescent="0.25">
      <c r="B1131" s="7"/>
      <c r="C1131" s="7"/>
      <c r="D1131" s="7"/>
      <c r="E1131" s="7"/>
      <c r="F1131" s="7"/>
      <c r="G1131" s="7"/>
    </row>
    <row r="1132" spans="2:7" ht="15" x14ac:dyDescent="0.25">
      <c r="B1132" s="7"/>
      <c r="C1132" s="7"/>
      <c r="D1132" s="7"/>
      <c r="E1132" s="7"/>
      <c r="F1132" s="7"/>
      <c r="G1132" s="7"/>
    </row>
    <row r="1133" spans="2:7" ht="15" x14ac:dyDescent="0.25">
      <c r="B1133" s="7"/>
      <c r="C1133" s="7"/>
      <c r="D1133" s="7"/>
      <c r="E1133" s="7"/>
      <c r="F1133" s="7"/>
      <c r="G1133" s="7"/>
    </row>
    <row r="1134" spans="2:7" ht="15" x14ac:dyDescent="0.25">
      <c r="B1134" s="7"/>
      <c r="C1134" s="7"/>
      <c r="D1134" s="7"/>
      <c r="E1134" s="7"/>
      <c r="F1134" s="7"/>
      <c r="G1134" s="7"/>
    </row>
    <row r="1135" spans="2:7" ht="15" x14ac:dyDescent="0.25">
      <c r="B1135" s="7"/>
      <c r="C1135" s="7"/>
      <c r="D1135" s="7"/>
      <c r="E1135" s="7"/>
      <c r="F1135" s="7"/>
      <c r="G1135" s="7"/>
    </row>
    <row r="1136" spans="2:7" ht="15" x14ac:dyDescent="0.25">
      <c r="B1136" s="7"/>
      <c r="C1136" s="7"/>
      <c r="D1136" s="7"/>
      <c r="E1136" s="7"/>
      <c r="F1136" s="7"/>
      <c r="G1136" s="7"/>
    </row>
    <row r="1137" spans="2:7" ht="15" x14ac:dyDescent="0.25">
      <c r="B1137" s="7"/>
      <c r="C1137" s="7"/>
      <c r="D1137" s="7"/>
      <c r="E1137" s="7"/>
      <c r="F1137" s="7"/>
      <c r="G1137" s="7"/>
    </row>
    <row r="1138" spans="2:7" ht="15" x14ac:dyDescent="0.25">
      <c r="B1138" s="7"/>
      <c r="C1138" s="7"/>
      <c r="D1138" s="7"/>
      <c r="E1138" s="7"/>
      <c r="F1138" s="7"/>
      <c r="G1138" s="7"/>
    </row>
    <row r="1139" spans="2:7" ht="15" x14ac:dyDescent="0.25">
      <c r="B1139" s="7"/>
      <c r="C1139" s="7"/>
      <c r="D1139" s="7"/>
      <c r="E1139" s="7"/>
      <c r="F1139" s="7"/>
      <c r="G1139" s="7"/>
    </row>
    <row r="1140" spans="2:7" ht="15" x14ac:dyDescent="0.25">
      <c r="B1140" s="7"/>
      <c r="C1140" s="7"/>
      <c r="D1140" s="7"/>
      <c r="E1140" s="7"/>
      <c r="F1140" s="7"/>
      <c r="G1140" s="7"/>
    </row>
    <row r="1141" spans="2:7" ht="15" x14ac:dyDescent="0.25">
      <c r="B1141" s="7"/>
      <c r="C1141" s="7"/>
      <c r="D1141" s="7"/>
      <c r="E1141" s="7"/>
      <c r="F1141" s="7"/>
      <c r="G1141" s="7"/>
    </row>
    <row r="1142" spans="2:7" ht="15" x14ac:dyDescent="0.25">
      <c r="B1142" s="7"/>
      <c r="C1142" s="7"/>
      <c r="D1142" s="7"/>
      <c r="E1142" s="7"/>
      <c r="F1142" s="7"/>
      <c r="G1142" s="7"/>
    </row>
    <row r="1143" spans="2:7" ht="15" x14ac:dyDescent="0.25">
      <c r="B1143" s="7"/>
      <c r="C1143" s="7"/>
      <c r="D1143" s="7"/>
      <c r="E1143" s="7"/>
      <c r="F1143" s="7"/>
      <c r="G1143" s="7"/>
    </row>
    <row r="1144" spans="2:7" ht="15" x14ac:dyDescent="0.25">
      <c r="B1144" s="7"/>
      <c r="C1144" s="7"/>
      <c r="D1144" s="7"/>
      <c r="E1144" s="7"/>
      <c r="F1144" s="7"/>
      <c r="G1144" s="7"/>
    </row>
    <row r="1145" spans="2:7" ht="15" x14ac:dyDescent="0.25">
      <c r="B1145" s="7"/>
      <c r="C1145" s="7"/>
      <c r="D1145" s="7"/>
      <c r="E1145" s="7"/>
      <c r="F1145" s="7"/>
      <c r="G1145" s="7"/>
    </row>
    <row r="1146" spans="2:7" ht="15" x14ac:dyDescent="0.25">
      <c r="B1146" s="7"/>
      <c r="C1146" s="7"/>
      <c r="D1146" s="7"/>
      <c r="E1146" s="7"/>
      <c r="F1146" s="7"/>
      <c r="G1146" s="7"/>
    </row>
    <row r="1147" spans="2:7" ht="15" x14ac:dyDescent="0.25">
      <c r="B1147" s="7"/>
      <c r="C1147" s="7"/>
      <c r="D1147" s="7"/>
      <c r="E1147" s="7"/>
      <c r="F1147" s="7"/>
      <c r="G1147" s="7"/>
    </row>
    <row r="1148" spans="2:7" ht="15" x14ac:dyDescent="0.25">
      <c r="B1148" s="7"/>
      <c r="C1148" s="7"/>
      <c r="D1148" s="7"/>
      <c r="E1148" s="7"/>
      <c r="F1148" s="7"/>
      <c r="G1148" s="7"/>
    </row>
    <row r="1149" spans="2:7" ht="15" x14ac:dyDescent="0.25">
      <c r="B1149" s="7"/>
      <c r="C1149" s="7"/>
      <c r="D1149" s="7"/>
      <c r="E1149" s="7"/>
      <c r="F1149" s="7"/>
      <c r="G1149" s="7"/>
    </row>
    <row r="1150" spans="2:7" ht="15" x14ac:dyDescent="0.25">
      <c r="B1150" s="7"/>
      <c r="C1150" s="7"/>
      <c r="D1150" s="7"/>
      <c r="E1150" s="7"/>
      <c r="F1150" s="7"/>
      <c r="G1150" s="7"/>
    </row>
    <row r="1151" spans="2:7" ht="15" x14ac:dyDescent="0.25">
      <c r="B1151" s="7"/>
      <c r="C1151" s="7"/>
      <c r="D1151" s="7"/>
      <c r="E1151" s="7"/>
      <c r="F1151" s="7"/>
      <c r="G1151" s="7"/>
    </row>
    <row r="1152" spans="2:7" ht="15" x14ac:dyDescent="0.25">
      <c r="B1152" s="7"/>
      <c r="C1152" s="7"/>
      <c r="D1152" s="7"/>
      <c r="E1152" s="7"/>
      <c r="F1152" s="7"/>
      <c r="G1152" s="7"/>
    </row>
    <row r="1153" spans="2:7" ht="15" x14ac:dyDescent="0.25">
      <c r="B1153" s="7"/>
      <c r="C1153" s="7"/>
      <c r="D1153" s="7"/>
      <c r="E1153" s="7"/>
      <c r="F1153" s="7"/>
      <c r="G1153" s="7"/>
    </row>
    <row r="1154" spans="2:7" ht="15" x14ac:dyDescent="0.25">
      <c r="B1154" s="7"/>
      <c r="C1154" s="7"/>
      <c r="D1154" s="7"/>
      <c r="E1154" s="7"/>
      <c r="F1154" s="7"/>
      <c r="G1154" s="7"/>
    </row>
    <row r="1155" spans="2:7" ht="15" x14ac:dyDescent="0.25">
      <c r="B1155" s="7"/>
      <c r="C1155" s="7"/>
      <c r="D1155" s="7"/>
      <c r="E1155" s="7"/>
      <c r="F1155" s="7"/>
      <c r="G1155" s="7"/>
    </row>
    <row r="1156" spans="2:7" ht="15" x14ac:dyDescent="0.25">
      <c r="B1156" s="7"/>
      <c r="C1156" s="7"/>
      <c r="D1156" s="7"/>
      <c r="E1156" s="7"/>
      <c r="F1156" s="7"/>
      <c r="G1156" s="7"/>
    </row>
    <row r="1157" spans="2:7" ht="15" x14ac:dyDescent="0.25">
      <c r="B1157" s="7"/>
      <c r="C1157" s="7"/>
      <c r="D1157" s="7"/>
      <c r="E1157" s="7"/>
      <c r="F1157" s="7"/>
      <c r="G1157" s="7"/>
    </row>
    <row r="1158" spans="2:7" ht="15" x14ac:dyDescent="0.25">
      <c r="B1158" s="7"/>
      <c r="C1158" s="7"/>
      <c r="D1158" s="7"/>
      <c r="E1158" s="7"/>
      <c r="F1158" s="7"/>
      <c r="G1158" s="7"/>
    </row>
    <row r="1159" spans="2:7" ht="15" x14ac:dyDescent="0.25">
      <c r="B1159" s="7"/>
      <c r="C1159" s="7"/>
      <c r="D1159" s="7"/>
      <c r="E1159" s="7"/>
      <c r="F1159" s="7"/>
      <c r="G1159" s="7"/>
    </row>
    <row r="1160" spans="2:7" ht="15" x14ac:dyDescent="0.25">
      <c r="B1160" s="7"/>
      <c r="C1160" s="7"/>
      <c r="D1160" s="7"/>
      <c r="E1160" s="7"/>
      <c r="F1160" s="7"/>
      <c r="G1160" s="7"/>
    </row>
    <row r="1161" spans="2:7" ht="15" x14ac:dyDescent="0.25">
      <c r="B1161" s="7"/>
      <c r="C1161" s="7"/>
      <c r="D1161" s="7"/>
      <c r="E1161" s="7"/>
      <c r="F1161" s="7"/>
      <c r="G1161" s="7"/>
    </row>
    <row r="1162" spans="2:7" ht="15" x14ac:dyDescent="0.25">
      <c r="B1162" s="7"/>
      <c r="C1162" s="7"/>
      <c r="D1162" s="7"/>
      <c r="E1162" s="7"/>
      <c r="F1162" s="7"/>
      <c r="G1162" s="7"/>
    </row>
    <row r="1163" spans="2:7" ht="15" x14ac:dyDescent="0.25">
      <c r="B1163" s="7"/>
      <c r="C1163" s="7"/>
      <c r="D1163" s="7"/>
      <c r="E1163" s="7"/>
      <c r="F1163" s="7"/>
      <c r="G1163" s="7"/>
    </row>
    <row r="1164" spans="2:7" ht="15" x14ac:dyDescent="0.25">
      <c r="B1164" s="7"/>
      <c r="C1164" s="7"/>
      <c r="D1164" s="7"/>
      <c r="E1164" s="7"/>
      <c r="F1164" s="7"/>
      <c r="G1164" s="7"/>
    </row>
    <row r="1165" spans="2:7" ht="15" x14ac:dyDescent="0.25">
      <c r="B1165" s="7"/>
      <c r="C1165" s="7"/>
      <c r="D1165" s="7"/>
      <c r="E1165" s="7"/>
      <c r="F1165" s="7"/>
      <c r="G1165" s="7"/>
    </row>
    <row r="1166" spans="2:7" ht="15" x14ac:dyDescent="0.25">
      <c r="B1166" s="7"/>
      <c r="C1166" s="7"/>
      <c r="D1166" s="7"/>
      <c r="E1166" s="7"/>
      <c r="F1166" s="7"/>
      <c r="G1166" s="7"/>
    </row>
    <row r="1167" spans="2:7" ht="15" x14ac:dyDescent="0.25">
      <c r="B1167" s="7"/>
      <c r="C1167" s="7"/>
      <c r="D1167" s="7"/>
      <c r="E1167" s="7"/>
      <c r="F1167" s="7"/>
      <c r="G1167" s="7"/>
    </row>
    <row r="1168" spans="2:7" ht="15" x14ac:dyDescent="0.25">
      <c r="B1168" s="7"/>
      <c r="C1168" s="7"/>
      <c r="D1168" s="7"/>
      <c r="E1168" s="7"/>
      <c r="F1168" s="7"/>
      <c r="G1168" s="7"/>
    </row>
    <row r="1169" spans="2:7" ht="15" x14ac:dyDescent="0.25">
      <c r="B1169" s="7"/>
      <c r="C1169" s="7"/>
      <c r="D1169" s="7"/>
      <c r="E1169" s="7"/>
      <c r="F1169" s="7"/>
      <c r="G1169" s="7"/>
    </row>
    <row r="1170" spans="2:7" ht="15" x14ac:dyDescent="0.25">
      <c r="B1170" s="7"/>
      <c r="C1170" s="7"/>
      <c r="D1170" s="7"/>
      <c r="E1170" s="7"/>
      <c r="F1170" s="7"/>
      <c r="G1170" s="7"/>
    </row>
    <row r="1171" spans="2:7" ht="15" x14ac:dyDescent="0.25">
      <c r="B1171" s="7"/>
      <c r="C1171" s="7"/>
      <c r="D1171" s="7"/>
      <c r="E1171" s="7"/>
      <c r="F1171" s="7"/>
      <c r="G1171" s="7"/>
    </row>
    <row r="1172" spans="2:7" ht="15" x14ac:dyDescent="0.25">
      <c r="B1172" s="7"/>
      <c r="C1172" s="7"/>
      <c r="D1172" s="7"/>
      <c r="E1172" s="7"/>
      <c r="F1172" s="7"/>
      <c r="G1172" s="7"/>
    </row>
    <row r="1173" spans="2:7" ht="15" x14ac:dyDescent="0.25">
      <c r="B1173" s="7"/>
      <c r="C1173" s="7"/>
      <c r="D1173" s="7"/>
      <c r="E1173" s="7"/>
      <c r="F1173" s="7"/>
      <c r="G1173" s="7"/>
    </row>
    <row r="1174" spans="2:7" ht="15" x14ac:dyDescent="0.25">
      <c r="B1174" s="7"/>
      <c r="C1174" s="7"/>
      <c r="D1174" s="7"/>
      <c r="E1174" s="7"/>
      <c r="F1174" s="7"/>
      <c r="G1174" s="7"/>
    </row>
    <row r="1175" spans="2:7" ht="15" x14ac:dyDescent="0.25">
      <c r="B1175" s="7"/>
      <c r="C1175" s="7"/>
      <c r="D1175" s="7"/>
      <c r="E1175" s="7"/>
      <c r="F1175" s="7"/>
      <c r="G1175" s="7"/>
    </row>
    <row r="1176" spans="2:7" ht="15" x14ac:dyDescent="0.25">
      <c r="B1176" s="7"/>
      <c r="C1176" s="7"/>
      <c r="D1176" s="7"/>
      <c r="E1176" s="7"/>
      <c r="F1176" s="7"/>
      <c r="G1176" s="7"/>
    </row>
    <row r="1177" spans="2:7" ht="15" x14ac:dyDescent="0.25">
      <c r="B1177" s="7"/>
      <c r="C1177" s="7"/>
      <c r="D1177" s="7"/>
      <c r="E1177" s="7"/>
      <c r="F1177" s="7"/>
      <c r="G1177" s="7"/>
    </row>
    <row r="1178" spans="2:7" ht="15" x14ac:dyDescent="0.25">
      <c r="B1178" s="7"/>
      <c r="C1178" s="7"/>
      <c r="D1178" s="7"/>
      <c r="E1178" s="7"/>
      <c r="F1178" s="7"/>
      <c r="G1178" s="7"/>
    </row>
    <row r="1179" spans="2:7" ht="15" x14ac:dyDescent="0.25">
      <c r="B1179" s="7"/>
      <c r="C1179" s="7"/>
      <c r="D1179" s="7"/>
      <c r="E1179" s="7"/>
      <c r="F1179" s="7"/>
      <c r="G1179" s="7"/>
    </row>
    <row r="1180" spans="2:7" ht="15" x14ac:dyDescent="0.25">
      <c r="B1180" s="7"/>
      <c r="C1180" s="7"/>
      <c r="D1180" s="7"/>
      <c r="E1180" s="7"/>
      <c r="F1180" s="7"/>
      <c r="G1180" s="7"/>
    </row>
    <row r="1181" spans="2:7" ht="15" x14ac:dyDescent="0.25">
      <c r="B1181" s="7"/>
      <c r="C1181" s="7"/>
      <c r="D1181" s="7"/>
      <c r="E1181" s="7"/>
      <c r="F1181" s="7"/>
      <c r="G1181" s="7"/>
    </row>
    <row r="1182" spans="2:7" ht="15" x14ac:dyDescent="0.25">
      <c r="B1182" s="7"/>
      <c r="C1182" s="7"/>
      <c r="D1182" s="7"/>
      <c r="E1182" s="7"/>
      <c r="F1182" s="7"/>
      <c r="G1182" s="7"/>
    </row>
    <row r="1183" spans="2:7" ht="15" x14ac:dyDescent="0.25">
      <c r="B1183" s="7"/>
      <c r="C1183" s="7"/>
      <c r="D1183" s="7"/>
      <c r="E1183" s="7"/>
      <c r="F1183" s="7"/>
      <c r="G1183" s="7"/>
    </row>
    <row r="1184" spans="2:7" ht="15" x14ac:dyDescent="0.25">
      <c r="B1184" s="7"/>
      <c r="C1184" s="7"/>
      <c r="D1184" s="7"/>
      <c r="E1184" s="7"/>
      <c r="F1184" s="7"/>
      <c r="G1184" s="7"/>
    </row>
    <row r="1185" spans="2:7" ht="15" x14ac:dyDescent="0.25">
      <c r="B1185" s="7"/>
      <c r="C1185" s="7"/>
      <c r="D1185" s="7"/>
      <c r="E1185" s="7"/>
      <c r="F1185" s="7"/>
      <c r="G1185" s="7"/>
    </row>
    <row r="1186" spans="2:7" ht="15" x14ac:dyDescent="0.25">
      <c r="B1186" s="7"/>
      <c r="C1186" s="7"/>
      <c r="D1186" s="7"/>
      <c r="E1186" s="7"/>
      <c r="F1186" s="7"/>
      <c r="G1186" s="7"/>
    </row>
    <row r="1187" spans="2:7" ht="15" x14ac:dyDescent="0.25">
      <c r="B1187" s="7"/>
      <c r="C1187" s="7"/>
      <c r="D1187" s="7"/>
      <c r="E1187" s="7"/>
      <c r="F1187" s="7"/>
      <c r="G1187" s="7"/>
    </row>
    <row r="1188" spans="2:7" ht="15" x14ac:dyDescent="0.25">
      <c r="B1188" s="7"/>
      <c r="C1188" s="7"/>
      <c r="D1188" s="7"/>
      <c r="E1188" s="7"/>
      <c r="F1188" s="7"/>
      <c r="G1188" s="7"/>
    </row>
    <row r="1189" spans="2:7" ht="15" x14ac:dyDescent="0.25">
      <c r="B1189" s="7"/>
      <c r="C1189" s="7"/>
      <c r="D1189" s="7"/>
      <c r="E1189" s="7"/>
      <c r="F1189" s="7"/>
      <c r="G1189" s="7"/>
    </row>
    <row r="1190" spans="2:7" ht="15" x14ac:dyDescent="0.25">
      <c r="B1190" s="7"/>
      <c r="C1190" s="7"/>
      <c r="D1190" s="7"/>
      <c r="E1190" s="7"/>
      <c r="F1190" s="7"/>
      <c r="G1190" s="7"/>
    </row>
    <row r="1191" spans="2:7" ht="15" x14ac:dyDescent="0.25">
      <c r="B1191" s="7"/>
      <c r="C1191" s="7"/>
      <c r="D1191" s="7"/>
      <c r="E1191" s="7"/>
      <c r="F1191" s="7"/>
      <c r="G1191" s="7"/>
    </row>
    <row r="1192" spans="2:7" ht="15" x14ac:dyDescent="0.25">
      <c r="B1192" s="7"/>
      <c r="C1192" s="7"/>
      <c r="D1192" s="7"/>
      <c r="E1192" s="7"/>
      <c r="F1192" s="7"/>
      <c r="G1192" s="7"/>
    </row>
    <row r="1193" spans="2:7" ht="15" x14ac:dyDescent="0.25">
      <c r="B1193" s="7"/>
      <c r="C1193" s="7"/>
      <c r="D1193" s="7"/>
      <c r="E1193" s="7"/>
      <c r="F1193" s="7"/>
      <c r="G1193" s="7"/>
    </row>
    <row r="1194" spans="2:7" ht="15" x14ac:dyDescent="0.25">
      <c r="B1194" s="7"/>
      <c r="C1194" s="7"/>
      <c r="D1194" s="7"/>
      <c r="E1194" s="7"/>
      <c r="F1194" s="7"/>
      <c r="G1194" s="7"/>
    </row>
    <row r="1195" spans="2:7" ht="15" x14ac:dyDescent="0.25">
      <c r="B1195" s="7"/>
      <c r="C1195" s="7"/>
      <c r="D1195" s="7"/>
      <c r="E1195" s="7"/>
      <c r="F1195" s="7"/>
      <c r="G1195" s="7"/>
    </row>
    <row r="1196" spans="2:7" ht="15" x14ac:dyDescent="0.25">
      <c r="B1196" s="7"/>
      <c r="C1196" s="7"/>
      <c r="D1196" s="7"/>
      <c r="E1196" s="7"/>
      <c r="F1196" s="7"/>
      <c r="G1196" s="7"/>
    </row>
    <row r="1197" spans="2:7" ht="15" x14ac:dyDescent="0.25">
      <c r="B1197" s="7"/>
      <c r="C1197" s="7"/>
      <c r="D1197" s="7"/>
      <c r="E1197" s="7"/>
      <c r="F1197" s="7"/>
      <c r="G1197" s="7"/>
    </row>
    <row r="1198" spans="2:7" ht="15" x14ac:dyDescent="0.25">
      <c r="B1198" s="7"/>
      <c r="C1198" s="7"/>
      <c r="D1198" s="7"/>
      <c r="E1198" s="7"/>
      <c r="F1198" s="7"/>
      <c r="G1198" s="7"/>
    </row>
    <row r="1199" spans="2:7" ht="15" x14ac:dyDescent="0.25">
      <c r="B1199" s="7"/>
      <c r="C1199" s="7"/>
      <c r="D1199" s="7"/>
      <c r="E1199" s="7"/>
      <c r="F1199" s="7"/>
      <c r="G1199" s="7"/>
    </row>
    <row r="1200" spans="2:7" ht="15" x14ac:dyDescent="0.25">
      <c r="B1200" s="7"/>
      <c r="C1200" s="7"/>
      <c r="D1200" s="7"/>
      <c r="E1200" s="7"/>
      <c r="F1200" s="7"/>
      <c r="G1200" s="7"/>
    </row>
    <row r="1201" spans="2:7" ht="15" x14ac:dyDescent="0.25">
      <c r="B1201" s="7"/>
      <c r="C1201" s="7"/>
      <c r="D1201" s="7"/>
      <c r="E1201" s="7"/>
      <c r="F1201" s="7"/>
      <c r="G1201" s="7"/>
    </row>
    <row r="1202" spans="2:7" ht="15" x14ac:dyDescent="0.25">
      <c r="B1202" s="7"/>
      <c r="C1202" s="7"/>
      <c r="D1202" s="7"/>
      <c r="E1202" s="7"/>
      <c r="F1202" s="7"/>
      <c r="G1202" s="7"/>
    </row>
    <row r="1203" spans="2:7" ht="15" x14ac:dyDescent="0.25">
      <c r="B1203" s="7"/>
      <c r="C1203" s="7"/>
      <c r="D1203" s="7"/>
      <c r="E1203" s="7"/>
      <c r="F1203" s="7"/>
      <c r="G1203" s="7"/>
    </row>
    <row r="1204" spans="2:7" ht="15" x14ac:dyDescent="0.25">
      <c r="B1204" s="7"/>
      <c r="C1204" s="7"/>
      <c r="D1204" s="7"/>
      <c r="E1204" s="7"/>
      <c r="F1204" s="7"/>
      <c r="G1204" s="7"/>
    </row>
    <row r="1205" spans="2:7" ht="15" x14ac:dyDescent="0.25">
      <c r="B1205" s="7"/>
      <c r="C1205" s="7"/>
      <c r="D1205" s="7"/>
      <c r="E1205" s="7"/>
      <c r="F1205" s="7"/>
      <c r="G1205" s="7"/>
    </row>
    <row r="1206" spans="2:7" ht="15" x14ac:dyDescent="0.25">
      <c r="B1206" s="7"/>
      <c r="C1206" s="7"/>
      <c r="D1206" s="7"/>
      <c r="E1206" s="7"/>
      <c r="F1206" s="7"/>
      <c r="G1206" s="7"/>
    </row>
    <row r="1207" spans="2:7" ht="15" x14ac:dyDescent="0.25">
      <c r="B1207" s="7"/>
      <c r="C1207" s="7"/>
      <c r="D1207" s="7"/>
      <c r="E1207" s="7"/>
      <c r="F1207" s="7"/>
      <c r="G1207" s="7"/>
    </row>
    <row r="1208" spans="2:7" ht="15" x14ac:dyDescent="0.25">
      <c r="B1208" s="7"/>
      <c r="C1208" s="7"/>
      <c r="D1208" s="7"/>
      <c r="E1208" s="7"/>
      <c r="F1208" s="7"/>
      <c r="G1208" s="7"/>
    </row>
    <row r="1209" spans="2:7" ht="15" x14ac:dyDescent="0.25">
      <c r="B1209" s="7"/>
      <c r="C1209" s="7"/>
      <c r="D1209" s="7"/>
      <c r="E1209" s="7"/>
      <c r="F1209" s="7"/>
      <c r="G1209" s="7"/>
    </row>
    <row r="1210" spans="2:7" ht="15" x14ac:dyDescent="0.25">
      <c r="B1210" s="7"/>
      <c r="C1210" s="7"/>
      <c r="D1210" s="7"/>
      <c r="E1210" s="7"/>
      <c r="F1210" s="7"/>
      <c r="G1210" s="7"/>
    </row>
    <row r="1211" spans="2:7" ht="15" x14ac:dyDescent="0.25">
      <c r="B1211" s="7"/>
      <c r="C1211" s="7"/>
      <c r="D1211" s="7"/>
      <c r="E1211" s="7"/>
      <c r="F1211" s="7"/>
      <c r="G1211" s="7"/>
    </row>
    <row r="1212" spans="2:7" ht="15" x14ac:dyDescent="0.25">
      <c r="B1212" s="7"/>
      <c r="C1212" s="7"/>
      <c r="D1212" s="7"/>
      <c r="E1212" s="7"/>
      <c r="F1212" s="7"/>
      <c r="G1212" s="7"/>
    </row>
    <row r="1213" spans="2:7" ht="15" x14ac:dyDescent="0.25">
      <c r="B1213" s="7"/>
      <c r="C1213" s="7"/>
      <c r="D1213" s="7"/>
      <c r="E1213" s="7"/>
      <c r="F1213" s="7"/>
      <c r="G1213" s="7"/>
    </row>
    <row r="1214" spans="2:7" ht="15" x14ac:dyDescent="0.25">
      <c r="B1214" s="7"/>
      <c r="C1214" s="7"/>
      <c r="D1214" s="7"/>
      <c r="E1214" s="7"/>
      <c r="F1214" s="7"/>
      <c r="G1214" s="7"/>
    </row>
    <row r="1215" spans="2:7" ht="15" x14ac:dyDescent="0.25">
      <c r="B1215" s="7"/>
      <c r="C1215" s="7"/>
      <c r="D1215" s="7"/>
      <c r="E1215" s="7"/>
      <c r="F1215" s="7"/>
      <c r="G1215" s="7"/>
    </row>
    <row r="1216" spans="2:7" ht="15" x14ac:dyDescent="0.25">
      <c r="B1216" s="7"/>
      <c r="C1216" s="7"/>
      <c r="D1216" s="7"/>
      <c r="E1216" s="7"/>
      <c r="F1216" s="7"/>
      <c r="G1216" s="7"/>
    </row>
    <row r="1217" spans="2:7" ht="15" x14ac:dyDescent="0.25">
      <c r="B1217" s="7"/>
      <c r="C1217" s="7"/>
      <c r="D1217" s="7"/>
      <c r="E1217" s="7"/>
      <c r="F1217" s="7"/>
      <c r="G1217" s="7"/>
    </row>
    <row r="1218" spans="2:7" ht="15" x14ac:dyDescent="0.25">
      <c r="B1218" s="7"/>
      <c r="C1218" s="7"/>
      <c r="D1218" s="7"/>
      <c r="E1218" s="7"/>
      <c r="F1218" s="7"/>
      <c r="G1218" s="7"/>
    </row>
    <row r="1219" spans="2:7" ht="15" x14ac:dyDescent="0.25">
      <c r="B1219" s="7"/>
      <c r="C1219" s="7"/>
      <c r="D1219" s="7"/>
      <c r="E1219" s="7"/>
      <c r="F1219" s="7"/>
      <c r="G1219" s="7"/>
    </row>
    <row r="1220" spans="2:7" ht="15" x14ac:dyDescent="0.25">
      <c r="B1220" s="7"/>
      <c r="C1220" s="7"/>
      <c r="D1220" s="7"/>
      <c r="E1220" s="7"/>
      <c r="F1220" s="7"/>
      <c r="G1220" s="7"/>
    </row>
    <row r="1221" spans="2:7" ht="15" x14ac:dyDescent="0.25">
      <c r="B1221" s="7"/>
      <c r="C1221" s="7"/>
      <c r="D1221" s="7"/>
      <c r="E1221" s="7"/>
      <c r="F1221" s="7"/>
      <c r="G1221" s="7"/>
    </row>
    <row r="1222" spans="2:7" ht="15" x14ac:dyDescent="0.25">
      <c r="B1222" s="7"/>
      <c r="C1222" s="7"/>
      <c r="D1222" s="7"/>
      <c r="E1222" s="7"/>
      <c r="F1222" s="7"/>
      <c r="G1222" s="7"/>
    </row>
    <row r="1223" spans="2:7" ht="15" x14ac:dyDescent="0.25">
      <c r="B1223" s="7"/>
      <c r="C1223" s="7"/>
      <c r="D1223" s="7"/>
      <c r="E1223" s="7"/>
      <c r="F1223" s="7"/>
      <c r="G1223" s="7"/>
    </row>
    <row r="1224" spans="2:7" ht="15" x14ac:dyDescent="0.25">
      <c r="B1224" s="7"/>
      <c r="C1224" s="7"/>
      <c r="D1224" s="7"/>
      <c r="E1224" s="7"/>
      <c r="F1224" s="7"/>
      <c r="G1224" s="7"/>
    </row>
    <row r="1225" spans="2:7" ht="15" x14ac:dyDescent="0.25">
      <c r="B1225" s="7"/>
      <c r="C1225" s="7"/>
      <c r="D1225" s="7"/>
      <c r="E1225" s="7"/>
      <c r="F1225" s="7"/>
      <c r="G1225" s="7"/>
    </row>
    <row r="1226" spans="2:7" ht="15" x14ac:dyDescent="0.25">
      <c r="B1226" s="7"/>
      <c r="C1226" s="7"/>
      <c r="D1226" s="7"/>
      <c r="E1226" s="7"/>
      <c r="F1226" s="7"/>
      <c r="G1226" s="7"/>
    </row>
    <row r="1227" spans="2:7" ht="15" x14ac:dyDescent="0.25">
      <c r="B1227" s="7"/>
      <c r="C1227" s="7"/>
      <c r="D1227" s="7"/>
      <c r="E1227" s="7"/>
      <c r="F1227" s="7"/>
      <c r="G1227" s="7"/>
    </row>
    <row r="1228" spans="2:7" ht="15" x14ac:dyDescent="0.25">
      <c r="B1228" s="7"/>
      <c r="C1228" s="7"/>
      <c r="D1228" s="7"/>
      <c r="E1228" s="7"/>
      <c r="F1228" s="7"/>
      <c r="G1228" s="7"/>
    </row>
    <row r="1229" spans="2:7" ht="15" x14ac:dyDescent="0.25">
      <c r="B1229" s="7"/>
      <c r="C1229" s="7"/>
      <c r="D1229" s="7"/>
      <c r="E1229" s="7"/>
      <c r="F1229" s="7"/>
      <c r="G1229" s="7"/>
    </row>
    <row r="1230" spans="2:7" ht="15" x14ac:dyDescent="0.25">
      <c r="B1230" s="7"/>
      <c r="C1230" s="7"/>
      <c r="D1230" s="7"/>
      <c r="E1230" s="7"/>
      <c r="F1230" s="7"/>
      <c r="G1230" s="7"/>
    </row>
    <row r="1231" spans="2:7" ht="15" x14ac:dyDescent="0.25">
      <c r="B1231" s="7"/>
      <c r="C1231" s="7"/>
      <c r="D1231" s="7"/>
      <c r="E1231" s="7"/>
      <c r="F1231" s="7"/>
      <c r="G1231" s="7"/>
    </row>
    <row r="1232" spans="2:7" ht="15" x14ac:dyDescent="0.25">
      <c r="B1232" s="7"/>
      <c r="C1232" s="7"/>
      <c r="D1232" s="7"/>
      <c r="E1232" s="7"/>
      <c r="F1232" s="7"/>
      <c r="G1232" s="7"/>
    </row>
    <row r="1233" spans="2:7" ht="15" x14ac:dyDescent="0.25">
      <c r="B1233" s="7"/>
      <c r="C1233" s="7"/>
      <c r="D1233" s="7"/>
      <c r="E1233" s="7"/>
      <c r="F1233" s="7"/>
      <c r="G1233" s="7"/>
    </row>
    <row r="1234" spans="2:7" ht="15" x14ac:dyDescent="0.25">
      <c r="B1234" s="7"/>
      <c r="C1234" s="7"/>
      <c r="D1234" s="7"/>
      <c r="E1234" s="7"/>
      <c r="F1234" s="7"/>
      <c r="G1234" s="7"/>
    </row>
    <row r="1235" spans="2:7" ht="15" x14ac:dyDescent="0.25">
      <c r="B1235" s="7"/>
      <c r="C1235" s="7"/>
      <c r="D1235" s="7"/>
      <c r="E1235" s="7"/>
      <c r="F1235" s="7"/>
      <c r="G1235" s="7"/>
    </row>
    <row r="1236" spans="2:7" ht="15" x14ac:dyDescent="0.25">
      <c r="B1236" s="7"/>
      <c r="C1236" s="7"/>
      <c r="D1236" s="7"/>
      <c r="E1236" s="7"/>
      <c r="F1236" s="7"/>
      <c r="G1236" s="7"/>
    </row>
    <row r="1237" spans="2:7" ht="15" x14ac:dyDescent="0.25">
      <c r="B1237" s="7"/>
      <c r="C1237" s="7"/>
      <c r="D1237" s="7"/>
      <c r="E1237" s="7"/>
      <c r="F1237" s="7"/>
      <c r="G1237" s="7"/>
    </row>
    <row r="1238" spans="2:7" ht="15" x14ac:dyDescent="0.25">
      <c r="B1238" s="7"/>
      <c r="C1238" s="7"/>
      <c r="D1238" s="7"/>
      <c r="E1238" s="7"/>
      <c r="F1238" s="7"/>
      <c r="G1238" s="7"/>
    </row>
    <row r="1239" spans="2:7" ht="15" x14ac:dyDescent="0.25">
      <c r="B1239" s="7"/>
      <c r="C1239" s="7"/>
      <c r="D1239" s="7"/>
      <c r="E1239" s="7"/>
      <c r="F1239" s="7"/>
      <c r="G1239" s="7"/>
    </row>
    <row r="1240" spans="2:7" ht="15" x14ac:dyDescent="0.25">
      <c r="B1240" s="7"/>
      <c r="C1240" s="7"/>
      <c r="D1240" s="7"/>
      <c r="E1240" s="7"/>
      <c r="F1240" s="7"/>
      <c r="G1240" s="7"/>
    </row>
    <row r="1241" spans="2:7" ht="15" x14ac:dyDescent="0.25">
      <c r="B1241" s="7"/>
      <c r="C1241" s="7"/>
      <c r="D1241" s="7"/>
      <c r="E1241" s="7"/>
      <c r="F1241" s="7"/>
      <c r="G1241" s="7"/>
    </row>
    <row r="1242" spans="2:7" ht="15" x14ac:dyDescent="0.25">
      <c r="B1242" s="7"/>
      <c r="C1242" s="7"/>
      <c r="D1242" s="7"/>
      <c r="E1242" s="7"/>
      <c r="F1242" s="7"/>
      <c r="G1242" s="7"/>
    </row>
    <row r="1243" spans="2:7" ht="15" x14ac:dyDescent="0.25">
      <c r="B1243" s="7"/>
      <c r="C1243" s="7"/>
      <c r="D1243" s="7"/>
      <c r="E1243" s="7"/>
      <c r="F1243" s="7"/>
      <c r="G1243" s="7"/>
    </row>
    <row r="1244" spans="2:7" ht="15" x14ac:dyDescent="0.25">
      <c r="B1244" s="7"/>
      <c r="C1244" s="7"/>
      <c r="D1244" s="7"/>
      <c r="E1244" s="7"/>
      <c r="F1244" s="7"/>
      <c r="G1244" s="7"/>
    </row>
    <row r="1245" spans="2:7" ht="15" x14ac:dyDescent="0.25">
      <c r="B1245" s="7"/>
      <c r="C1245" s="7"/>
      <c r="D1245" s="7"/>
      <c r="E1245" s="7"/>
      <c r="F1245" s="7"/>
      <c r="G1245" s="7"/>
    </row>
    <row r="1246" spans="2:7" ht="15" x14ac:dyDescent="0.25">
      <c r="B1246" s="7"/>
      <c r="C1246" s="7"/>
      <c r="D1246" s="7"/>
      <c r="E1246" s="7"/>
      <c r="F1246" s="7"/>
      <c r="G1246" s="7"/>
    </row>
    <row r="1247" spans="2:7" ht="15" x14ac:dyDescent="0.25">
      <c r="B1247" s="7"/>
      <c r="C1247" s="7"/>
      <c r="D1247" s="7"/>
      <c r="E1247" s="7"/>
      <c r="F1247" s="7"/>
      <c r="G1247" s="7"/>
    </row>
    <row r="1248" spans="2:7" ht="15" x14ac:dyDescent="0.25">
      <c r="B1248" s="7"/>
      <c r="C1248" s="7"/>
      <c r="D1248" s="7"/>
      <c r="E1248" s="7"/>
      <c r="F1248" s="7"/>
      <c r="G1248" s="7"/>
    </row>
    <row r="1249" spans="2:7" ht="15" x14ac:dyDescent="0.25">
      <c r="B1249" s="7"/>
      <c r="C1249" s="7"/>
      <c r="D1249" s="7"/>
      <c r="E1249" s="7"/>
      <c r="F1249" s="7"/>
      <c r="G1249" s="7"/>
    </row>
    <row r="1250" spans="2:7" ht="15" x14ac:dyDescent="0.25">
      <c r="B1250" s="7"/>
      <c r="C1250" s="7"/>
      <c r="D1250" s="7"/>
      <c r="E1250" s="7"/>
      <c r="F1250" s="7"/>
      <c r="G1250" s="7"/>
    </row>
    <row r="1251" spans="2:7" ht="15" x14ac:dyDescent="0.25">
      <c r="B1251" s="7"/>
      <c r="C1251" s="7"/>
      <c r="D1251" s="7"/>
      <c r="E1251" s="7"/>
      <c r="F1251" s="7"/>
      <c r="G1251" s="7"/>
    </row>
    <row r="1252" spans="2:7" ht="15" x14ac:dyDescent="0.25">
      <c r="B1252" s="7"/>
      <c r="C1252" s="7"/>
      <c r="D1252" s="7"/>
      <c r="E1252" s="7"/>
      <c r="F1252" s="7"/>
      <c r="G1252" s="7"/>
    </row>
    <row r="1253" spans="2:7" ht="15" x14ac:dyDescent="0.25">
      <c r="B1253" s="7"/>
      <c r="C1253" s="7"/>
      <c r="D1253" s="7"/>
      <c r="E1253" s="7"/>
      <c r="F1253" s="7"/>
      <c r="G1253" s="7"/>
    </row>
    <row r="1254" spans="2:7" ht="15" x14ac:dyDescent="0.25">
      <c r="B1254" s="7"/>
      <c r="C1254" s="7"/>
      <c r="D1254" s="7"/>
      <c r="E1254" s="7"/>
      <c r="F1254" s="7"/>
      <c r="G1254" s="7"/>
    </row>
    <row r="1255" spans="2:7" ht="15" x14ac:dyDescent="0.25">
      <c r="B1255" s="7"/>
      <c r="C1255" s="7"/>
      <c r="D1255" s="7"/>
      <c r="E1255" s="7"/>
      <c r="F1255" s="7"/>
      <c r="G1255" s="7"/>
    </row>
    <row r="1256" spans="2:7" ht="15" x14ac:dyDescent="0.25">
      <c r="B1256" s="7"/>
      <c r="C1256" s="7"/>
      <c r="D1256" s="7"/>
      <c r="E1256" s="7"/>
      <c r="F1256" s="7"/>
      <c r="G1256" s="7"/>
    </row>
    <row r="1257" spans="2:7" ht="15" x14ac:dyDescent="0.25">
      <c r="B1257" s="7"/>
      <c r="C1257" s="7"/>
      <c r="D1257" s="7"/>
      <c r="E1257" s="7"/>
      <c r="F1257" s="7"/>
      <c r="G1257" s="7"/>
    </row>
    <row r="1258" spans="2:7" ht="15" x14ac:dyDescent="0.25">
      <c r="B1258" s="7"/>
      <c r="C1258" s="7"/>
      <c r="D1258" s="7"/>
      <c r="E1258" s="7"/>
      <c r="F1258" s="7"/>
      <c r="G1258" s="7"/>
    </row>
    <row r="1259" spans="2:7" ht="15" x14ac:dyDescent="0.25">
      <c r="B1259" s="7"/>
      <c r="C1259" s="7"/>
      <c r="D1259" s="7"/>
      <c r="E1259" s="7"/>
      <c r="F1259" s="7"/>
      <c r="G1259" s="7"/>
    </row>
    <row r="1260" spans="2:7" ht="15" x14ac:dyDescent="0.25">
      <c r="B1260" s="7"/>
      <c r="C1260" s="7"/>
      <c r="D1260" s="7"/>
      <c r="E1260" s="7"/>
      <c r="F1260" s="7"/>
      <c r="G1260" s="7"/>
    </row>
    <row r="1261" spans="2:7" ht="15" x14ac:dyDescent="0.25">
      <c r="B1261" s="7"/>
      <c r="C1261" s="7"/>
      <c r="D1261" s="7"/>
      <c r="E1261" s="7"/>
      <c r="F1261" s="7"/>
      <c r="G1261" s="7"/>
    </row>
    <row r="1262" spans="2:7" ht="15" x14ac:dyDescent="0.25">
      <c r="B1262" s="7"/>
      <c r="C1262" s="7"/>
      <c r="D1262" s="7"/>
      <c r="E1262" s="7"/>
      <c r="F1262" s="7"/>
      <c r="G1262" s="7"/>
    </row>
    <row r="1263" spans="2:7" ht="15" x14ac:dyDescent="0.25">
      <c r="B1263" s="7"/>
      <c r="C1263" s="7"/>
      <c r="D1263" s="7"/>
      <c r="E1263" s="7"/>
      <c r="F1263" s="7"/>
      <c r="G1263" s="7"/>
    </row>
    <row r="1264" spans="2:7" ht="15" x14ac:dyDescent="0.25">
      <c r="B1264" s="7"/>
      <c r="C1264" s="7"/>
      <c r="D1264" s="7"/>
      <c r="E1264" s="7"/>
      <c r="F1264" s="7"/>
      <c r="G1264" s="7"/>
    </row>
    <row r="1265" spans="2:7" ht="15" x14ac:dyDescent="0.25">
      <c r="B1265" s="7"/>
      <c r="C1265" s="7"/>
      <c r="D1265" s="7"/>
      <c r="E1265" s="7"/>
      <c r="F1265" s="7"/>
      <c r="G1265" s="7"/>
    </row>
    <row r="1266" spans="2:7" ht="15" x14ac:dyDescent="0.25">
      <c r="B1266" s="7"/>
      <c r="C1266" s="7"/>
      <c r="D1266" s="7"/>
      <c r="E1266" s="7"/>
      <c r="F1266" s="7"/>
      <c r="G1266" s="7"/>
    </row>
    <row r="1267" spans="2:7" ht="15" x14ac:dyDescent="0.25">
      <c r="B1267" s="7"/>
      <c r="C1267" s="7"/>
      <c r="D1267" s="7"/>
      <c r="E1267" s="7"/>
      <c r="F1267" s="7"/>
      <c r="G1267" s="7"/>
    </row>
    <row r="1268" spans="2:7" ht="15" x14ac:dyDescent="0.25">
      <c r="B1268" s="7"/>
      <c r="C1268" s="7"/>
      <c r="D1268" s="7"/>
      <c r="E1268" s="7"/>
      <c r="F1268" s="7"/>
      <c r="G1268" s="7"/>
    </row>
    <row r="1269" spans="2:7" ht="15" x14ac:dyDescent="0.25">
      <c r="B1269" s="7"/>
      <c r="C1269" s="7"/>
      <c r="D1269" s="7"/>
      <c r="E1269" s="7"/>
      <c r="F1269" s="7"/>
      <c r="G1269" s="7"/>
    </row>
    <row r="1270" spans="2:7" ht="15" x14ac:dyDescent="0.25">
      <c r="B1270" s="7"/>
      <c r="C1270" s="7"/>
      <c r="D1270" s="7"/>
      <c r="E1270" s="7"/>
      <c r="F1270" s="7"/>
      <c r="G1270" s="7"/>
    </row>
    <row r="1271" spans="2:7" ht="15" x14ac:dyDescent="0.25">
      <c r="B1271" s="7"/>
      <c r="C1271" s="7"/>
      <c r="D1271" s="7"/>
      <c r="E1271" s="7"/>
      <c r="F1271" s="7"/>
      <c r="G1271" s="7"/>
    </row>
    <row r="1272" spans="2:7" ht="15" x14ac:dyDescent="0.25">
      <c r="B1272" s="7"/>
      <c r="C1272" s="7"/>
      <c r="D1272" s="7"/>
      <c r="E1272" s="7"/>
      <c r="F1272" s="7"/>
      <c r="G1272" s="7"/>
    </row>
    <row r="1273" spans="2:7" ht="15" x14ac:dyDescent="0.25">
      <c r="B1273" s="7"/>
      <c r="C1273" s="7"/>
      <c r="D1273" s="7"/>
      <c r="E1273" s="7"/>
      <c r="F1273" s="7"/>
      <c r="G1273" s="7"/>
    </row>
    <row r="1274" spans="2:7" ht="15" x14ac:dyDescent="0.25">
      <c r="B1274" s="7"/>
      <c r="C1274" s="7"/>
      <c r="D1274" s="7"/>
      <c r="E1274" s="7"/>
      <c r="F1274" s="7"/>
      <c r="G1274" s="7"/>
    </row>
    <row r="1275" spans="2:7" ht="15" x14ac:dyDescent="0.25">
      <c r="B1275" s="7"/>
      <c r="C1275" s="7"/>
      <c r="D1275" s="7"/>
      <c r="E1275" s="7"/>
      <c r="F1275" s="7"/>
      <c r="G1275" s="7"/>
    </row>
    <row r="1276" spans="2:7" ht="15" x14ac:dyDescent="0.25">
      <c r="B1276" s="7"/>
      <c r="C1276" s="7"/>
      <c r="D1276" s="7"/>
      <c r="E1276" s="7"/>
      <c r="F1276" s="7"/>
      <c r="G1276" s="7"/>
    </row>
    <row r="1277" spans="2:7" ht="15" x14ac:dyDescent="0.25">
      <c r="B1277" s="7"/>
      <c r="C1277" s="7"/>
      <c r="D1277" s="7"/>
      <c r="E1277" s="7"/>
      <c r="F1277" s="7"/>
      <c r="G1277" s="7"/>
    </row>
    <row r="1278" spans="2:7" ht="15" x14ac:dyDescent="0.25">
      <c r="B1278" s="7"/>
      <c r="C1278" s="7"/>
      <c r="D1278" s="7"/>
      <c r="E1278" s="7"/>
      <c r="F1278" s="7"/>
      <c r="G1278" s="7"/>
    </row>
    <row r="1279" spans="2:7" ht="15" x14ac:dyDescent="0.25">
      <c r="B1279" s="7"/>
      <c r="C1279" s="7"/>
      <c r="D1279" s="7"/>
      <c r="E1279" s="7"/>
      <c r="F1279" s="7"/>
      <c r="G1279" s="7"/>
    </row>
    <row r="1280" spans="2:7" ht="15" x14ac:dyDescent="0.25">
      <c r="B1280" s="7"/>
      <c r="C1280" s="7"/>
      <c r="D1280" s="7"/>
      <c r="E1280" s="7"/>
      <c r="F1280" s="7"/>
      <c r="G1280" s="7"/>
    </row>
    <row r="1281" spans="2:7" ht="15" x14ac:dyDescent="0.25">
      <c r="B1281" s="7"/>
      <c r="C1281" s="7"/>
      <c r="D1281" s="7"/>
      <c r="E1281" s="7"/>
      <c r="F1281" s="7"/>
      <c r="G1281" s="7"/>
    </row>
    <row r="1282" spans="2:7" ht="15" x14ac:dyDescent="0.25">
      <c r="B1282" s="7"/>
      <c r="C1282" s="7"/>
      <c r="D1282" s="7"/>
      <c r="E1282" s="7"/>
      <c r="F1282" s="7"/>
      <c r="G1282" s="7"/>
    </row>
    <row r="1283" spans="2:7" ht="15" x14ac:dyDescent="0.25">
      <c r="B1283" s="7"/>
      <c r="C1283" s="7"/>
      <c r="D1283" s="7"/>
      <c r="E1283" s="7"/>
      <c r="F1283" s="7"/>
      <c r="G1283" s="7"/>
    </row>
    <row r="1284" spans="2:7" ht="15" x14ac:dyDescent="0.25">
      <c r="B1284" s="7"/>
      <c r="C1284" s="7"/>
      <c r="D1284" s="7"/>
      <c r="E1284" s="7"/>
      <c r="F1284" s="7"/>
      <c r="G1284" s="7"/>
    </row>
    <row r="1285" spans="2:7" ht="15" x14ac:dyDescent="0.25">
      <c r="B1285" s="7"/>
      <c r="C1285" s="7"/>
      <c r="D1285" s="7"/>
      <c r="E1285" s="7"/>
      <c r="F1285" s="7"/>
      <c r="G1285" s="7"/>
    </row>
    <row r="1286" spans="2:7" ht="15" x14ac:dyDescent="0.25">
      <c r="B1286" s="7"/>
      <c r="C1286" s="7"/>
      <c r="D1286" s="7"/>
      <c r="E1286" s="7"/>
      <c r="F1286" s="7"/>
      <c r="G1286" s="7"/>
    </row>
    <row r="1287" spans="2:7" ht="15" x14ac:dyDescent="0.25">
      <c r="B1287" s="7"/>
      <c r="C1287" s="7"/>
      <c r="D1287" s="7"/>
      <c r="E1287" s="7"/>
      <c r="F1287" s="7"/>
      <c r="G1287" s="7"/>
    </row>
    <row r="1288" spans="2:7" ht="15" x14ac:dyDescent="0.25">
      <c r="B1288" s="7"/>
      <c r="C1288" s="7"/>
      <c r="D1288" s="7"/>
      <c r="E1288" s="7"/>
      <c r="F1288" s="7"/>
      <c r="G1288" s="7"/>
    </row>
    <row r="1289" spans="2:7" ht="15" x14ac:dyDescent="0.25">
      <c r="B1289" s="7"/>
      <c r="C1289" s="7"/>
      <c r="D1289" s="7"/>
      <c r="E1289" s="7"/>
      <c r="F1289" s="7"/>
      <c r="G1289" s="7"/>
    </row>
    <row r="1290" spans="2:7" ht="15" x14ac:dyDescent="0.25">
      <c r="B1290" s="7"/>
      <c r="C1290" s="7"/>
      <c r="D1290" s="7"/>
      <c r="E1290" s="7"/>
      <c r="F1290" s="7"/>
      <c r="G1290" s="7"/>
    </row>
    <row r="1291" spans="2:7" ht="15" x14ac:dyDescent="0.25">
      <c r="B1291" s="7"/>
      <c r="C1291" s="7"/>
      <c r="D1291" s="7"/>
      <c r="E1291" s="7"/>
      <c r="F1291" s="7"/>
      <c r="G1291" s="7"/>
    </row>
    <row r="1292" spans="2:7" ht="15" x14ac:dyDescent="0.25">
      <c r="B1292" s="7"/>
      <c r="C1292" s="7"/>
      <c r="D1292" s="7"/>
      <c r="E1292" s="7"/>
      <c r="F1292" s="7"/>
      <c r="G1292" s="7"/>
    </row>
    <row r="1293" spans="2:7" ht="15" x14ac:dyDescent="0.25">
      <c r="B1293" s="7"/>
      <c r="C1293" s="7"/>
      <c r="D1293" s="7"/>
      <c r="E1293" s="7"/>
      <c r="F1293" s="7"/>
      <c r="G1293" s="7"/>
    </row>
    <row r="1294" spans="2:7" ht="15" x14ac:dyDescent="0.25">
      <c r="B1294" s="7"/>
      <c r="C1294" s="7"/>
      <c r="D1294" s="7"/>
      <c r="E1294" s="7"/>
      <c r="F1294" s="7"/>
      <c r="G1294" s="7"/>
    </row>
    <row r="1295" spans="2:7" ht="15" x14ac:dyDescent="0.25">
      <c r="B1295" s="7"/>
      <c r="C1295" s="7"/>
      <c r="D1295" s="7"/>
      <c r="E1295" s="7"/>
      <c r="F1295" s="7"/>
      <c r="G1295" s="7"/>
    </row>
    <row r="1296" spans="2:7" ht="15" x14ac:dyDescent="0.25">
      <c r="B1296" s="7"/>
      <c r="C1296" s="7"/>
      <c r="D1296" s="7"/>
      <c r="E1296" s="7"/>
      <c r="F1296" s="7"/>
      <c r="G1296" s="7"/>
    </row>
    <row r="1297" spans="2:7" ht="15" x14ac:dyDescent="0.25">
      <c r="B1297" s="7"/>
      <c r="C1297" s="7"/>
      <c r="D1297" s="7"/>
      <c r="E1297" s="7"/>
      <c r="F1297" s="7"/>
      <c r="G1297" s="7"/>
    </row>
    <row r="1298" spans="2:7" ht="15" x14ac:dyDescent="0.25">
      <c r="B1298" s="7"/>
      <c r="C1298" s="7"/>
      <c r="D1298" s="7"/>
      <c r="E1298" s="7"/>
      <c r="F1298" s="7"/>
      <c r="G1298" s="7"/>
    </row>
    <row r="1299" spans="2:7" ht="15" x14ac:dyDescent="0.25">
      <c r="B1299" s="7"/>
      <c r="C1299" s="7"/>
      <c r="D1299" s="7"/>
      <c r="E1299" s="7"/>
      <c r="F1299" s="7"/>
      <c r="G1299" s="7"/>
    </row>
    <row r="1300" spans="2:7" ht="15" x14ac:dyDescent="0.25">
      <c r="B1300" s="7"/>
      <c r="C1300" s="7"/>
      <c r="D1300" s="7"/>
      <c r="E1300" s="7"/>
      <c r="F1300" s="7"/>
      <c r="G1300" s="7"/>
    </row>
    <row r="1301" spans="2:7" ht="15" x14ac:dyDescent="0.25">
      <c r="B1301" s="7"/>
      <c r="C1301" s="7"/>
      <c r="D1301" s="7"/>
      <c r="E1301" s="7"/>
      <c r="F1301" s="7"/>
      <c r="G1301" s="7"/>
    </row>
    <row r="1302" spans="2:7" ht="15" x14ac:dyDescent="0.25">
      <c r="B1302" s="7"/>
      <c r="C1302" s="7"/>
      <c r="D1302" s="7"/>
      <c r="E1302" s="7"/>
      <c r="F1302" s="7"/>
      <c r="G1302" s="7"/>
    </row>
    <row r="1303" spans="2:7" ht="15" x14ac:dyDescent="0.25">
      <c r="B1303" s="7"/>
      <c r="C1303" s="7"/>
      <c r="D1303" s="7"/>
      <c r="E1303" s="7"/>
      <c r="F1303" s="7"/>
      <c r="G1303" s="7"/>
    </row>
    <row r="1304" spans="2:7" ht="15" x14ac:dyDescent="0.25">
      <c r="B1304" s="7"/>
      <c r="C1304" s="7"/>
      <c r="D1304" s="7"/>
      <c r="E1304" s="7"/>
      <c r="F1304" s="7"/>
      <c r="G1304" s="7"/>
    </row>
    <row r="1305" spans="2:7" ht="15" x14ac:dyDescent="0.25">
      <c r="B1305" s="7"/>
      <c r="C1305" s="7"/>
      <c r="D1305" s="7"/>
      <c r="E1305" s="7"/>
      <c r="F1305" s="7"/>
      <c r="G1305" s="7"/>
    </row>
    <row r="1306" spans="2:7" ht="15" x14ac:dyDescent="0.25">
      <c r="B1306" s="7"/>
      <c r="C1306" s="7"/>
      <c r="D1306" s="7"/>
      <c r="E1306" s="7"/>
      <c r="F1306" s="7"/>
      <c r="G1306" s="7"/>
    </row>
    <row r="1307" spans="2:7" ht="15" x14ac:dyDescent="0.25">
      <c r="B1307" s="7"/>
      <c r="C1307" s="7"/>
      <c r="D1307" s="7"/>
      <c r="E1307" s="7"/>
      <c r="F1307" s="7"/>
      <c r="G1307" s="7"/>
    </row>
    <row r="1308" spans="2:7" ht="15" x14ac:dyDescent="0.25">
      <c r="B1308" s="7"/>
      <c r="C1308" s="7"/>
      <c r="D1308" s="7"/>
      <c r="E1308" s="7"/>
      <c r="F1308" s="7"/>
      <c r="G1308" s="7"/>
    </row>
    <row r="1309" spans="2:7" ht="15" x14ac:dyDescent="0.25">
      <c r="B1309" s="7"/>
      <c r="C1309" s="7"/>
      <c r="D1309" s="7"/>
      <c r="E1309" s="7"/>
      <c r="F1309" s="7"/>
      <c r="G1309" s="7"/>
    </row>
    <row r="1310" spans="2:7" ht="15" x14ac:dyDescent="0.25">
      <c r="B1310" s="7"/>
      <c r="C1310" s="7"/>
      <c r="D1310" s="7"/>
      <c r="E1310" s="7"/>
      <c r="F1310" s="7"/>
      <c r="G1310" s="7"/>
    </row>
    <row r="1311" spans="2:7" ht="15" x14ac:dyDescent="0.25">
      <c r="B1311" s="7"/>
      <c r="C1311" s="7"/>
      <c r="D1311" s="7"/>
      <c r="E1311" s="7"/>
      <c r="F1311" s="7"/>
      <c r="G1311" s="7"/>
    </row>
    <row r="1312" spans="2:7" ht="15" x14ac:dyDescent="0.25">
      <c r="B1312" s="7"/>
      <c r="C1312" s="7"/>
      <c r="D1312" s="7"/>
      <c r="E1312" s="7"/>
      <c r="F1312" s="7"/>
      <c r="G1312" s="7"/>
    </row>
    <row r="1313" spans="2:7" ht="15" x14ac:dyDescent="0.25">
      <c r="B1313" s="7"/>
      <c r="C1313" s="7"/>
      <c r="D1313" s="7"/>
      <c r="E1313" s="7"/>
      <c r="F1313" s="7"/>
      <c r="G1313" s="7"/>
    </row>
    <row r="1314" spans="2:7" ht="15" x14ac:dyDescent="0.25">
      <c r="B1314" s="7"/>
      <c r="C1314" s="7"/>
      <c r="D1314" s="7"/>
      <c r="E1314" s="7"/>
      <c r="F1314" s="7"/>
      <c r="G1314" s="7"/>
    </row>
    <row r="1315" spans="2:7" ht="15" x14ac:dyDescent="0.25">
      <c r="B1315" s="7"/>
      <c r="C1315" s="7"/>
      <c r="D1315" s="7"/>
      <c r="E1315" s="7"/>
      <c r="F1315" s="7"/>
      <c r="G1315" s="7"/>
    </row>
    <row r="1316" spans="2:7" ht="15" x14ac:dyDescent="0.25">
      <c r="B1316" s="7"/>
      <c r="C1316" s="7"/>
      <c r="D1316" s="7"/>
      <c r="E1316" s="7"/>
      <c r="F1316" s="7"/>
      <c r="G1316" s="7"/>
    </row>
    <row r="1317" spans="2:7" ht="15" x14ac:dyDescent="0.25">
      <c r="B1317" s="7"/>
      <c r="C1317" s="7"/>
      <c r="D1317" s="7"/>
      <c r="E1317" s="7"/>
      <c r="F1317" s="7"/>
      <c r="G1317" s="7"/>
    </row>
    <row r="1318" spans="2:7" ht="15" x14ac:dyDescent="0.25">
      <c r="B1318" s="7"/>
      <c r="C1318" s="7"/>
      <c r="D1318" s="7"/>
      <c r="E1318" s="7"/>
      <c r="F1318" s="7"/>
      <c r="G1318" s="7"/>
    </row>
    <row r="1319" spans="2:7" ht="15" x14ac:dyDescent="0.25">
      <c r="B1319" s="7"/>
      <c r="C1319" s="7"/>
      <c r="D1319" s="7"/>
      <c r="E1319" s="7"/>
      <c r="F1319" s="7"/>
      <c r="G1319" s="7"/>
    </row>
    <row r="1320" spans="2:7" ht="15" x14ac:dyDescent="0.25">
      <c r="B1320" s="7"/>
      <c r="C1320" s="7"/>
      <c r="D1320" s="7"/>
      <c r="E1320" s="7"/>
      <c r="F1320" s="7"/>
      <c r="G1320" s="7"/>
    </row>
    <row r="1321" spans="2:7" ht="15" x14ac:dyDescent="0.25">
      <c r="B1321" s="7"/>
      <c r="C1321" s="7"/>
      <c r="D1321" s="7"/>
      <c r="E1321" s="7"/>
      <c r="F1321" s="7"/>
      <c r="G1321" s="7"/>
    </row>
    <row r="1322" spans="2:7" ht="15" x14ac:dyDescent="0.25">
      <c r="B1322" s="7"/>
      <c r="C1322" s="7"/>
      <c r="D1322" s="7"/>
      <c r="E1322" s="7"/>
      <c r="F1322" s="7"/>
      <c r="G1322" s="7"/>
    </row>
    <row r="1323" spans="2:7" ht="15" x14ac:dyDescent="0.25">
      <c r="B1323" s="7"/>
      <c r="C1323" s="7"/>
      <c r="D1323" s="7"/>
      <c r="E1323" s="7"/>
      <c r="F1323" s="7"/>
      <c r="G1323" s="7"/>
    </row>
    <row r="1324" spans="2:7" ht="15" x14ac:dyDescent="0.25">
      <c r="B1324" s="7"/>
      <c r="C1324" s="7"/>
      <c r="D1324" s="7"/>
      <c r="E1324" s="7"/>
      <c r="F1324" s="7"/>
      <c r="G1324" s="7"/>
    </row>
    <row r="1325" spans="2:7" ht="15" x14ac:dyDescent="0.25">
      <c r="B1325" s="7"/>
      <c r="C1325" s="7"/>
      <c r="D1325" s="7"/>
      <c r="E1325" s="7"/>
      <c r="F1325" s="7"/>
      <c r="G1325" s="7"/>
    </row>
    <row r="1326" spans="2:7" ht="15" x14ac:dyDescent="0.25">
      <c r="B1326" s="7"/>
      <c r="C1326" s="7"/>
      <c r="D1326" s="7"/>
      <c r="E1326" s="7"/>
      <c r="F1326" s="7"/>
      <c r="G1326" s="7"/>
    </row>
    <row r="1327" spans="2:7" ht="15" x14ac:dyDescent="0.25">
      <c r="B1327" s="7"/>
      <c r="C1327" s="7"/>
      <c r="D1327" s="7"/>
      <c r="E1327" s="7"/>
      <c r="F1327" s="7"/>
      <c r="G1327" s="7"/>
    </row>
    <row r="1328" spans="2:7" ht="15" x14ac:dyDescent="0.25">
      <c r="B1328" s="7"/>
      <c r="C1328" s="7"/>
      <c r="D1328" s="7"/>
      <c r="E1328" s="7"/>
      <c r="F1328" s="7"/>
      <c r="G1328" s="7"/>
    </row>
    <row r="1329" spans="2:7" ht="15" x14ac:dyDescent="0.25">
      <c r="B1329" s="7"/>
      <c r="C1329" s="7"/>
      <c r="D1329" s="7"/>
      <c r="E1329" s="7"/>
      <c r="F1329" s="7"/>
      <c r="G1329" s="7"/>
    </row>
    <row r="1330" spans="2:7" ht="15" x14ac:dyDescent="0.25">
      <c r="B1330" s="7"/>
      <c r="C1330" s="7"/>
      <c r="D1330" s="7"/>
      <c r="E1330" s="7"/>
      <c r="F1330" s="7"/>
      <c r="G1330" s="7"/>
    </row>
    <row r="1331" spans="2:7" ht="15" x14ac:dyDescent="0.25">
      <c r="B1331" s="7"/>
      <c r="C1331" s="7"/>
      <c r="D1331" s="7"/>
      <c r="E1331" s="7"/>
      <c r="F1331" s="7"/>
      <c r="G1331" s="7"/>
    </row>
    <row r="1332" spans="2:7" ht="15" x14ac:dyDescent="0.25">
      <c r="B1332" s="7"/>
      <c r="C1332" s="7"/>
      <c r="D1332" s="7"/>
      <c r="E1332" s="7"/>
      <c r="F1332" s="7"/>
      <c r="G1332" s="7"/>
    </row>
    <row r="1333" spans="2:7" ht="15" x14ac:dyDescent="0.25">
      <c r="B1333" s="7"/>
      <c r="C1333" s="7"/>
      <c r="D1333" s="7"/>
      <c r="E1333" s="7"/>
      <c r="F1333" s="7"/>
      <c r="G1333" s="7"/>
    </row>
    <row r="1334" spans="2:7" ht="15" x14ac:dyDescent="0.25">
      <c r="B1334" s="7"/>
      <c r="C1334" s="7"/>
      <c r="D1334" s="7"/>
      <c r="E1334" s="7"/>
      <c r="F1334" s="7"/>
      <c r="G1334" s="7"/>
    </row>
    <row r="1335" spans="2:7" ht="15" x14ac:dyDescent="0.25">
      <c r="B1335" s="7"/>
      <c r="C1335" s="7"/>
      <c r="D1335" s="7"/>
      <c r="E1335" s="7"/>
      <c r="F1335" s="7"/>
      <c r="G1335" s="7"/>
    </row>
    <row r="1336" spans="2:7" ht="15" x14ac:dyDescent="0.25">
      <c r="B1336" s="7"/>
      <c r="C1336" s="7"/>
      <c r="D1336" s="7"/>
      <c r="E1336" s="7"/>
      <c r="F1336" s="7"/>
      <c r="G1336" s="7"/>
    </row>
    <row r="1337" spans="2:7" ht="15" x14ac:dyDescent="0.25">
      <c r="B1337" s="7"/>
      <c r="C1337" s="7"/>
      <c r="D1337" s="7"/>
      <c r="E1337" s="7"/>
      <c r="F1337" s="7"/>
      <c r="G1337" s="7"/>
    </row>
    <row r="1338" spans="2:7" ht="15" x14ac:dyDescent="0.25">
      <c r="B1338" s="7"/>
      <c r="C1338" s="7"/>
      <c r="D1338" s="7"/>
      <c r="E1338" s="7"/>
      <c r="F1338" s="7"/>
      <c r="G1338" s="7"/>
    </row>
    <row r="1339" spans="2:7" ht="15" x14ac:dyDescent="0.25">
      <c r="B1339" s="7"/>
      <c r="C1339" s="7"/>
      <c r="D1339" s="7"/>
      <c r="E1339" s="7"/>
      <c r="F1339" s="7"/>
      <c r="G1339" s="7"/>
    </row>
    <row r="1340" spans="2:7" ht="15" x14ac:dyDescent="0.25">
      <c r="B1340" s="7"/>
      <c r="C1340" s="7"/>
      <c r="D1340" s="7"/>
      <c r="E1340" s="7"/>
      <c r="F1340" s="7"/>
      <c r="G1340" s="7"/>
    </row>
    <row r="1341" spans="2:7" ht="15" x14ac:dyDescent="0.25">
      <c r="B1341" s="7"/>
      <c r="C1341" s="7"/>
      <c r="D1341" s="7"/>
      <c r="E1341" s="7"/>
      <c r="F1341" s="7"/>
      <c r="G1341" s="7"/>
    </row>
    <row r="1342" spans="2:7" ht="15" x14ac:dyDescent="0.25">
      <c r="B1342" s="7"/>
      <c r="C1342" s="7"/>
      <c r="D1342" s="7"/>
      <c r="E1342" s="7"/>
      <c r="F1342" s="7"/>
      <c r="G1342" s="7"/>
    </row>
    <row r="1343" spans="2:7" ht="15" x14ac:dyDescent="0.25">
      <c r="B1343" s="7"/>
      <c r="C1343" s="7"/>
      <c r="D1343" s="7"/>
      <c r="E1343" s="7"/>
      <c r="F1343" s="7"/>
      <c r="G1343" s="7"/>
    </row>
    <row r="1344" spans="2:7" ht="15" x14ac:dyDescent="0.25">
      <c r="B1344" s="7"/>
      <c r="C1344" s="7"/>
      <c r="D1344" s="7"/>
      <c r="E1344" s="7"/>
      <c r="F1344" s="7"/>
      <c r="G1344" s="7"/>
    </row>
    <row r="1345" spans="2:7" ht="15" x14ac:dyDescent="0.25">
      <c r="B1345" s="7"/>
      <c r="C1345" s="7"/>
      <c r="D1345" s="7"/>
      <c r="E1345" s="7"/>
      <c r="F1345" s="7"/>
      <c r="G1345" s="7"/>
    </row>
    <row r="1346" spans="2:7" ht="15" x14ac:dyDescent="0.25">
      <c r="B1346" s="7"/>
      <c r="C1346" s="7"/>
      <c r="D1346" s="7"/>
      <c r="E1346" s="7"/>
      <c r="F1346" s="7"/>
      <c r="G1346" s="7"/>
    </row>
    <row r="1347" spans="2:7" ht="15" x14ac:dyDescent="0.25">
      <c r="B1347" s="7"/>
      <c r="C1347" s="7"/>
      <c r="D1347" s="7"/>
      <c r="E1347" s="7"/>
      <c r="F1347" s="7"/>
      <c r="G1347" s="7"/>
    </row>
    <row r="1348" spans="2:7" ht="15" x14ac:dyDescent="0.25">
      <c r="B1348" s="7"/>
      <c r="C1348" s="7"/>
      <c r="D1348" s="7"/>
      <c r="E1348" s="7"/>
      <c r="F1348" s="7"/>
      <c r="G1348" s="7"/>
    </row>
    <row r="1349" spans="2:7" ht="15" x14ac:dyDescent="0.25">
      <c r="B1349" s="7"/>
      <c r="C1349" s="7"/>
      <c r="D1349" s="7"/>
      <c r="E1349" s="7"/>
      <c r="F1349" s="7"/>
      <c r="G1349" s="7"/>
    </row>
    <row r="1350" spans="2:7" ht="15" x14ac:dyDescent="0.25">
      <c r="B1350" s="7"/>
      <c r="C1350" s="7"/>
      <c r="D1350" s="7"/>
      <c r="E1350" s="7"/>
      <c r="F1350" s="7"/>
      <c r="G1350" s="7"/>
    </row>
    <row r="1351" spans="2:7" ht="15" x14ac:dyDescent="0.25">
      <c r="B1351" s="7"/>
      <c r="C1351" s="7"/>
      <c r="D1351" s="7"/>
      <c r="E1351" s="7"/>
      <c r="F1351" s="7"/>
      <c r="G1351" s="7"/>
    </row>
    <row r="1352" spans="2:7" ht="15" x14ac:dyDescent="0.25">
      <c r="B1352" s="7"/>
      <c r="C1352" s="7"/>
      <c r="D1352" s="7"/>
      <c r="E1352" s="7"/>
      <c r="F1352" s="7"/>
      <c r="G1352" s="7"/>
    </row>
    <row r="1353" spans="2:7" ht="15" x14ac:dyDescent="0.25">
      <c r="B1353" s="7"/>
      <c r="C1353" s="7"/>
      <c r="D1353" s="7"/>
      <c r="E1353" s="7"/>
      <c r="F1353" s="7"/>
      <c r="G1353" s="7"/>
    </row>
    <row r="1354" spans="2:7" ht="15" x14ac:dyDescent="0.25">
      <c r="B1354" s="7"/>
      <c r="C1354" s="7"/>
      <c r="D1354" s="7"/>
      <c r="E1354" s="7"/>
      <c r="F1354" s="7"/>
      <c r="G1354" s="7"/>
    </row>
    <row r="1355" spans="2:7" ht="15" x14ac:dyDescent="0.25">
      <c r="B1355" s="7"/>
      <c r="C1355" s="7"/>
      <c r="D1355" s="7"/>
      <c r="E1355" s="7"/>
      <c r="F1355" s="7"/>
      <c r="G1355" s="7"/>
    </row>
    <row r="1356" spans="2:7" ht="15" x14ac:dyDescent="0.25">
      <c r="B1356" s="7"/>
      <c r="C1356" s="7"/>
      <c r="D1356" s="7"/>
      <c r="E1356" s="7"/>
      <c r="F1356" s="7"/>
      <c r="G1356" s="7"/>
    </row>
    <row r="1357" spans="2:7" ht="15" x14ac:dyDescent="0.25">
      <c r="B1357" s="7"/>
      <c r="C1357" s="7"/>
      <c r="D1357" s="7"/>
      <c r="E1357" s="7"/>
      <c r="F1357" s="7"/>
      <c r="G1357" s="7"/>
    </row>
    <row r="1358" spans="2:7" ht="15" x14ac:dyDescent="0.25">
      <c r="B1358" s="7"/>
      <c r="C1358" s="7"/>
      <c r="D1358" s="7"/>
      <c r="E1358" s="7"/>
      <c r="F1358" s="7"/>
      <c r="G1358" s="7"/>
    </row>
    <row r="1359" spans="2:7" ht="15" x14ac:dyDescent="0.25">
      <c r="B1359" s="7"/>
      <c r="C1359" s="7"/>
      <c r="D1359" s="7"/>
      <c r="E1359" s="7"/>
      <c r="F1359" s="7"/>
      <c r="G1359" s="7"/>
    </row>
    <row r="1360" spans="2:7" ht="15" x14ac:dyDescent="0.25">
      <c r="B1360" s="7"/>
      <c r="C1360" s="7"/>
      <c r="D1360" s="7"/>
      <c r="E1360" s="7"/>
      <c r="F1360" s="7"/>
      <c r="G1360" s="7"/>
    </row>
    <row r="1361" spans="2:7" ht="15" x14ac:dyDescent="0.25">
      <c r="B1361" s="7"/>
      <c r="C1361" s="7"/>
      <c r="D1361" s="7"/>
      <c r="E1361" s="7"/>
      <c r="F1361" s="7"/>
      <c r="G1361" s="7"/>
    </row>
    <row r="1362" spans="2:7" ht="15" x14ac:dyDescent="0.25">
      <c r="B1362" s="7"/>
      <c r="C1362" s="7"/>
      <c r="D1362" s="7"/>
      <c r="E1362" s="7"/>
      <c r="F1362" s="7"/>
      <c r="G1362" s="7"/>
    </row>
    <row r="1363" spans="2:7" ht="15" x14ac:dyDescent="0.25">
      <c r="B1363" s="7"/>
      <c r="C1363" s="7"/>
      <c r="D1363" s="7"/>
      <c r="E1363" s="7"/>
      <c r="F1363" s="7"/>
      <c r="G1363" s="7"/>
    </row>
    <row r="1364" spans="2:7" ht="15" x14ac:dyDescent="0.25">
      <c r="B1364" s="7"/>
      <c r="C1364" s="7"/>
      <c r="D1364" s="7"/>
      <c r="E1364" s="7"/>
      <c r="F1364" s="7"/>
      <c r="G1364" s="7"/>
    </row>
    <row r="1365" spans="2:7" ht="15" x14ac:dyDescent="0.25">
      <c r="B1365" s="7"/>
      <c r="C1365" s="7"/>
      <c r="D1365" s="7"/>
      <c r="E1365" s="7"/>
      <c r="F1365" s="7"/>
      <c r="G1365" s="7"/>
    </row>
    <row r="1366" spans="2:7" ht="15" x14ac:dyDescent="0.25">
      <c r="B1366" s="7"/>
      <c r="C1366" s="7"/>
      <c r="D1366" s="7"/>
      <c r="E1366" s="7"/>
      <c r="F1366" s="7"/>
      <c r="G1366" s="7"/>
    </row>
    <row r="1367" spans="2:7" ht="15" x14ac:dyDescent="0.25">
      <c r="B1367" s="7"/>
      <c r="C1367" s="7"/>
      <c r="D1367" s="7"/>
      <c r="E1367" s="7"/>
      <c r="F1367" s="7"/>
      <c r="G1367" s="7"/>
    </row>
    <row r="1368" spans="2:7" ht="15" x14ac:dyDescent="0.25">
      <c r="B1368" s="7"/>
      <c r="C1368" s="7"/>
      <c r="D1368" s="7"/>
      <c r="E1368" s="7"/>
      <c r="F1368" s="7"/>
      <c r="G1368" s="7"/>
    </row>
    <row r="1369" spans="2:7" ht="15" x14ac:dyDescent="0.25">
      <c r="B1369" s="7"/>
      <c r="C1369" s="7"/>
      <c r="D1369" s="7"/>
      <c r="E1369" s="7"/>
      <c r="F1369" s="7"/>
      <c r="G1369" s="7"/>
    </row>
    <row r="1370" spans="2:7" ht="15" x14ac:dyDescent="0.25">
      <c r="B1370" s="7"/>
      <c r="C1370" s="7"/>
      <c r="D1370" s="7"/>
      <c r="E1370" s="7"/>
      <c r="F1370" s="7"/>
      <c r="G1370" s="7"/>
    </row>
    <row r="1371" spans="2:7" ht="15" x14ac:dyDescent="0.25">
      <c r="B1371" s="7"/>
      <c r="C1371" s="7"/>
      <c r="D1371" s="7"/>
      <c r="E1371" s="7"/>
      <c r="F1371" s="7"/>
      <c r="G1371" s="7"/>
    </row>
    <row r="1372" spans="2:7" ht="15" x14ac:dyDescent="0.25">
      <c r="B1372" s="7"/>
      <c r="C1372" s="7"/>
      <c r="D1372" s="7"/>
      <c r="E1372" s="7"/>
      <c r="F1372" s="7"/>
      <c r="G1372" s="7"/>
    </row>
    <row r="1373" spans="2:7" ht="15" x14ac:dyDescent="0.25">
      <c r="B1373" s="7"/>
      <c r="C1373" s="7"/>
      <c r="D1373" s="7"/>
      <c r="E1373" s="7"/>
      <c r="F1373" s="7"/>
      <c r="G1373" s="7"/>
    </row>
    <row r="1374" spans="2:7" ht="15" x14ac:dyDescent="0.25">
      <c r="B1374" s="7"/>
      <c r="C1374" s="7"/>
      <c r="D1374" s="7"/>
      <c r="E1374" s="7"/>
      <c r="F1374" s="7"/>
      <c r="G1374" s="7"/>
    </row>
    <row r="1375" spans="2:7" ht="15" x14ac:dyDescent="0.25">
      <c r="B1375" s="7"/>
      <c r="C1375" s="7"/>
      <c r="D1375" s="7"/>
      <c r="E1375" s="7"/>
      <c r="F1375" s="7"/>
      <c r="G1375" s="7"/>
    </row>
    <row r="1376" spans="2:7" ht="15" x14ac:dyDescent="0.25">
      <c r="B1376" s="7"/>
      <c r="C1376" s="7"/>
      <c r="D1376" s="7"/>
      <c r="E1376" s="7"/>
      <c r="F1376" s="7"/>
      <c r="G1376" s="7"/>
    </row>
    <row r="1377" spans="2:7" ht="15" x14ac:dyDescent="0.25">
      <c r="B1377" s="7"/>
      <c r="C1377" s="7"/>
      <c r="D1377" s="7"/>
      <c r="E1377" s="7"/>
      <c r="F1377" s="7"/>
      <c r="G1377" s="7"/>
    </row>
    <row r="1378" spans="2:7" ht="15" x14ac:dyDescent="0.25">
      <c r="B1378" s="7"/>
      <c r="C1378" s="7"/>
      <c r="D1378" s="7"/>
      <c r="E1378" s="7"/>
      <c r="F1378" s="7"/>
      <c r="G1378" s="7"/>
    </row>
    <row r="1379" spans="2:7" ht="15" x14ac:dyDescent="0.25">
      <c r="B1379" s="7"/>
      <c r="C1379" s="7"/>
      <c r="D1379" s="7"/>
      <c r="E1379" s="7"/>
      <c r="F1379" s="7"/>
      <c r="G1379" s="7"/>
    </row>
    <row r="1380" spans="2:7" ht="15" x14ac:dyDescent="0.25">
      <c r="B1380" s="7"/>
      <c r="C1380" s="7"/>
      <c r="D1380" s="7"/>
      <c r="E1380" s="7"/>
      <c r="F1380" s="7"/>
      <c r="G1380" s="7"/>
    </row>
    <row r="1381" spans="2:7" ht="15" x14ac:dyDescent="0.25">
      <c r="B1381" s="7"/>
      <c r="C1381" s="7"/>
      <c r="D1381" s="7"/>
      <c r="E1381" s="7"/>
      <c r="F1381" s="7"/>
      <c r="G1381" s="7"/>
    </row>
    <row r="1382" spans="2:7" ht="15" x14ac:dyDescent="0.25">
      <c r="B1382" s="7"/>
      <c r="C1382" s="7"/>
      <c r="D1382" s="7"/>
      <c r="E1382" s="7"/>
      <c r="F1382" s="7"/>
      <c r="G1382" s="7"/>
    </row>
    <row r="1383" spans="2:7" ht="15" x14ac:dyDescent="0.25">
      <c r="B1383" s="7"/>
      <c r="C1383" s="7"/>
      <c r="D1383" s="7"/>
      <c r="E1383" s="7"/>
      <c r="F1383" s="7"/>
      <c r="G1383" s="7"/>
    </row>
    <row r="1384" spans="2:7" ht="15" x14ac:dyDescent="0.25">
      <c r="B1384" s="7"/>
      <c r="C1384" s="7"/>
      <c r="D1384" s="7"/>
      <c r="E1384" s="7"/>
      <c r="F1384" s="7"/>
      <c r="G1384" s="7"/>
    </row>
    <row r="1385" spans="2:7" ht="15" x14ac:dyDescent="0.25">
      <c r="B1385" s="7"/>
      <c r="C1385" s="7"/>
      <c r="D1385" s="7"/>
      <c r="E1385" s="7"/>
      <c r="F1385" s="7"/>
      <c r="G1385" s="7"/>
    </row>
    <row r="1386" spans="2:7" ht="15" x14ac:dyDescent="0.25">
      <c r="B1386" s="7"/>
      <c r="C1386" s="7"/>
      <c r="D1386" s="7"/>
      <c r="E1386" s="7"/>
      <c r="F1386" s="7"/>
      <c r="G1386" s="7"/>
    </row>
    <row r="1387" spans="2:7" ht="15" x14ac:dyDescent="0.25">
      <c r="B1387" s="7"/>
      <c r="C1387" s="7"/>
      <c r="D1387" s="7"/>
      <c r="E1387" s="7"/>
      <c r="F1387" s="7"/>
      <c r="G1387" s="7"/>
    </row>
    <row r="1388" spans="2:7" ht="15" x14ac:dyDescent="0.25">
      <c r="B1388" s="7"/>
      <c r="C1388" s="7"/>
      <c r="D1388" s="7"/>
      <c r="E1388" s="7"/>
      <c r="F1388" s="7"/>
      <c r="G1388" s="7"/>
    </row>
    <row r="1389" spans="2:7" ht="15" x14ac:dyDescent="0.25">
      <c r="B1389" s="7"/>
      <c r="C1389" s="7"/>
      <c r="D1389" s="7"/>
      <c r="E1389" s="7"/>
      <c r="F1389" s="7"/>
      <c r="G1389" s="7"/>
    </row>
    <row r="1390" spans="2:7" ht="15" x14ac:dyDescent="0.25">
      <c r="B1390" s="7"/>
      <c r="C1390" s="7"/>
      <c r="D1390" s="7"/>
      <c r="E1390" s="7"/>
      <c r="F1390" s="7"/>
      <c r="G1390" s="7"/>
    </row>
    <row r="1391" spans="2:7" ht="15" x14ac:dyDescent="0.25">
      <c r="B1391" s="7"/>
      <c r="C1391" s="7"/>
      <c r="D1391" s="7"/>
      <c r="E1391" s="7"/>
      <c r="F1391" s="7"/>
      <c r="G1391" s="7"/>
    </row>
    <row r="1392" spans="2:7" ht="15" x14ac:dyDescent="0.25">
      <c r="B1392" s="7"/>
      <c r="C1392" s="7"/>
      <c r="D1392" s="7"/>
      <c r="E1392" s="7"/>
      <c r="F1392" s="7"/>
      <c r="G1392" s="7"/>
    </row>
    <row r="1393" spans="2:7" ht="15" x14ac:dyDescent="0.25">
      <c r="B1393" s="7"/>
      <c r="C1393" s="7"/>
      <c r="D1393" s="7"/>
      <c r="E1393" s="7"/>
      <c r="F1393" s="7"/>
      <c r="G1393" s="7"/>
    </row>
    <row r="1394" spans="2:7" ht="15" x14ac:dyDescent="0.25">
      <c r="B1394" s="7"/>
      <c r="C1394" s="7"/>
      <c r="D1394" s="7"/>
      <c r="E1394" s="7"/>
      <c r="F1394" s="7"/>
      <c r="G1394" s="7"/>
    </row>
    <row r="1395" spans="2:7" ht="15" x14ac:dyDescent="0.25">
      <c r="B1395" s="7"/>
      <c r="C1395" s="7"/>
      <c r="D1395" s="7"/>
      <c r="E1395" s="7"/>
      <c r="F1395" s="7"/>
      <c r="G1395" s="7"/>
    </row>
    <row r="1396" spans="2:7" ht="15" x14ac:dyDescent="0.25">
      <c r="B1396" s="7"/>
      <c r="C1396" s="7"/>
      <c r="D1396" s="7"/>
      <c r="E1396" s="7"/>
      <c r="F1396" s="7"/>
      <c r="G1396" s="7"/>
    </row>
    <row r="1397" spans="2:7" ht="15" x14ac:dyDescent="0.25">
      <c r="B1397" s="7"/>
      <c r="C1397" s="7"/>
      <c r="D1397" s="7"/>
      <c r="E1397" s="7"/>
      <c r="F1397" s="7"/>
      <c r="G1397" s="7"/>
    </row>
    <row r="1398" spans="2:7" ht="15" x14ac:dyDescent="0.25">
      <c r="B1398" s="7"/>
      <c r="C1398" s="7"/>
      <c r="D1398" s="7"/>
      <c r="E1398" s="7"/>
      <c r="F1398" s="7"/>
      <c r="G1398" s="7"/>
    </row>
    <row r="1399" spans="2:7" ht="15" x14ac:dyDescent="0.25">
      <c r="B1399" s="7"/>
      <c r="C1399" s="7"/>
      <c r="D1399" s="7"/>
      <c r="E1399" s="7"/>
      <c r="F1399" s="7"/>
      <c r="G1399" s="7"/>
    </row>
    <row r="1400" spans="2:7" ht="15" x14ac:dyDescent="0.25">
      <c r="B1400" s="7"/>
      <c r="C1400" s="7"/>
      <c r="D1400" s="7"/>
      <c r="E1400" s="7"/>
      <c r="F1400" s="7"/>
      <c r="G1400" s="7"/>
    </row>
    <row r="1401" spans="2:7" ht="15" x14ac:dyDescent="0.25">
      <c r="B1401" s="7"/>
      <c r="C1401" s="7"/>
      <c r="D1401" s="7"/>
      <c r="E1401" s="7"/>
      <c r="F1401" s="7"/>
      <c r="G1401" s="7"/>
    </row>
    <row r="1402" spans="2:7" ht="15" x14ac:dyDescent="0.25">
      <c r="B1402" s="7"/>
      <c r="C1402" s="7"/>
      <c r="D1402" s="7"/>
      <c r="E1402" s="7"/>
      <c r="F1402" s="7"/>
      <c r="G1402" s="7"/>
    </row>
    <row r="1403" spans="2:7" ht="15" x14ac:dyDescent="0.25">
      <c r="B1403" s="7"/>
      <c r="C1403" s="7"/>
      <c r="D1403" s="7"/>
      <c r="E1403" s="7"/>
      <c r="F1403" s="7"/>
      <c r="G1403" s="7"/>
    </row>
    <row r="1404" spans="2:7" ht="15" x14ac:dyDescent="0.25">
      <c r="B1404" s="7"/>
      <c r="C1404" s="7"/>
      <c r="D1404" s="7"/>
      <c r="E1404" s="7"/>
      <c r="F1404" s="7"/>
      <c r="G1404" s="7"/>
    </row>
    <row r="1405" spans="2:7" ht="15" x14ac:dyDescent="0.25">
      <c r="B1405" s="7"/>
      <c r="C1405" s="7"/>
      <c r="D1405" s="7"/>
      <c r="E1405" s="7"/>
      <c r="F1405" s="7"/>
      <c r="G1405" s="7"/>
    </row>
    <row r="1406" spans="2:7" ht="15" x14ac:dyDescent="0.25">
      <c r="B1406" s="7"/>
      <c r="C1406" s="7"/>
      <c r="D1406" s="7"/>
      <c r="E1406" s="7"/>
      <c r="F1406" s="7"/>
      <c r="G1406" s="7"/>
    </row>
    <row r="1407" spans="2:7" ht="15" x14ac:dyDescent="0.25">
      <c r="B1407" s="7"/>
      <c r="C1407" s="7"/>
      <c r="D1407" s="7"/>
      <c r="E1407" s="7"/>
      <c r="F1407" s="7"/>
      <c r="G1407" s="7"/>
    </row>
    <row r="1408" spans="2:7" ht="15" x14ac:dyDescent="0.25">
      <c r="B1408" s="7"/>
      <c r="C1408" s="7"/>
      <c r="D1408" s="7"/>
      <c r="E1408" s="7"/>
      <c r="F1408" s="7"/>
      <c r="G1408" s="7"/>
    </row>
    <row r="1409" spans="2:7" ht="15" x14ac:dyDescent="0.25">
      <c r="B1409" s="7"/>
      <c r="C1409" s="7"/>
      <c r="D1409" s="7"/>
      <c r="E1409" s="7"/>
      <c r="F1409" s="7"/>
      <c r="G1409" s="7"/>
    </row>
    <row r="1410" spans="2:7" ht="15" x14ac:dyDescent="0.25">
      <c r="B1410" s="7"/>
      <c r="C1410" s="7"/>
      <c r="D1410" s="7"/>
      <c r="E1410" s="7"/>
      <c r="F1410" s="7"/>
      <c r="G1410" s="7"/>
    </row>
    <row r="1411" spans="2:7" ht="15" x14ac:dyDescent="0.25">
      <c r="B1411" s="7"/>
      <c r="C1411" s="7"/>
      <c r="D1411" s="7"/>
      <c r="E1411" s="7"/>
      <c r="F1411" s="7"/>
      <c r="G1411" s="7"/>
    </row>
    <row r="1412" spans="2:7" ht="15" x14ac:dyDescent="0.25">
      <c r="B1412" s="7"/>
      <c r="C1412" s="7"/>
      <c r="D1412" s="7"/>
      <c r="E1412" s="7"/>
      <c r="F1412" s="7"/>
      <c r="G1412" s="7"/>
    </row>
    <row r="1413" spans="2:7" ht="15" x14ac:dyDescent="0.25">
      <c r="B1413" s="7"/>
      <c r="C1413" s="7"/>
      <c r="D1413" s="7"/>
      <c r="E1413" s="7"/>
      <c r="F1413" s="7"/>
      <c r="G1413" s="7"/>
    </row>
    <row r="1414" spans="2:7" ht="15" x14ac:dyDescent="0.25">
      <c r="B1414" s="7"/>
      <c r="C1414" s="7"/>
      <c r="D1414" s="7"/>
      <c r="E1414" s="7"/>
      <c r="F1414" s="7"/>
      <c r="G1414" s="7"/>
    </row>
    <row r="1415" spans="2:7" ht="15" x14ac:dyDescent="0.25">
      <c r="B1415" s="7"/>
      <c r="C1415" s="7"/>
      <c r="D1415" s="7"/>
      <c r="E1415" s="7"/>
      <c r="F1415" s="7"/>
      <c r="G1415" s="7"/>
    </row>
    <row r="1416" spans="2:7" ht="15" x14ac:dyDescent="0.25">
      <c r="B1416" s="7"/>
      <c r="C1416" s="7"/>
      <c r="D1416" s="7"/>
      <c r="E1416" s="7"/>
      <c r="F1416" s="7"/>
      <c r="G1416" s="7"/>
    </row>
    <row r="1417" spans="2:7" ht="15" x14ac:dyDescent="0.25">
      <c r="B1417" s="7"/>
      <c r="C1417" s="7"/>
      <c r="D1417" s="7"/>
      <c r="E1417" s="7"/>
      <c r="F1417" s="7"/>
      <c r="G1417" s="7"/>
    </row>
    <row r="1418" spans="2:7" ht="15" x14ac:dyDescent="0.25">
      <c r="B1418" s="7"/>
      <c r="C1418" s="7"/>
      <c r="D1418" s="7"/>
      <c r="E1418" s="7"/>
      <c r="F1418" s="7"/>
      <c r="G1418" s="7"/>
    </row>
    <row r="1419" spans="2:7" ht="15" x14ac:dyDescent="0.25">
      <c r="B1419" s="7"/>
      <c r="C1419" s="7"/>
      <c r="D1419" s="7"/>
      <c r="E1419" s="7"/>
      <c r="F1419" s="7"/>
      <c r="G1419" s="7"/>
    </row>
    <row r="1420" spans="2:7" ht="15" x14ac:dyDescent="0.25">
      <c r="B1420" s="7"/>
      <c r="C1420" s="7"/>
      <c r="D1420" s="7"/>
      <c r="E1420" s="7"/>
      <c r="F1420" s="7"/>
      <c r="G1420" s="7"/>
    </row>
    <row r="1421" spans="2:7" ht="15" x14ac:dyDescent="0.25">
      <c r="B1421" s="7"/>
      <c r="C1421" s="7"/>
      <c r="D1421" s="7"/>
      <c r="E1421" s="7"/>
      <c r="F1421" s="7"/>
      <c r="G1421" s="7"/>
    </row>
    <row r="1422" spans="2:7" ht="15" x14ac:dyDescent="0.25">
      <c r="B1422" s="7"/>
      <c r="C1422" s="7"/>
      <c r="D1422" s="7"/>
      <c r="E1422" s="7"/>
      <c r="F1422" s="7"/>
      <c r="G1422" s="7"/>
    </row>
    <row r="1423" spans="2:7" ht="15" x14ac:dyDescent="0.25">
      <c r="B1423" s="7"/>
      <c r="C1423" s="7"/>
      <c r="D1423" s="7"/>
      <c r="E1423" s="7"/>
      <c r="F1423" s="7"/>
      <c r="G1423" s="7"/>
    </row>
    <row r="1424" spans="2:7" ht="15" x14ac:dyDescent="0.25">
      <c r="B1424" s="7"/>
      <c r="C1424" s="7"/>
      <c r="D1424" s="7"/>
      <c r="E1424" s="7"/>
      <c r="F1424" s="7"/>
      <c r="G1424" s="7"/>
    </row>
    <row r="1425" spans="2:7" ht="15" x14ac:dyDescent="0.25">
      <c r="B1425" s="7"/>
      <c r="C1425" s="7"/>
      <c r="D1425" s="7"/>
      <c r="E1425" s="7"/>
      <c r="F1425" s="7"/>
      <c r="G1425" s="7"/>
    </row>
    <row r="1426" spans="2:7" ht="15" x14ac:dyDescent="0.25">
      <c r="B1426" s="7"/>
      <c r="C1426" s="7"/>
      <c r="D1426" s="7"/>
      <c r="E1426" s="7"/>
      <c r="F1426" s="7"/>
      <c r="G1426" s="7"/>
    </row>
    <row r="1427" spans="2:7" ht="15" x14ac:dyDescent="0.25">
      <c r="B1427" s="7"/>
      <c r="C1427" s="7"/>
      <c r="D1427" s="7"/>
      <c r="E1427" s="7"/>
      <c r="F1427" s="7"/>
      <c r="G1427" s="7"/>
    </row>
    <row r="1428" spans="2:7" ht="15" x14ac:dyDescent="0.25">
      <c r="B1428" s="7"/>
      <c r="C1428" s="7"/>
      <c r="D1428" s="7"/>
      <c r="E1428" s="7"/>
      <c r="F1428" s="7"/>
      <c r="G1428" s="7"/>
    </row>
    <row r="1429" spans="2:7" ht="15" x14ac:dyDescent="0.25">
      <c r="B1429" s="7"/>
      <c r="C1429" s="7"/>
      <c r="D1429" s="7"/>
      <c r="E1429" s="7"/>
      <c r="F1429" s="7"/>
      <c r="G1429" s="7"/>
    </row>
    <row r="1430" spans="2:7" ht="15" x14ac:dyDescent="0.25">
      <c r="B1430" s="7"/>
      <c r="C1430" s="7"/>
      <c r="D1430" s="7"/>
      <c r="E1430" s="7"/>
      <c r="F1430" s="7"/>
      <c r="G1430" s="7"/>
    </row>
    <row r="1431" spans="2:7" ht="15" x14ac:dyDescent="0.25">
      <c r="B1431" s="7"/>
      <c r="C1431" s="7"/>
      <c r="D1431" s="7"/>
      <c r="E1431" s="7"/>
      <c r="F1431" s="7"/>
      <c r="G1431" s="7"/>
    </row>
    <row r="1432" spans="2:7" ht="15" x14ac:dyDescent="0.25">
      <c r="B1432" s="7"/>
      <c r="C1432" s="7"/>
      <c r="D1432" s="7"/>
      <c r="E1432" s="7"/>
      <c r="F1432" s="7"/>
      <c r="G1432" s="7"/>
    </row>
    <row r="1433" spans="2:7" ht="15" x14ac:dyDescent="0.25">
      <c r="B1433" s="7"/>
      <c r="C1433" s="7"/>
      <c r="D1433" s="7"/>
      <c r="E1433" s="7"/>
      <c r="F1433" s="7"/>
      <c r="G1433" s="7"/>
    </row>
    <row r="1434" spans="2:7" ht="15" x14ac:dyDescent="0.25">
      <c r="B1434" s="7"/>
      <c r="C1434" s="7"/>
      <c r="D1434" s="7"/>
      <c r="E1434" s="7"/>
      <c r="F1434" s="7"/>
      <c r="G1434" s="7"/>
    </row>
    <row r="1435" spans="2:7" ht="15" x14ac:dyDescent="0.25">
      <c r="B1435" s="7"/>
      <c r="C1435" s="7"/>
      <c r="D1435" s="7"/>
      <c r="E1435" s="7"/>
      <c r="F1435" s="7"/>
      <c r="G1435" s="7"/>
    </row>
    <row r="1436" spans="2:7" ht="15" x14ac:dyDescent="0.25">
      <c r="B1436" s="7"/>
      <c r="C1436" s="7"/>
      <c r="D1436" s="7"/>
      <c r="E1436" s="7"/>
      <c r="F1436" s="7"/>
      <c r="G1436" s="7"/>
    </row>
    <row r="1437" spans="2:7" ht="15" x14ac:dyDescent="0.25">
      <c r="B1437" s="7"/>
      <c r="C1437" s="7"/>
      <c r="D1437" s="7"/>
      <c r="E1437" s="7"/>
      <c r="F1437" s="7"/>
      <c r="G1437" s="7"/>
    </row>
    <row r="1438" spans="2:7" ht="15" x14ac:dyDescent="0.25">
      <c r="B1438" s="7"/>
      <c r="C1438" s="7"/>
      <c r="D1438" s="7"/>
      <c r="E1438" s="7"/>
      <c r="F1438" s="7"/>
      <c r="G1438" s="7"/>
    </row>
    <row r="1439" spans="2:7" ht="15" x14ac:dyDescent="0.25">
      <c r="B1439" s="7"/>
      <c r="C1439" s="7"/>
      <c r="D1439" s="7"/>
      <c r="E1439" s="7"/>
      <c r="F1439" s="7"/>
      <c r="G1439" s="7"/>
    </row>
    <row r="1440" spans="2:7" ht="15" x14ac:dyDescent="0.25">
      <c r="B1440" s="7"/>
      <c r="C1440" s="7"/>
      <c r="D1440" s="7"/>
      <c r="E1440" s="7"/>
      <c r="F1440" s="7"/>
      <c r="G1440" s="7"/>
    </row>
    <row r="1441" spans="2:7" ht="15" x14ac:dyDescent="0.25">
      <c r="B1441" s="7"/>
      <c r="C1441" s="7"/>
      <c r="D1441" s="7"/>
      <c r="E1441" s="7"/>
      <c r="F1441" s="7"/>
      <c r="G1441" s="7"/>
    </row>
    <row r="1442" spans="2:7" ht="15" x14ac:dyDescent="0.25">
      <c r="B1442" s="7"/>
      <c r="C1442" s="7"/>
      <c r="D1442" s="7"/>
      <c r="E1442" s="7"/>
      <c r="F1442" s="7"/>
      <c r="G1442" s="7"/>
    </row>
    <row r="1443" spans="2:7" ht="15" x14ac:dyDescent="0.25">
      <c r="B1443" s="7"/>
      <c r="C1443" s="7"/>
      <c r="D1443" s="7"/>
      <c r="E1443" s="7"/>
      <c r="F1443" s="7"/>
      <c r="G1443" s="7"/>
    </row>
    <row r="1444" spans="2:7" ht="15" x14ac:dyDescent="0.25">
      <c r="B1444" s="7"/>
      <c r="C1444" s="7"/>
      <c r="D1444" s="7"/>
      <c r="E1444" s="7"/>
      <c r="F1444" s="7"/>
      <c r="G1444" s="7"/>
    </row>
    <row r="1445" spans="2:7" ht="15" x14ac:dyDescent="0.25">
      <c r="B1445" s="7"/>
      <c r="C1445" s="7"/>
      <c r="D1445" s="7"/>
      <c r="E1445" s="7"/>
      <c r="F1445" s="7"/>
      <c r="G1445" s="7"/>
    </row>
    <row r="1446" spans="2:7" ht="15" x14ac:dyDescent="0.25">
      <c r="B1446" s="7"/>
      <c r="C1446" s="7"/>
      <c r="D1446" s="7"/>
      <c r="E1446" s="7"/>
      <c r="F1446" s="7"/>
      <c r="G1446" s="7"/>
    </row>
    <row r="1447" spans="2:7" ht="15" x14ac:dyDescent="0.25">
      <c r="B1447" s="7"/>
      <c r="C1447" s="7"/>
      <c r="D1447" s="7"/>
      <c r="E1447" s="7"/>
      <c r="F1447" s="7"/>
      <c r="G1447" s="7"/>
    </row>
    <row r="1448" spans="2:7" ht="15" x14ac:dyDescent="0.25">
      <c r="B1448" s="7"/>
      <c r="C1448" s="7"/>
      <c r="D1448" s="7"/>
      <c r="E1448" s="7"/>
      <c r="F1448" s="7"/>
      <c r="G1448" s="7"/>
    </row>
    <row r="1449" spans="2:7" ht="15" x14ac:dyDescent="0.25">
      <c r="B1449" s="7"/>
      <c r="C1449" s="7"/>
      <c r="D1449" s="7"/>
      <c r="E1449" s="7"/>
      <c r="F1449" s="7"/>
      <c r="G1449" s="7"/>
    </row>
    <row r="1450" spans="2:7" ht="15" x14ac:dyDescent="0.25">
      <c r="B1450" s="7"/>
      <c r="C1450" s="7"/>
      <c r="D1450" s="7"/>
      <c r="E1450" s="7"/>
      <c r="F1450" s="7"/>
      <c r="G1450" s="7"/>
    </row>
    <row r="1451" spans="2:7" ht="15" x14ac:dyDescent="0.25">
      <c r="B1451" s="7"/>
      <c r="C1451" s="7"/>
      <c r="D1451" s="7"/>
      <c r="E1451" s="7"/>
      <c r="F1451" s="7"/>
      <c r="G1451" s="7"/>
    </row>
    <row r="1452" spans="2:7" ht="15" x14ac:dyDescent="0.25">
      <c r="B1452" s="7"/>
      <c r="C1452" s="7"/>
      <c r="D1452" s="7"/>
      <c r="E1452" s="7"/>
      <c r="F1452" s="7"/>
      <c r="G1452" s="7"/>
    </row>
    <row r="1453" spans="2:7" ht="15" x14ac:dyDescent="0.25">
      <c r="B1453" s="7"/>
      <c r="C1453" s="7"/>
      <c r="D1453" s="7"/>
      <c r="E1453" s="7"/>
      <c r="F1453" s="7"/>
      <c r="G1453" s="7"/>
    </row>
    <row r="1454" spans="2:7" ht="15" x14ac:dyDescent="0.25">
      <c r="B1454" s="7"/>
      <c r="C1454" s="7"/>
      <c r="D1454" s="7"/>
      <c r="E1454" s="7"/>
      <c r="F1454" s="7"/>
      <c r="G1454" s="7"/>
    </row>
    <row r="1455" spans="2:7" ht="15" x14ac:dyDescent="0.25">
      <c r="B1455" s="7"/>
      <c r="C1455" s="7"/>
      <c r="D1455" s="7"/>
      <c r="E1455" s="7"/>
      <c r="F1455" s="7"/>
      <c r="G1455" s="7"/>
    </row>
    <row r="1456" spans="2:7" ht="15" x14ac:dyDescent="0.25">
      <c r="B1456" s="7"/>
      <c r="C1456" s="7"/>
      <c r="D1456" s="7"/>
      <c r="E1456" s="7"/>
      <c r="F1456" s="7"/>
      <c r="G1456" s="7"/>
    </row>
    <row r="1457" spans="2:7" ht="15" x14ac:dyDescent="0.25">
      <c r="B1457" s="7"/>
      <c r="C1457" s="7"/>
      <c r="D1457" s="7"/>
      <c r="E1457" s="7"/>
      <c r="F1457" s="7"/>
      <c r="G1457" s="7"/>
    </row>
    <row r="1458" spans="2:7" ht="15" x14ac:dyDescent="0.25">
      <c r="B1458" s="7"/>
      <c r="C1458" s="7"/>
      <c r="D1458" s="7"/>
      <c r="E1458" s="7"/>
      <c r="F1458" s="7"/>
      <c r="G1458" s="7"/>
    </row>
    <row r="1459" spans="2:7" ht="15" x14ac:dyDescent="0.25">
      <c r="B1459" s="7"/>
      <c r="C1459" s="7"/>
      <c r="D1459" s="7"/>
      <c r="E1459" s="7"/>
      <c r="F1459" s="7"/>
      <c r="G1459" s="7"/>
    </row>
    <row r="1460" spans="2:7" ht="15" x14ac:dyDescent="0.25">
      <c r="B1460" s="7"/>
      <c r="C1460" s="7"/>
      <c r="D1460" s="7"/>
      <c r="E1460" s="7"/>
      <c r="F1460" s="7"/>
      <c r="G1460" s="7"/>
    </row>
    <row r="1461" spans="2:7" ht="15" x14ac:dyDescent="0.25">
      <c r="B1461" s="7"/>
      <c r="C1461" s="7"/>
      <c r="D1461" s="7"/>
      <c r="E1461" s="7"/>
      <c r="F1461" s="7"/>
      <c r="G1461" s="7"/>
    </row>
    <row r="1462" spans="2:7" ht="15" x14ac:dyDescent="0.25">
      <c r="B1462" s="7"/>
      <c r="C1462" s="7"/>
      <c r="D1462" s="7"/>
      <c r="E1462" s="7"/>
      <c r="F1462" s="7"/>
      <c r="G1462" s="7"/>
    </row>
    <row r="1463" spans="2:7" ht="15" x14ac:dyDescent="0.25">
      <c r="B1463" s="7"/>
      <c r="C1463" s="7"/>
      <c r="D1463" s="7"/>
      <c r="E1463" s="7"/>
      <c r="F1463" s="7"/>
      <c r="G1463" s="7"/>
    </row>
    <row r="1464" spans="2:7" ht="15" x14ac:dyDescent="0.25">
      <c r="B1464" s="7"/>
      <c r="C1464" s="7"/>
      <c r="D1464" s="7"/>
      <c r="E1464" s="7"/>
      <c r="F1464" s="7"/>
      <c r="G1464" s="7"/>
    </row>
    <row r="1465" spans="2:7" ht="15" x14ac:dyDescent="0.25">
      <c r="B1465" s="7"/>
      <c r="C1465" s="7"/>
      <c r="D1465" s="7"/>
      <c r="E1465" s="7"/>
      <c r="F1465" s="7"/>
      <c r="G1465" s="7"/>
    </row>
    <row r="1466" spans="2:7" ht="15" x14ac:dyDescent="0.25">
      <c r="B1466" s="7"/>
      <c r="C1466" s="7"/>
      <c r="D1466" s="7"/>
      <c r="E1466" s="7"/>
      <c r="F1466" s="7"/>
      <c r="G1466" s="7"/>
    </row>
    <row r="1467" spans="2:7" ht="15" x14ac:dyDescent="0.25">
      <c r="B1467" s="7"/>
      <c r="C1467" s="7"/>
      <c r="D1467" s="7"/>
      <c r="E1467" s="7"/>
      <c r="F1467" s="7"/>
      <c r="G1467" s="7"/>
    </row>
    <row r="1468" spans="2:7" ht="15" x14ac:dyDescent="0.25">
      <c r="B1468" s="7"/>
      <c r="C1468" s="7"/>
      <c r="D1468" s="7"/>
      <c r="E1468" s="7"/>
      <c r="F1468" s="7"/>
      <c r="G1468" s="7"/>
    </row>
    <row r="1469" spans="2:7" ht="15" x14ac:dyDescent="0.25">
      <c r="B1469" s="7"/>
      <c r="C1469" s="7"/>
      <c r="D1469" s="7"/>
      <c r="E1469" s="7"/>
      <c r="F1469" s="7"/>
      <c r="G1469" s="7"/>
    </row>
    <row r="1470" spans="2:7" ht="15" x14ac:dyDescent="0.25">
      <c r="B1470" s="7"/>
      <c r="C1470" s="7"/>
      <c r="D1470" s="7"/>
      <c r="E1470" s="7"/>
      <c r="F1470" s="7"/>
      <c r="G1470" s="7"/>
    </row>
    <row r="1471" spans="2:7" ht="15" x14ac:dyDescent="0.25">
      <c r="B1471" s="7"/>
      <c r="C1471" s="7"/>
      <c r="D1471" s="7"/>
      <c r="E1471" s="7"/>
      <c r="F1471" s="7"/>
      <c r="G1471" s="7"/>
    </row>
    <row r="1472" spans="2:7" ht="15" x14ac:dyDescent="0.25">
      <c r="B1472" s="7"/>
      <c r="C1472" s="7"/>
      <c r="D1472" s="7"/>
      <c r="E1472" s="7"/>
      <c r="F1472" s="7"/>
      <c r="G1472" s="7"/>
    </row>
    <row r="1473" spans="2:7" ht="15" x14ac:dyDescent="0.25">
      <c r="B1473" s="7"/>
      <c r="C1473" s="7"/>
      <c r="D1473" s="7"/>
      <c r="E1473" s="7"/>
      <c r="F1473" s="7"/>
      <c r="G1473" s="7"/>
    </row>
    <row r="1474" spans="2:7" ht="15" x14ac:dyDescent="0.25">
      <c r="B1474" s="7"/>
      <c r="C1474" s="7"/>
      <c r="D1474" s="7"/>
      <c r="E1474" s="7"/>
      <c r="F1474" s="7"/>
      <c r="G1474" s="7"/>
    </row>
    <row r="1475" spans="2:7" ht="15" x14ac:dyDescent="0.25">
      <c r="B1475" s="7"/>
      <c r="C1475" s="7"/>
      <c r="D1475" s="7"/>
      <c r="E1475" s="7"/>
      <c r="F1475" s="7"/>
      <c r="G1475" s="7"/>
    </row>
    <row r="1476" spans="2:7" ht="15" x14ac:dyDescent="0.25">
      <c r="B1476" s="7"/>
      <c r="C1476" s="7"/>
      <c r="D1476" s="7"/>
      <c r="E1476" s="7"/>
      <c r="F1476" s="7"/>
      <c r="G1476" s="7"/>
    </row>
    <row r="1477" spans="2:7" ht="15" x14ac:dyDescent="0.25">
      <c r="B1477" s="7"/>
      <c r="C1477" s="7"/>
      <c r="D1477" s="7"/>
      <c r="E1477" s="7"/>
      <c r="F1477" s="7"/>
      <c r="G1477" s="7"/>
    </row>
    <row r="1478" spans="2:7" ht="15" x14ac:dyDescent="0.25">
      <c r="B1478" s="7"/>
      <c r="C1478" s="7"/>
      <c r="D1478" s="7"/>
      <c r="E1478" s="7"/>
      <c r="F1478" s="7"/>
      <c r="G1478" s="7"/>
    </row>
    <row r="1479" spans="2:7" ht="15" x14ac:dyDescent="0.25">
      <c r="B1479" s="7"/>
      <c r="C1479" s="7"/>
      <c r="D1479" s="7"/>
      <c r="E1479" s="7"/>
      <c r="F1479" s="7"/>
      <c r="G1479" s="7"/>
    </row>
    <row r="1480" spans="2:7" ht="15" x14ac:dyDescent="0.25">
      <c r="B1480" s="7"/>
      <c r="C1480" s="7"/>
      <c r="D1480" s="7"/>
      <c r="E1480" s="7"/>
      <c r="F1480" s="7"/>
      <c r="G1480" s="7"/>
    </row>
    <row r="1481" spans="2:7" ht="15" x14ac:dyDescent="0.25">
      <c r="B1481" s="7"/>
      <c r="C1481" s="7"/>
      <c r="D1481" s="7"/>
      <c r="E1481" s="7"/>
      <c r="F1481" s="7"/>
      <c r="G1481" s="7"/>
    </row>
    <row r="1482" spans="2:7" ht="15" x14ac:dyDescent="0.25">
      <c r="B1482" s="7"/>
      <c r="C1482" s="7"/>
      <c r="D1482" s="7"/>
      <c r="E1482" s="7"/>
      <c r="F1482" s="7"/>
      <c r="G1482" s="7"/>
    </row>
    <row r="1483" spans="2:7" ht="15" x14ac:dyDescent="0.25">
      <c r="B1483" s="7"/>
      <c r="C1483" s="7"/>
      <c r="D1483" s="7"/>
      <c r="E1483" s="7"/>
      <c r="F1483" s="7"/>
      <c r="G1483" s="7"/>
    </row>
    <row r="1484" spans="2:7" ht="15" x14ac:dyDescent="0.25">
      <c r="B1484" s="7"/>
      <c r="C1484" s="7"/>
      <c r="D1484" s="7"/>
      <c r="E1484" s="7"/>
      <c r="F1484" s="7"/>
      <c r="G1484" s="7"/>
    </row>
    <row r="1485" spans="2:7" ht="15" x14ac:dyDescent="0.25">
      <c r="B1485" s="7"/>
      <c r="C1485" s="7"/>
      <c r="D1485" s="7"/>
      <c r="E1485" s="7"/>
      <c r="F1485" s="7"/>
      <c r="G1485" s="7"/>
    </row>
    <row r="1486" spans="2:7" ht="15" x14ac:dyDescent="0.25">
      <c r="B1486" s="7"/>
      <c r="C1486" s="7"/>
      <c r="D1486" s="7"/>
      <c r="E1486" s="7"/>
      <c r="F1486" s="7"/>
      <c r="G1486" s="7"/>
    </row>
    <row r="1487" spans="2:7" ht="15" x14ac:dyDescent="0.25">
      <c r="B1487" s="7"/>
      <c r="C1487" s="7"/>
      <c r="D1487" s="7"/>
      <c r="E1487" s="7"/>
      <c r="F1487" s="7"/>
      <c r="G1487" s="7"/>
    </row>
    <row r="1488" spans="2:7" ht="15" x14ac:dyDescent="0.25">
      <c r="B1488" s="7"/>
      <c r="C1488" s="7"/>
      <c r="D1488" s="7"/>
      <c r="E1488" s="7"/>
      <c r="F1488" s="7"/>
      <c r="G1488" s="7"/>
    </row>
    <row r="1489" spans="2:7" ht="15" x14ac:dyDescent="0.25">
      <c r="B1489" s="7"/>
      <c r="C1489" s="7"/>
      <c r="D1489" s="7"/>
      <c r="E1489" s="7"/>
      <c r="F1489" s="7"/>
      <c r="G1489" s="7"/>
    </row>
    <row r="1490" spans="2:7" ht="15" x14ac:dyDescent="0.25">
      <c r="B1490" s="7"/>
      <c r="C1490" s="7"/>
      <c r="D1490" s="7"/>
      <c r="E1490" s="7"/>
      <c r="F1490" s="7"/>
      <c r="G1490" s="7"/>
    </row>
    <row r="1491" spans="2:7" ht="15" x14ac:dyDescent="0.25">
      <c r="B1491" s="7"/>
      <c r="C1491" s="7"/>
      <c r="D1491" s="7"/>
      <c r="E1491" s="7"/>
      <c r="F1491" s="7"/>
      <c r="G1491" s="7"/>
    </row>
    <row r="1492" spans="2:7" ht="15" x14ac:dyDescent="0.25">
      <c r="B1492" s="7"/>
      <c r="C1492" s="7"/>
      <c r="D1492" s="7"/>
      <c r="E1492" s="7"/>
      <c r="F1492" s="7"/>
      <c r="G1492" s="7"/>
    </row>
    <row r="1493" spans="2:7" ht="15" x14ac:dyDescent="0.25">
      <c r="B1493" s="7"/>
      <c r="C1493" s="7"/>
      <c r="D1493" s="7"/>
      <c r="E1493" s="7"/>
      <c r="F1493" s="7"/>
      <c r="G1493" s="7"/>
    </row>
    <row r="1494" spans="2:7" ht="15" x14ac:dyDescent="0.25">
      <c r="B1494" s="7"/>
      <c r="C1494" s="7"/>
      <c r="D1494" s="7"/>
      <c r="E1494" s="7"/>
      <c r="F1494" s="7"/>
      <c r="G1494" s="7"/>
    </row>
    <row r="1495" spans="2:7" ht="15" x14ac:dyDescent="0.25">
      <c r="B1495" s="7"/>
      <c r="C1495" s="7"/>
      <c r="D1495" s="7"/>
      <c r="E1495" s="7"/>
      <c r="F1495" s="7"/>
      <c r="G1495" s="7"/>
    </row>
    <row r="1496" spans="2:7" ht="15" x14ac:dyDescent="0.25">
      <c r="B1496" s="7"/>
      <c r="C1496" s="7"/>
      <c r="D1496" s="7"/>
      <c r="E1496" s="7"/>
      <c r="F1496" s="7"/>
      <c r="G1496" s="7"/>
    </row>
    <row r="1497" spans="2:7" ht="15" x14ac:dyDescent="0.25">
      <c r="B1497" s="7"/>
      <c r="C1497" s="7"/>
      <c r="D1497" s="7"/>
      <c r="E1497" s="7"/>
      <c r="F1497" s="7"/>
      <c r="G1497" s="7"/>
    </row>
    <row r="1498" spans="2:7" ht="15" x14ac:dyDescent="0.25">
      <c r="B1498" s="7"/>
      <c r="C1498" s="7"/>
      <c r="D1498" s="7"/>
      <c r="E1498" s="7"/>
      <c r="F1498" s="7"/>
      <c r="G1498" s="7"/>
    </row>
    <row r="1499" spans="2:7" ht="15" x14ac:dyDescent="0.25">
      <c r="B1499" s="7"/>
      <c r="C1499" s="7"/>
      <c r="D1499" s="7"/>
      <c r="E1499" s="7"/>
      <c r="F1499" s="7"/>
      <c r="G1499" s="7"/>
    </row>
    <row r="1500" spans="2:7" ht="15" x14ac:dyDescent="0.25">
      <c r="B1500" s="7"/>
      <c r="C1500" s="7"/>
      <c r="D1500" s="7"/>
      <c r="E1500" s="7"/>
      <c r="F1500" s="7"/>
      <c r="G1500" s="7"/>
    </row>
    <row r="1501" spans="2:7" ht="15" x14ac:dyDescent="0.25">
      <c r="B1501" s="7"/>
      <c r="C1501" s="7"/>
      <c r="D1501" s="7"/>
      <c r="E1501" s="7"/>
      <c r="F1501" s="7"/>
      <c r="G1501" s="7"/>
    </row>
    <row r="1502" spans="2:7" ht="15" x14ac:dyDescent="0.25">
      <c r="B1502" s="7"/>
      <c r="C1502" s="7"/>
      <c r="D1502" s="7"/>
      <c r="E1502" s="7"/>
      <c r="F1502" s="7"/>
      <c r="G1502" s="7"/>
    </row>
    <row r="1503" spans="2:7" ht="15" x14ac:dyDescent="0.25">
      <c r="B1503" s="7"/>
      <c r="C1503" s="7"/>
      <c r="D1503" s="7"/>
      <c r="E1503" s="7"/>
      <c r="F1503" s="7"/>
      <c r="G1503" s="7"/>
    </row>
    <row r="1504" spans="2:7" ht="15" x14ac:dyDescent="0.25">
      <c r="B1504" s="7"/>
      <c r="C1504" s="7"/>
      <c r="D1504" s="7"/>
      <c r="E1504" s="7"/>
      <c r="F1504" s="7"/>
      <c r="G1504" s="7"/>
    </row>
    <row r="1505" spans="2:7" ht="15" x14ac:dyDescent="0.25">
      <c r="B1505" s="7"/>
      <c r="C1505" s="7"/>
      <c r="D1505" s="7"/>
      <c r="E1505" s="7"/>
      <c r="F1505" s="7"/>
      <c r="G1505" s="7"/>
    </row>
    <row r="1506" spans="2:7" ht="15" x14ac:dyDescent="0.25">
      <c r="B1506" s="7"/>
      <c r="C1506" s="7"/>
      <c r="D1506" s="7"/>
      <c r="E1506" s="7"/>
      <c r="F1506" s="7"/>
      <c r="G1506" s="7"/>
    </row>
    <row r="1507" spans="2:7" ht="15" x14ac:dyDescent="0.25">
      <c r="B1507" s="7"/>
      <c r="C1507" s="7"/>
      <c r="D1507" s="7"/>
      <c r="E1507" s="7"/>
      <c r="F1507" s="7"/>
      <c r="G1507" s="7"/>
    </row>
    <row r="1508" spans="2:7" ht="15" x14ac:dyDescent="0.25">
      <c r="B1508" s="7"/>
      <c r="C1508" s="7"/>
      <c r="D1508" s="7"/>
      <c r="E1508" s="7"/>
      <c r="F1508" s="7"/>
      <c r="G1508" s="7"/>
    </row>
    <row r="1509" spans="2:7" ht="15" x14ac:dyDescent="0.25">
      <c r="B1509" s="7"/>
      <c r="C1509" s="7"/>
      <c r="D1509" s="7"/>
      <c r="E1509" s="7"/>
      <c r="F1509" s="7"/>
      <c r="G1509" s="7"/>
    </row>
    <row r="1510" spans="2:7" ht="15" x14ac:dyDescent="0.25">
      <c r="B1510" s="7"/>
      <c r="C1510" s="7"/>
      <c r="D1510" s="7"/>
      <c r="E1510" s="7"/>
      <c r="F1510" s="7"/>
      <c r="G1510" s="7"/>
    </row>
    <row r="1511" spans="2:7" ht="15" x14ac:dyDescent="0.25">
      <c r="B1511" s="7"/>
      <c r="C1511" s="7"/>
      <c r="D1511" s="7"/>
      <c r="E1511" s="7"/>
      <c r="F1511" s="7"/>
      <c r="G1511" s="7"/>
    </row>
    <row r="1512" spans="2:7" ht="15" x14ac:dyDescent="0.25">
      <c r="B1512" s="7"/>
      <c r="C1512" s="7"/>
      <c r="D1512" s="7"/>
      <c r="E1512" s="7"/>
      <c r="F1512" s="7"/>
      <c r="G1512" s="7"/>
    </row>
    <row r="1513" spans="2:7" ht="15" x14ac:dyDescent="0.25">
      <c r="B1513" s="7"/>
      <c r="C1513" s="7"/>
      <c r="D1513" s="7"/>
      <c r="E1513" s="7"/>
      <c r="F1513" s="7"/>
      <c r="G1513" s="7"/>
    </row>
    <row r="1514" spans="2:7" ht="15" x14ac:dyDescent="0.25">
      <c r="B1514" s="7"/>
      <c r="C1514" s="7"/>
      <c r="D1514" s="7"/>
      <c r="E1514" s="7"/>
      <c r="F1514" s="7"/>
      <c r="G1514" s="7"/>
    </row>
    <row r="1515" spans="2:7" ht="15" x14ac:dyDescent="0.25">
      <c r="B1515" s="7"/>
      <c r="C1515" s="7"/>
      <c r="D1515" s="7"/>
      <c r="E1515" s="7"/>
      <c r="F1515" s="7"/>
      <c r="G1515" s="7"/>
    </row>
    <row r="1516" spans="2:7" ht="15" x14ac:dyDescent="0.25">
      <c r="B1516" s="7"/>
      <c r="C1516" s="7"/>
      <c r="D1516" s="7"/>
      <c r="E1516" s="7"/>
      <c r="F1516" s="7"/>
      <c r="G1516" s="7"/>
    </row>
    <row r="1517" spans="2:7" ht="15" x14ac:dyDescent="0.25">
      <c r="B1517" s="7"/>
      <c r="C1517" s="7"/>
      <c r="D1517" s="7"/>
      <c r="E1517" s="7"/>
      <c r="F1517" s="7"/>
      <c r="G1517" s="7"/>
    </row>
    <row r="1518" spans="2:7" ht="15" x14ac:dyDescent="0.25">
      <c r="B1518" s="7"/>
      <c r="C1518" s="7"/>
      <c r="D1518" s="7"/>
      <c r="E1518" s="7"/>
      <c r="F1518" s="7"/>
      <c r="G1518" s="7"/>
    </row>
    <row r="1519" spans="2:7" ht="15" x14ac:dyDescent="0.25">
      <c r="B1519" s="7"/>
      <c r="C1519" s="7"/>
      <c r="D1519" s="7"/>
      <c r="E1519" s="7"/>
      <c r="F1519" s="7"/>
      <c r="G1519" s="7"/>
    </row>
    <row r="1520" spans="2:7" ht="15" x14ac:dyDescent="0.25">
      <c r="B1520" s="7"/>
      <c r="C1520" s="7"/>
      <c r="D1520" s="7"/>
      <c r="E1520" s="7"/>
      <c r="F1520" s="7"/>
      <c r="G1520" s="7"/>
    </row>
    <row r="1521" spans="2:7" ht="15" x14ac:dyDescent="0.25">
      <c r="B1521" s="7"/>
      <c r="C1521" s="7"/>
      <c r="D1521" s="7"/>
      <c r="E1521" s="7"/>
      <c r="F1521" s="7"/>
      <c r="G1521" s="7"/>
    </row>
    <row r="1522" spans="2:7" ht="15" x14ac:dyDescent="0.25">
      <c r="B1522" s="7"/>
      <c r="C1522" s="7"/>
      <c r="D1522" s="7"/>
      <c r="E1522" s="7"/>
      <c r="F1522" s="7"/>
      <c r="G1522" s="7"/>
    </row>
    <row r="1523" spans="2:7" ht="15" x14ac:dyDescent="0.25">
      <c r="B1523" s="7"/>
      <c r="C1523" s="7"/>
      <c r="D1523" s="7"/>
      <c r="E1523" s="7"/>
      <c r="F1523" s="7"/>
      <c r="G1523" s="7"/>
    </row>
    <row r="1524" spans="2:7" ht="15" x14ac:dyDescent="0.25">
      <c r="B1524" s="7"/>
      <c r="C1524" s="7"/>
      <c r="D1524" s="7"/>
      <c r="E1524" s="7"/>
      <c r="F1524" s="7"/>
      <c r="G1524" s="7"/>
    </row>
    <row r="1525" spans="2:7" ht="15" x14ac:dyDescent="0.25">
      <c r="B1525" s="7"/>
      <c r="C1525" s="7"/>
      <c r="D1525" s="7"/>
      <c r="E1525" s="7"/>
      <c r="F1525" s="7"/>
      <c r="G1525" s="7"/>
    </row>
    <row r="1526" spans="2:7" ht="15" x14ac:dyDescent="0.25">
      <c r="B1526" s="7"/>
      <c r="C1526" s="7"/>
      <c r="D1526" s="7"/>
      <c r="E1526" s="7"/>
      <c r="F1526" s="7"/>
      <c r="G1526" s="7"/>
    </row>
    <row r="1527" spans="2:7" ht="15" x14ac:dyDescent="0.25">
      <c r="B1527" s="7"/>
      <c r="C1527" s="7"/>
      <c r="D1527" s="7"/>
      <c r="E1527" s="7"/>
      <c r="F1527" s="7"/>
      <c r="G1527" s="7"/>
    </row>
    <row r="1528" spans="2:7" ht="15" x14ac:dyDescent="0.25">
      <c r="B1528" s="7"/>
      <c r="C1528" s="7"/>
      <c r="D1528" s="7"/>
      <c r="E1528" s="7"/>
      <c r="F1528" s="7"/>
      <c r="G1528" s="7"/>
    </row>
    <row r="1529" spans="2:7" ht="15" x14ac:dyDescent="0.25">
      <c r="B1529" s="7"/>
      <c r="C1529" s="7"/>
      <c r="D1529" s="7"/>
      <c r="E1529" s="7"/>
      <c r="F1529" s="7"/>
      <c r="G1529" s="7"/>
    </row>
    <row r="1530" spans="2:7" ht="15" x14ac:dyDescent="0.25">
      <c r="B1530" s="7"/>
      <c r="C1530" s="7"/>
      <c r="D1530" s="7"/>
      <c r="E1530" s="7"/>
      <c r="F1530" s="7"/>
      <c r="G1530" s="7"/>
    </row>
    <row r="1531" spans="2:7" ht="15" x14ac:dyDescent="0.25">
      <c r="B1531" s="7"/>
      <c r="C1531" s="7"/>
      <c r="D1531" s="7"/>
      <c r="E1531" s="7"/>
      <c r="F1531" s="7"/>
      <c r="G1531" s="7"/>
    </row>
    <row r="1532" spans="2:7" ht="15" x14ac:dyDescent="0.25">
      <c r="B1532" s="7"/>
      <c r="C1532" s="7"/>
      <c r="D1532" s="7"/>
      <c r="E1532" s="7"/>
      <c r="F1532" s="7"/>
      <c r="G1532" s="7"/>
    </row>
    <row r="1533" spans="2:7" ht="15" x14ac:dyDescent="0.25">
      <c r="B1533" s="7"/>
      <c r="C1533" s="7"/>
      <c r="D1533" s="7"/>
      <c r="E1533" s="7"/>
      <c r="F1533" s="7"/>
      <c r="G1533" s="7"/>
    </row>
    <row r="1534" spans="2:7" ht="15" x14ac:dyDescent="0.25">
      <c r="B1534" s="7"/>
      <c r="C1534" s="7"/>
      <c r="D1534" s="7"/>
      <c r="E1534" s="7"/>
      <c r="F1534" s="7"/>
      <c r="G1534" s="7"/>
    </row>
    <row r="1535" spans="2:7" ht="15" x14ac:dyDescent="0.25">
      <c r="B1535" s="7"/>
      <c r="C1535" s="7"/>
      <c r="D1535" s="7"/>
      <c r="E1535" s="7"/>
      <c r="F1535" s="7"/>
      <c r="G1535" s="7"/>
    </row>
    <row r="1536" spans="2:7" ht="15" x14ac:dyDescent="0.25">
      <c r="B1536" s="7"/>
      <c r="C1536" s="7"/>
      <c r="D1536" s="7"/>
      <c r="E1536" s="7"/>
      <c r="F1536" s="7"/>
      <c r="G1536" s="7"/>
    </row>
    <row r="1537" spans="2:7" ht="15" x14ac:dyDescent="0.25">
      <c r="B1537" s="7"/>
      <c r="C1537" s="7"/>
      <c r="D1537" s="7"/>
      <c r="E1537" s="7"/>
      <c r="F1537" s="7"/>
      <c r="G1537" s="7"/>
    </row>
    <row r="1538" spans="2:7" ht="15" x14ac:dyDescent="0.25">
      <c r="B1538" s="7"/>
      <c r="C1538" s="7"/>
      <c r="D1538" s="7"/>
      <c r="E1538" s="7"/>
      <c r="F1538" s="7"/>
      <c r="G1538" s="7"/>
    </row>
    <row r="1539" spans="2:7" ht="15" x14ac:dyDescent="0.25">
      <c r="B1539" s="7"/>
      <c r="C1539" s="7"/>
      <c r="D1539" s="7"/>
      <c r="E1539" s="7"/>
      <c r="F1539" s="7"/>
      <c r="G1539" s="7"/>
    </row>
    <row r="1540" spans="2:7" ht="15" x14ac:dyDescent="0.25">
      <c r="B1540" s="7"/>
      <c r="C1540" s="7"/>
      <c r="D1540" s="7"/>
      <c r="E1540" s="7"/>
      <c r="F1540" s="7"/>
      <c r="G1540" s="7"/>
    </row>
    <row r="1541" spans="2:7" ht="15" x14ac:dyDescent="0.25">
      <c r="B1541" s="7"/>
      <c r="C1541" s="7"/>
      <c r="D1541" s="7"/>
      <c r="E1541" s="7"/>
      <c r="F1541" s="7"/>
      <c r="G1541" s="7"/>
    </row>
    <row r="1542" spans="2:7" ht="15" x14ac:dyDescent="0.25">
      <c r="B1542" s="7"/>
      <c r="C1542" s="7"/>
      <c r="D1542" s="7"/>
      <c r="E1542" s="7"/>
      <c r="F1542" s="7"/>
      <c r="G1542" s="7"/>
    </row>
    <row r="1543" spans="2:7" ht="15" x14ac:dyDescent="0.25">
      <c r="B1543" s="7"/>
      <c r="C1543" s="7"/>
      <c r="D1543" s="7"/>
      <c r="E1543" s="7"/>
      <c r="F1543" s="7"/>
      <c r="G1543" s="7"/>
    </row>
    <row r="1544" spans="2:7" ht="15" x14ac:dyDescent="0.25">
      <c r="B1544" s="7"/>
      <c r="C1544" s="7"/>
      <c r="D1544" s="7"/>
      <c r="E1544" s="7"/>
      <c r="F1544" s="7"/>
      <c r="G1544" s="7"/>
    </row>
    <row r="1545" spans="2:7" ht="15" x14ac:dyDescent="0.25">
      <c r="B1545" s="7"/>
      <c r="C1545" s="7"/>
      <c r="D1545" s="7"/>
      <c r="E1545" s="7"/>
      <c r="F1545" s="7"/>
      <c r="G1545" s="7"/>
    </row>
    <row r="1546" spans="2:7" ht="15" x14ac:dyDescent="0.25">
      <c r="B1546" s="7"/>
      <c r="C1546" s="7"/>
      <c r="D1546" s="7"/>
      <c r="E1546" s="7"/>
      <c r="F1546" s="7"/>
      <c r="G1546" s="7"/>
    </row>
    <row r="1547" spans="2:7" ht="15" x14ac:dyDescent="0.25">
      <c r="B1547" s="7"/>
      <c r="C1547" s="7"/>
      <c r="D1547" s="7"/>
      <c r="E1547" s="7"/>
      <c r="F1547" s="7"/>
      <c r="G1547" s="7"/>
    </row>
    <row r="1548" spans="2:7" ht="15" x14ac:dyDescent="0.25">
      <c r="B1548" s="7"/>
      <c r="C1548" s="7"/>
      <c r="D1548" s="7"/>
      <c r="E1548" s="7"/>
      <c r="F1548" s="7"/>
      <c r="G1548" s="7"/>
    </row>
    <row r="1549" spans="2:7" ht="15" x14ac:dyDescent="0.25">
      <c r="B1549" s="7"/>
      <c r="C1549" s="7"/>
      <c r="D1549" s="7"/>
      <c r="E1549" s="7"/>
      <c r="F1549" s="7"/>
      <c r="G1549" s="7"/>
    </row>
    <row r="1550" spans="2:7" ht="15" x14ac:dyDescent="0.25">
      <c r="B1550" s="7"/>
      <c r="C1550" s="7"/>
      <c r="D1550" s="7"/>
      <c r="E1550" s="7"/>
      <c r="F1550" s="7"/>
      <c r="G1550" s="7"/>
    </row>
    <row r="1551" spans="2:7" ht="15" x14ac:dyDescent="0.25">
      <c r="B1551" s="7"/>
      <c r="C1551" s="7"/>
      <c r="D1551" s="7"/>
      <c r="E1551" s="7"/>
      <c r="F1551" s="7"/>
      <c r="G1551" s="7"/>
    </row>
    <row r="1552" spans="2:7" ht="15" x14ac:dyDescent="0.25">
      <c r="B1552" s="7"/>
      <c r="C1552" s="7"/>
      <c r="D1552" s="7"/>
      <c r="E1552" s="7"/>
      <c r="F1552" s="7"/>
      <c r="G1552" s="7"/>
    </row>
    <row r="1553" spans="2:7" ht="15" x14ac:dyDescent="0.25">
      <c r="B1553" s="7"/>
      <c r="C1553" s="7"/>
      <c r="D1553" s="7"/>
      <c r="E1553" s="7"/>
      <c r="F1553" s="7"/>
      <c r="G1553" s="7"/>
    </row>
    <row r="1554" spans="2:7" ht="15" x14ac:dyDescent="0.25">
      <c r="B1554" s="7"/>
      <c r="C1554" s="7"/>
      <c r="D1554" s="7"/>
      <c r="E1554" s="7"/>
      <c r="F1554" s="7"/>
      <c r="G1554" s="7"/>
    </row>
    <row r="1555" spans="2:7" ht="15" x14ac:dyDescent="0.25">
      <c r="B1555" s="7"/>
      <c r="C1555" s="7"/>
      <c r="D1555" s="7"/>
      <c r="E1555" s="7"/>
      <c r="F1555" s="7"/>
      <c r="G1555" s="7"/>
    </row>
    <row r="1556" spans="2:7" ht="15" x14ac:dyDescent="0.25">
      <c r="B1556" s="7"/>
      <c r="C1556" s="7"/>
      <c r="D1556" s="7"/>
      <c r="E1556" s="7"/>
      <c r="F1556" s="7"/>
      <c r="G1556" s="7"/>
    </row>
    <row r="1557" spans="2:7" ht="15" x14ac:dyDescent="0.25">
      <c r="B1557" s="7"/>
      <c r="C1557" s="7"/>
      <c r="D1557" s="7"/>
      <c r="E1557" s="7"/>
      <c r="F1557" s="7"/>
      <c r="G1557" s="7"/>
    </row>
    <row r="1558" spans="2:7" ht="15" x14ac:dyDescent="0.25">
      <c r="B1558" s="7"/>
      <c r="C1558" s="7"/>
      <c r="D1558" s="7"/>
      <c r="E1558" s="7"/>
      <c r="F1558" s="7"/>
      <c r="G1558" s="7"/>
    </row>
    <row r="1559" spans="2:7" ht="15" x14ac:dyDescent="0.25">
      <c r="B1559" s="7"/>
      <c r="C1559" s="7"/>
      <c r="D1559" s="7"/>
      <c r="E1559" s="7"/>
      <c r="F1559" s="7"/>
      <c r="G1559" s="7"/>
    </row>
    <row r="1560" spans="2:7" ht="15" x14ac:dyDescent="0.25">
      <c r="B1560" s="7"/>
      <c r="C1560" s="7"/>
      <c r="D1560" s="7"/>
      <c r="E1560" s="7"/>
      <c r="F1560" s="7"/>
      <c r="G1560" s="7"/>
    </row>
    <row r="1561" spans="2:7" ht="15" x14ac:dyDescent="0.25">
      <c r="B1561" s="7"/>
      <c r="C1561" s="7"/>
      <c r="D1561" s="7"/>
      <c r="E1561" s="7"/>
      <c r="F1561" s="7"/>
      <c r="G1561" s="7"/>
    </row>
    <row r="1562" spans="2:7" ht="15" x14ac:dyDescent="0.25">
      <c r="B1562" s="7"/>
      <c r="C1562" s="7"/>
      <c r="D1562" s="7"/>
      <c r="E1562" s="7"/>
      <c r="F1562" s="7"/>
      <c r="G1562" s="7"/>
    </row>
    <row r="1563" spans="2:7" ht="15" x14ac:dyDescent="0.25">
      <c r="B1563" s="7"/>
      <c r="C1563" s="7"/>
      <c r="D1563" s="7"/>
      <c r="E1563" s="7"/>
      <c r="F1563" s="7"/>
      <c r="G1563" s="7"/>
    </row>
    <row r="1564" spans="2:7" ht="15" x14ac:dyDescent="0.25">
      <c r="B1564" s="7"/>
      <c r="C1564" s="7"/>
      <c r="D1564" s="7"/>
      <c r="E1564" s="7"/>
      <c r="F1564" s="7"/>
      <c r="G1564" s="7"/>
    </row>
    <row r="1565" spans="2:7" ht="15" x14ac:dyDescent="0.25">
      <c r="B1565" s="7"/>
      <c r="C1565" s="7"/>
      <c r="D1565" s="7"/>
      <c r="E1565" s="7"/>
      <c r="F1565" s="7"/>
      <c r="G1565" s="7"/>
    </row>
    <row r="1566" spans="2:7" ht="15" x14ac:dyDescent="0.25">
      <c r="B1566" s="7"/>
      <c r="C1566" s="7"/>
      <c r="D1566" s="7"/>
      <c r="E1566" s="7"/>
      <c r="F1566" s="7"/>
      <c r="G1566" s="7"/>
    </row>
    <row r="1567" spans="2:7" ht="15" x14ac:dyDescent="0.25">
      <c r="B1567" s="7"/>
      <c r="C1567" s="7"/>
      <c r="D1567" s="7"/>
      <c r="E1567" s="7"/>
      <c r="F1567" s="7"/>
      <c r="G1567" s="7"/>
    </row>
    <row r="1568" spans="2:7" ht="15" x14ac:dyDescent="0.25">
      <c r="B1568" s="7"/>
      <c r="C1568" s="7"/>
      <c r="D1568" s="7"/>
      <c r="E1568" s="7"/>
      <c r="F1568" s="7"/>
      <c r="G1568" s="7"/>
    </row>
    <row r="1569" spans="2:7" ht="15" x14ac:dyDescent="0.25">
      <c r="B1569" s="7"/>
      <c r="C1569" s="7"/>
      <c r="D1569" s="7"/>
      <c r="E1569" s="7"/>
      <c r="F1569" s="7"/>
      <c r="G1569" s="7"/>
    </row>
    <row r="1570" spans="2:7" ht="15" x14ac:dyDescent="0.25">
      <c r="B1570" s="7"/>
      <c r="C1570" s="7"/>
      <c r="D1570" s="7"/>
      <c r="E1570" s="7"/>
      <c r="F1570" s="7"/>
      <c r="G1570" s="7"/>
    </row>
    <row r="1571" spans="2:7" ht="15" x14ac:dyDescent="0.25">
      <c r="B1571" s="7"/>
      <c r="C1571" s="7"/>
      <c r="D1571" s="7"/>
      <c r="E1571" s="7"/>
      <c r="F1571" s="7"/>
      <c r="G1571" s="7"/>
    </row>
    <row r="1572" spans="2:7" ht="15" x14ac:dyDescent="0.25">
      <c r="B1572" s="7"/>
      <c r="C1572" s="7"/>
      <c r="D1572" s="7"/>
      <c r="E1572" s="7"/>
      <c r="F1572" s="7"/>
      <c r="G1572" s="7"/>
    </row>
    <row r="1573" spans="2:7" ht="15" x14ac:dyDescent="0.25">
      <c r="B1573" s="7"/>
      <c r="C1573" s="7"/>
      <c r="D1573" s="7"/>
      <c r="E1573" s="7"/>
      <c r="F1573" s="7"/>
      <c r="G1573" s="7"/>
    </row>
    <row r="1574" spans="2:7" ht="15" x14ac:dyDescent="0.25">
      <c r="B1574" s="7"/>
      <c r="C1574" s="7"/>
      <c r="D1574" s="7"/>
      <c r="E1574" s="7"/>
      <c r="F1574" s="7"/>
      <c r="G1574" s="7"/>
    </row>
    <row r="1575" spans="2:7" ht="15" x14ac:dyDescent="0.25">
      <c r="B1575" s="7"/>
      <c r="C1575" s="7"/>
      <c r="D1575" s="7"/>
      <c r="E1575" s="7"/>
      <c r="F1575" s="7"/>
      <c r="G1575" s="7"/>
    </row>
    <row r="1576" spans="2:7" ht="15" x14ac:dyDescent="0.25">
      <c r="B1576" s="7"/>
      <c r="C1576" s="7"/>
      <c r="D1576" s="7"/>
      <c r="E1576" s="7"/>
      <c r="F1576" s="7"/>
      <c r="G1576" s="7"/>
    </row>
    <row r="1577" spans="2:7" ht="15" x14ac:dyDescent="0.25">
      <c r="B1577" s="7"/>
      <c r="C1577" s="7"/>
      <c r="D1577" s="7"/>
      <c r="E1577" s="7"/>
      <c r="F1577" s="7"/>
      <c r="G1577" s="7"/>
    </row>
    <row r="1578" spans="2:7" ht="15" x14ac:dyDescent="0.25">
      <c r="B1578" s="7"/>
      <c r="C1578" s="7"/>
      <c r="D1578" s="7"/>
      <c r="E1578" s="7"/>
      <c r="F1578" s="7"/>
      <c r="G1578" s="7"/>
    </row>
    <row r="1579" spans="2:7" ht="15" x14ac:dyDescent="0.25">
      <c r="B1579" s="7"/>
      <c r="C1579" s="7"/>
      <c r="D1579" s="7"/>
      <c r="E1579" s="7"/>
      <c r="F1579" s="7"/>
      <c r="G1579" s="7"/>
    </row>
    <row r="1580" spans="2:7" ht="15" x14ac:dyDescent="0.25">
      <c r="B1580" s="7"/>
      <c r="C1580" s="7"/>
      <c r="D1580" s="7"/>
      <c r="E1580" s="7"/>
      <c r="F1580" s="7"/>
      <c r="G1580" s="7"/>
    </row>
    <row r="1581" spans="2:7" ht="15" x14ac:dyDescent="0.25">
      <c r="B1581" s="7"/>
      <c r="C1581" s="7"/>
      <c r="D1581" s="7"/>
      <c r="E1581" s="7"/>
      <c r="F1581" s="7"/>
      <c r="G1581" s="7"/>
    </row>
    <row r="1582" spans="2:7" ht="15" x14ac:dyDescent="0.25">
      <c r="B1582" s="7"/>
      <c r="C1582" s="7"/>
      <c r="D1582" s="7"/>
      <c r="E1582" s="7"/>
      <c r="F1582" s="7"/>
      <c r="G1582" s="7"/>
    </row>
    <row r="1583" spans="2:7" ht="15" x14ac:dyDescent="0.25">
      <c r="B1583" s="7"/>
      <c r="C1583" s="7"/>
      <c r="D1583" s="7"/>
      <c r="E1583" s="7"/>
      <c r="F1583" s="7"/>
      <c r="G1583" s="7"/>
    </row>
    <row r="1584" spans="2:7" ht="15" x14ac:dyDescent="0.25">
      <c r="B1584" s="7"/>
      <c r="C1584" s="7"/>
      <c r="D1584" s="7"/>
      <c r="E1584" s="7"/>
      <c r="F1584" s="7"/>
      <c r="G1584" s="7"/>
    </row>
    <row r="1585" spans="2:7" ht="15" x14ac:dyDescent="0.25">
      <c r="B1585" s="7"/>
      <c r="C1585" s="7"/>
      <c r="D1585" s="7"/>
      <c r="E1585" s="7"/>
      <c r="F1585" s="7"/>
      <c r="G1585" s="7"/>
    </row>
    <row r="1586" spans="2:7" ht="15" x14ac:dyDescent="0.25">
      <c r="B1586" s="7"/>
      <c r="C1586" s="7"/>
      <c r="D1586" s="7"/>
      <c r="E1586" s="7"/>
      <c r="F1586" s="7"/>
      <c r="G1586" s="7"/>
    </row>
    <row r="1587" spans="2:7" ht="15" x14ac:dyDescent="0.25">
      <c r="B1587" s="7"/>
      <c r="C1587" s="7"/>
      <c r="D1587" s="7"/>
      <c r="E1587" s="7"/>
      <c r="F1587" s="7"/>
      <c r="G1587" s="7"/>
    </row>
    <row r="1588" spans="2:7" ht="15" x14ac:dyDescent="0.25">
      <c r="B1588" s="7"/>
      <c r="C1588" s="7"/>
      <c r="D1588" s="7"/>
      <c r="E1588" s="7"/>
      <c r="F1588" s="7"/>
      <c r="G1588" s="7"/>
    </row>
    <row r="1589" spans="2:7" ht="15" x14ac:dyDescent="0.25">
      <c r="B1589" s="7"/>
      <c r="C1589" s="7"/>
      <c r="D1589" s="7"/>
      <c r="E1589" s="7"/>
      <c r="F1589" s="7"/>
      <c r="G1589" s="7"/>
    </row>
    <row r="1590" spans="2:7" ht="15" x14ac:dyDescent="0.25">
      <c r="B1590" s="7"/>
      <c r="C1590" s="7"/>
      <c r="D1590" s="7"/>
      <c r="E1590" s="7"/>
      <c r="F1590" s="7"/>
      <c r="G1590" s="7"/>
    </row>
    <row r="1591" spans="2:7" ht="15" x14ac:dyDescent="0.25">
      <c r="B1591" s="7"/>
      <c r="C1591" s="7"/>
      <c r="D1591" s="7"/>
      <c r="E1591" s="7"/>
      <c r="F1591" s="7"/>
      <c r="G1591" s="7"/>
    </row>
    <row r="1592" spans="2:7" ht="15" x14ac:dyDescent="0.25">
      <c r="B1592" s="7"/>
      <c r="C1592" s="7"/>
      <c r="D1592" s="7"/>
      <c r="E1592" s="7"/>
      <c r="F1592" s="7"/>
      <c r="G1592" s="7"/>
    </row>
    <row r="1593" spans="2:7" ht="15" x14ac:dyDescent="0.25">
      <c r="B1593" s="7"/>
      <c r="C1593" s="7"/>
      <c r="D1593" s="7"/>
      <c r="E1593" s="7"/>
      <c r="F1593" s="7"/>
      <c r="G1593" s="7"/>
    </row>
    <row r="1594" spans="2:7" ht="15" x14ac:dyDescent="0.25">
      <c r="B1594" s="7"/>
      <c r="C1594" s="7"/>
      <c r="D1594" s="7"/>
      <c r="E1594" s="7"/>
      <c r="F1594" s="7"/>
      <c r="G1594" s="7"/>
    </row>
    <row r="1595" spans="2:7" ht="15" x14ac:dyDescent="0.25">
      <c r="B1595" s="7"/>
      <c r="C1595" s="7"/>
      <c r="D1595" s="7"/>
      <c r="E1595" s="7"/>
      <c r="F1595" s="7"/>
      <c r="G1595" s="7"/>
    </row>
    <row r="1596" spans="2:7" ht="15" x14ac:dyDescent="0.25">
      <c r="B1596" s="7"/>
      <c r="C1596" s="7"/>
      <c r="D1596" s="7"/>
      <c r="E1596" s="7"/>
      <c r="F1596" s="7"/>
      <c r="G1596" s="7"/>
    </row>
    <row r="1597" spans="2:7" ht="15" x14ac:dyDescent="0.25">
      <c r="B1597" s="7"/>
      <c r="C1597" s="7"/>
      <c r="D1597" s="7"/>
      <c r="E1597" s="7"/>
      <c r="F1597" s="7"/>
      <c r="G1597" s="7"/>
    </row>
    <row r="1598" spans="2:7" ht="15" x14ac:dyDescent="0.25">
      <c r="B1598" s="7"/>
      <c r="C1598" s="7"/>
      <c r="D1598" s="7"/>
      <c r="E1598" s="7"/>
      <c r="F1598" s="7"/>
      <c r="G1598" s="7"/>
    </row>
    <row r="1599" spans="2:7" ht="15" x14ac:dyDescent="0.25">
      <c r="B1599" s="7"/>
      <c r="C1599" s="7"/>
      <c r="D1599" s="7"/>
      <c r="E1599" s="7"/>
      <c r="F1599" s="7"/>
      <c r="G1599" s="7"/>
    </row>
    <row r="1600" spans="2:7" ht="15" x14ac:dyDescent="0.25">
      <c r="B1600" s="7"/>
      <c r="C1600" s="7"/>
      <c r="D1600" s="7"/>
      <c r="E1600" s="7"/>
      <c r="F1600" s="7"/>
      <c r="G1600" s="7"/>
    </row>
    <row r="1601" spans="2:7" ht="15" x14ac:dyDescent="0.25">
      <c r="B1601" s="7"/>
      <c r="C1601" s="7"/>
      <c r="D1601" s="7"/>
      <c r="E1601" s="7"/>
      <c r="F1601" s="7"/>
      <c r="G1601" s="7"/>
    </row>
    <row r="1602" spans="2:7" ht="15" x14ac:dyDescent="0.25">
      <c r="B1602" s="7"/>
      <c r="C1602" s="7"/>
      <c r="D1602" s="7"/>
      <c r="E1602" s="7"/>
      <c r="F1602" s="7"/>
      <c r="G1602" s="7"/>
    </row>
    <row r="1603" spans="2:7" ht="15" x14ac:dyDescent="0.25">
      <c r="B1603" s="7"/>
      <c r="C1603" s="7"/>
      <c r="D1603" s="7"/>
      <c r="E1603" s="7"/>
      <c r="F1603" s="7"/>
      <c r="G1603" s="7"/>
    </row>
    <row r="1604" spans="2:7" ht="15" x14ac:dyDescent="0.25">
      <c r="B1604" s="7"/>
      <c r="C1604" s="7"/>
      <c r="D1604" s="7"/>
      <c r="E1604" s="7"/>
      <c r="F1604" s="7"/>
      <c r="G1604" s="7"/>
    </row>
    <row r="1605" spans="2:7" ht="15" x14ac:dyDescent="0.25">
      <c r="B1605" s="7"/>
      <c r="C1605" s="7"/>
      <c r="D1605" s="7"/>
      <c r="E1605" s="7"/>
      <c r="F1605" s="7"/>
      <c r="G1605" s="7"/>
    </row>
    <row r="1606" spans="2:7" ht="15" x14ac:dyDescent="0.25">
      <c r="B1606" s="7"/>
      <c r="C1606" s="7"/>
      <c r="D1606" s="7"/>
      <c r="E1606" s="7"/>
      <c r="F1606" s="7"/>
      <c r="G1606" s="7"/>
    </row>
    <row r="1607" spans="2:7" ht="15" x14ac:dyDescent="0.25">
      <c r="B1607" s="7"/>
      <c r="C1607" s="7"/>
      <c r="D1607" s="7"/>
      <c r="E1607" s="7"/>
      <c r="F1607" s="7"/>
      <c r="G1607" s="7"/>
    </row>
    <row r="1608" spans="2:7" ht="15" x14ac:dyDescent="0.25">
      <c r="B1608" s="7"/>
      <c r="C1608" s="7"/>
      <c r="D1608" s="7"/>
      <c r="E1608" s="7"/>
      <c r="F1608" s="7"/>
      <c r="G1608" s="7"/>
    </row>
    <row r="1609" spans="2:7" ht="15" x14ac:dyDescent="0.25">
      <c r="B1609" s="7"/>
      <c r="C1609" s="7"/>
      <c r="D1609" s="7"/>
      <c r="E1609" s="7"/>
      <c r="F1609" s="7"/>
      <c r="G1609" s="7"/>
    </row>
    <row r="1610" spans="2:7" ht="15" x14ac:dyDescent="0.25">
      <c r="B1610" s="7"/>
      <c r="C1610" s="7"/>
      <c r="D1610" s="7"/>
      <c r="E1610" s="7"/>
      <c r="F1610" s="7"/>
      <c r="G1610" s="7"/>
    </row>
    <row r="1611" spans="2:7" ht="15" x14ac:dyDescent="0.25">
      <c r="B1611" s="7"/>
      <c r="C1611" s="7"/>
      <c r="D1611" s="7"/>
      <c r="E1611" s="7"/>
      <c r="F1611" s="7"/>
      <c r="G1611" s="7"/>
    </row>
    <row r="1612" spans="2:7" ht="15" x14ac:dyDescent="0.25">
      <c r="B1612" s="7"/>
      <c r="C1612" s="7"/>
      <c r="D1612" s="7"/>
      <c r="E1612" s="7"/>
      <c r="F1612" s="7"/>
      <c r="G1612" s="7"/>
    </row>
    <row r="1613" spans="2:7" ht="15" x14ac:dyDescent="0.25">
      <c r="B1613" s="7"/>
      <c r="C1613" s="7"/>
      <c r="D1613" s="7"/>
      <c r="E1613" s="7"/>
      <c r="F1613" s="7"/>
      <c r="G1613" s="7"/>
    </row>
    <row r="1614" spans="2:7" ht="15" x14ac:dyDescent="0.25">
      <c r="B1614" s="7"/>
      <c r="C1614" s="7"/>
      <c r="D1614" s="7"/>
      <c r="E1614" s="7"/>
      <c r="F1614" s="7"/>
      <c r="G1614" s="7"/>
    </row>
    <row r="1615" spans="2:7" ht="15" x14ac:dyDescent="0.25">
      <c r="B1615" s="7"/>
      <c r="C1615" s="7"/>
      <c r="D1615" s="7"/>
      <c r="E1615" s="7"/>
      <c r="F1615" s="7"/>
      <c r="G1615" s="7"/>
    </row>
    <row r="1616" spans="2:7" ht="15" x14ac:dyDescent="0.25">
      <c r="B1616" s="7"/>
      <c r="C1616" s="7"/>
      <c r="D1616" s="7"/>
      <c r="E1616" s="7"/>
      <c r="F1616" s="7"/>
      <c r="G1616" s="7"/>
    </row>
    <row r="1617" spans="2:7" ht="15" x14ac:dyDescent="0.25">
      <c r="B1617" s="7"/>
      <c r="C1617" s="7"/>
      <c r="D1617" s="7"/>
      <c r="E1617" s="7"/>
      <c r="F1617" s="7"/>
      <c r="G1617" s="7"/>
    </row>
    <row r="1618" spans="2:7" ht="15" x14ac:dyDescent="0.25">
      <c r="B1618" s="7"/>
      <c r="C1618" s="7"/>
      <c r="D1618" s="7"/>
      <c r="E1618" s="7"/>
      <c r="F1618" s="7"/>
      <c r="G1618" s="7"/>
    </row>
    <row r="1619" spans="2:7" ht="15" x14ac:dyDescent="0.25">
      <c r="B1619" s="7"/>
      <c r="C1619" s="7"/>
      <c r="D1619" s="7"/>
      <c r="E1619" s="7"/>
      <c r="F1619" s="7"/>
      <c r="G1619" s="7"/>
    </row>
    <row r="1620" spans="2:7" ht="15" x14ac:dyDescent="0.25">
      <c r="B1620" s="7"/>
      <c r="C1620" s="7"/>
      <c r="D1620" s="7"/>
      <c r="E1620" s="7"/>
      <c r="F1620" s="7"/>
      <c r="G1620" s="7"/>
    </row>
    <row r="1621" spans="2:7" ht="15" x14ac:dyDescent="0.25">
      <c r="B1621" s="7"/>
      <c r="C1621" s="7"/>
      <c r="D1621" s="7"/>
      <c r="E1621" s="7"/>
      <c r="F1621" s="7"/>
      <c r="G1621" s="7"/>
    </row>
    <row r="1622" spans="2:7" ht="15" x14ac:dyDescent="0.25">
      <c r="B1622" s="7"/>
      <c r="C1622" s="7"/>
      <c r="D1622" s="7"/>
      <c r="E1622" s="7"/>
      <c r="F1622" s="7"/>
      <c r="G1622" s="7"/>
    </row>
    <row r="1623" spans="2:7" ht="15" x14ac:dyDescent="0.25">
      <c r="B1623" s="7"/>
      <c r="C1623" s="7"/>
      <c r="D1623" s="7"/>
      <c r="E1623" s="7"/>
      <c r="F1623" s="7"/>
      <c r="G1623" s="7"/>
    </row>
    <row r="1624" spans="2:7" ht="15" x14ac:dyDescent="0.25">
      <c r="B1624" s="7"/>
      <c r="C1624" s="7"/>
      <c r="D1624" s="7"/>
      <c r="E1624" s="7"/>
      <c r="F1624" s="7"/>
      <c r="G1624" s="7"/>
    </row>
    <row r="1625" spans="2:7" ht="15" x14ac:dyDescent="0.25">
      <c r="B1625" s="7"/>
      <c r="C1625" s="7"/>
      <c r="D1625" s="7"/>
      <c r="E1625" s="7"/>
      <c r="F1625" s="7"/>
      <c r="G1625" s="7"/>
    </row>
    <row r="1626" spans="2:7" ht="15" x14ac:dyDescent="0.25">
      <c r="B1626" s="7"/>
      <c r="C1626" s="7"/>
      <c r="D1626" s="7"/>
      <c r="E1626" s="7"/>
      <c r="F1626" s="7"/>
      <c r="G1626" s="7"/>
    </row>
    <row r="1627" spans="2:7" ht="15" x14ac:dyDescent="0.25">
      <c r="B1627" s="7"/>
      <c r="C1627" s="7"/>
      <c r="D1627" s="7"/>
      <c r="E1627" s="7"/>
      <c r="F1627" s="7"/>
      <c r="G1627" s="7"/>
    </row>
    <row r="1628" spans="2:7" ht="15" x14ac:dyDescent="0.25">
      <c r="B1628" s="7"/>
      <c r="C1628" s="7"/>
      <c r="D1628" s="7"/>
      <c r="E1628" s="7"/>
      <c r="F1628" s="7"/>
      <c r="G1628" s="7"/>
    </row>
    <row r="1629" spans="2:7" ht="15" x14ac:dyDescent="0.25">
      <c r="B1629" s="7"/>
      <c r="C1629" s="7"/>
      <c r="D1629" s="7"/>
      <c r="E1629" s="7"/>
      <c r="F1629" s="7"/>
      <c r="G1629" s="7"/>
    </row>
    <row r="1630" spans="2:7" ht="15" x14ac:dyDescent="0.25">
      <c r="B1630" s="7"/>
      <c r="C1630" s="7"/>
      <c r="D1630" s="7"/>
      <c r="E1630" s="7"/>
      <c r="F1630" s="7"/>
      <c r="G1630" s="7"/>
    </row>
    <row r="1631" spans="2:7" ht="15" x14ac:dyDescent="0.25">
      <c r="B1631" s="7"/>
      <c r="C1631" s="7"/>
      <c r="D1631" s="7"/>
      <c r="E1631" s="7"/>
      <c r="F1631" s="7"/>
      <c r="G1631" s="7"/>
    </row>
    <row r="1632" spans="2:7" ht="15" x14ac:dyDescent="0.25">
      <c r="B1632" s="7"/>
      <c r="C1632" s="7"/>
      <c r="D1632" s="7"/>
      <c r="E1632" s="7"/>
      <c r="F1632" s="7"/>
      <c r="G1632" s="7"/>
    </row>
    <row r="1633" spans="2:7" ht="15" x14ac:dyDescent="0.25">
      <c r="B1633" s="7"/>
      <c r="C1633" s="7"/>
      <c r="D1633" s="7"/>
      <c r="E1633" s="7"/>
      <c r="F1633" s="7"/>
      <c r="G1633" s="7"/>
    </row>
    <row r="1634" spans="2:7" ht="15" x14ac:dyDescent="0.25">
      <c r="B1634" s="7"/>
      <c r="C1634" s="7"/>
      <c r="D1634" s="7"/>
      <c r="E1634" s="7"/>
      <c r="F1634" s="7"/>
      <c r="G1634" s="7"/>
    </row>
    <row r="1635" spans="2:7" ht="15" x14ac:dyDescent="0.25">
      <c r="B1635" s="7"/>
      <c r="C1635" s="7"/>
      <c r="D1635" s="7"/>
      <c r="E1635" s="7"/>
      <c r="F1635" s="7"/>
      <c r="G1635" s="7"/>
    </row>
    <row r="1636" spans="2:7" ht="15" x14ac:dyDescent="0.25">
      <c r="B1636" s="7"/>
      <c r="C1636" s="7"/>
      <c r="D1636" s="7"/>
      <c r="E1636" s="7"/>
      <c r="F1636" s="7"/>
      <c r="G1636" s="7"/>
    </row>
    <row r="1637" spans="2:7" ht="15" x14ac:dyDescent="0.25">
      <c r="B1637" s="7"/>
      <c r="C1637" s="7"/>
      <c r="D1637" s="7"/>
      <c r="E1637" s="7"/>
      <c r="F1637" s="7"/>
      <c r="G1637" s="7"/>
    </row>
    <row r="1638" spans="2:7" ht="15" x14ac:dyDescent="0.25">
      <c r="B1638" s="7"/>
      <c r="C1638" s="7"/>
      <c r="D1638" s="7"/>
      <c r="E1638" s="7"/>
      <c r="F1638" s="7"/>
      <c r="G1638" s="7"/>
    </row>
    <row r="1639" spans="2:7" ht="15" x14ac:dyDescent="0.25">
      <c r="B1639" s="7"/>
      <c r="C1639" s="7"/>
      <c r="D1639" s="7"/>
      <c r="E1639" s="7"/>
      <c r="F1639" s="7"/>
      <c r="G1639" s="7"/>
    </row>
    <row r="1640" spans="2:7" ht="15" x14ac:dyDescent="0.25">
      <c r="B1640" s="7"/>
      <c r="C1640" s="7"/>
      <c r="D1640" s="7"/>
      <c r="E1640" s="7"/>
      <c r="F1640" s="7"/>
      <c r="G1640" s="7"/>
    </row>
    <row r="1641" spans="2:7" ht="15" x14ac:dyDescent="0.25">
      <c r="B1641" s="7"/>
      <c r="C1641" s="7"/>
      <c r="D1641" s="7"/>
      <c r="E1641" s="7"/>
      <c r="F1641" s="7"/>
      <c r="G1641" s="7"/>
    </row>
    <row r="1642" spans="2:7" ht="15" x14ac:dyDescent="0.25">
      <c r="B1642" s="7"/>
      <c r="C1642" s="7"/>
      <c r="D1642" s="7"/>
      <c r="E1642" s="7"/>
      <c r="F1642" s="7"/>
      <c r="G1642" s="7"/>
    </row>
    <row r="1643" spans="2:7" ht="15" x14ac:dyDescent="0.25">
      <c r="B1643" s="7"/>
      <c r="C1643" s="7"/>
      <c r="D1643" s="7"/>
      <c r="E1643" s="7"/>
      <c r="F1643" s="7"/>
      <c r="G1643" s="7"/>
    </row>
    <row r="1644" spans="2:7" ht="15" x14ac:dyDescent="0.25">
      <c r="B1644" s="7"/>
      <c r="C1644" s="7"/>
      <c r="D1644" s="7"/>
      <c r="E1644" s="7"/>
      <c r="F1644" s="7"/>
      <c r="G1644" s="7"/>
    </row>
    <row r="1645" spans="2:7" ht="15" x14ac:dyDescent="0.25">
      <c r="B1645" s="7"/>
      <c r="C1645" s="7"/>
      <c r="D1645" s="7"/>
      <c r="E1645" s="7"/>
      <c r="F1645" s="7"/>
      <c r="G1645" s="7"/>
    </row>
    <row r="1646" spans="2:7" ht="15" x14ac:dyDescent="0.25">
      <c r="B1646" s="7"/>
      <c r="C1646" s="7"/>
      <c r="D1646" s="7"/>
      <c r="E1646" s="7"/>
      <c r="F1646" s="7"/>
      <c r="G1646" s="7"/>
    </row>
    <row r="1647" spans="2:7" ht="15" x14ac:dyDescent="0.25">
      <c r="B1647" s="7"/>
      <c r="C1647" s="7"/>
      <c r="D1647" s="7"/>
      <c r="E1647" s="7"/>
      <c r="F1647" s="7"/>
      <c r="G1647" s="7"/>
    </row>
    <row r="1648" spans="2:7" ht="15" x14ac:dyDescent="0.25">
      <c r="B1648" s="7"/>
      <c r="C1648" s="7"/>
      <c r="D1648" s="7"/>
      <c r="E1648" s="7"/>
      <c r="F1648" s="7"/>
      <c r="G1648" s="7"/>
    </row>
    <row r="1649" spans="2:7" ht="15" x14ac:dyDescent="0.25">
      <c r="B1649" s="7"/>
      <c r="C1649" s="7"/>
      <c r="D1649" s="7"/>
      <c r="E1649" s="7"/>
      <c r="F1649" s="7"/>
      <c r="G1649" s="7"/>
    </row>
    <row r="1650" spans="2:7" ht="15" x14ac:dyDescent="0.25">
      <c r="B1650" s="7"/>
      <c r="C1650" s="7"/>
      <c r="D1650" s="7"/>
      <c r="E1650" s="7"/>
      <c r="F1650" s="7"/>
      <c r="G1650" s="7"/>
    </row>
    <row r="1651" spans="2:7" ht="15" x14ac:dyDescent="0.25">
      <c r="B1651" s="7"/>
      <c r="C1651" s="7"/>
      <c r="D1651" s="7"/>
      <c r="E1651" s="7"/>
      <c r="F1651" s="7"/>
      <c r="G1651" s="7"/>
    </row>
    <row r="1652" spans="2:7" ht="15" x14ac:dyDescent="0.25">
      <c r="B1652" s="7"/>
      <c r="C1652" s="7"/>
      <c r="D1652" s="7"/>
      <c r="E1652" s="7"/>
      <c r="F1652" s="7"/>
      <c r="G1652" s="7"/>
    </row>
    <row r="1653" spans="2:7" ht="15" x14ac:dyDescent="0.25">
      <c r="B1653" s="7"/>
      <c r="C1653" s="7"/>
      <c r="D1653" s="7"/>
      <c r="E1653" s="7"/>
      <c r="F1653" s="7"/>
      <c r="G1653" s="7"/>
    </row>
    <row r="1654" spans="2:7" ht="15" x14ac:dyDescent="0.25">
      <c r="B1654" s="7"/>
      <c r="C1654" s="7"/>
      <c r="D1654" s="7"/>
      <c r="E1654" s="7"/>
      <c r="F1654" s="7"/>
      <c r="G1654" s="7"/>
    </row>
    <row r="1655" spans="2:7" ht="15" x14ac:dyDescent="0.25">
      <c r="B1655" s="7"/>
      <c r="C1655" s="7"/>
      <c r="D1655" s="7"/>
      <c r="E1655" s="7"/>
      <c r="F1655" s="7"/>
      <c r="G1655" s="7"/>
    </row>
    <row r="1656" spans="2:7" ht="15" x14ac:dyDescent="0.25">
      <c r="B1656" s="7"/>
      <c r="C1656" s="7"/>
      <c r="D1656" s="7"/>
      <c r="E1656" s="7"/>
      <c r="F1656" s="7"/>
      <c r="G1656" s="7"/>
    </row>
    <row r="1657" spans="2:7" ht="15" x14ac:dyDescent="0.25">
      <c r="B1657" s="7"/>
      <c r="C1657" s="7"/>
      <c r="D1657" s="7"/>
      <c r="E1657" s="7"/>
      <c r="F1657" s="7"/>
      <c r="G1657" s="7"/>
    </row>
    <row r="1658" spans="2:7" ht="15" x14ac:dyDescent="0.25">
      <c r="B1658" s="7"/>
      <c r="C1658" s="7"/>
      <c r="D1658" s="7"/>
      <c r="E1658" s="7"/>
      <c r="F1658" s="7"/>
      <c r="G1658" s="7"/>
    </row>
    <row r="1659" spans="2:7" ht="15" x14ac:dyDescent="0.25">
      <c r="B1659" s="7"/>
      <c r="C1659" s="7"/>
      <c r="D1659" s="7"/>
      <c r="E1659" s="7"/>
      <c r="F1659" s="7"/>
      <c r="G1659" s="7"/>
    </row>
    <row r="1660" spans="2:7" ht="15" x14ac:dyDescent="0.25">
      <c r="B1660" s="7"/>
      <c r="C1660" s="7"/>
      <c r="D1660" s="7"/>
      <c r="E1660" s="7"/>
      <c r="F1660" s="7"/>
      <c r="G1660" s="7"/>
    </row>
    <row r="1661" spans="2:7" ht="15" x14ac:dyDescent="0.25">
      <c r="B1661" s="7"/>
      <c r="C1661" s="7"/>
      <c r="D1661" s="7"/>
      <c r="E1661" s="7"/>
      <c r="F1661" s="7"/>
      <c r="G1661" s="7"/>
    </row>
    <row r="1662" spans="2:7" ht="15" x14ac:dyDescent="0.25">
      <c r="B1662" s="7"/>
      <c r="C1662" s="7"/>
      <c r="D1662" s="7"/>
      <c r="E1662" s="7"/>
      <c r="F1662" s="7"/>
      <c r="G1662" s="7"/>
    </row>
    <row r="1663" spans="2:7" ht="15" x14ac:dyDescent="0.25">
      <c r="B1663" s="7"/>
      <c r="C1663" s="7"/>
      <c r="D1663" s="7"/>
      <c r="E1663" s="7"/>
      <c r="F1663" s="7"/>
      <c r="G1663" s="7"/>
    </row>
    <row r="1664" spans="2:7" ht="15" x14ac:dyDescent="0.25">
      <c r="B1664" s="7"/>
      <c r="C1664" s="7"/>
      <c r="D1664" s="7"/>
      <c r="E1664" s="7"/>
      <c r="F1664" s="7"/>
      <c r="G1664" s="7"/>
    </row>
    <row r="1665" spans="2:7" ht="15" x14ac:dyDescent="0.25">
      <c r="B1665" s="7"/>
      <c r="C1665" s="7"/>
      <c r="D1665" s="7"/>
      <c r="E1665" s="7"/>
      <c r="F1665" s="7"/>
      <c r="G1665" s="7"/>
    </row>
    <row r="1666" spans="2:7" ht="15" x14ac:dyDescent="0.25">
      <c r="B1666" s="7"/>
      <c r="C1666" s="7"/>
      <c r="D1666" s="7"/>
      <c r="E1666" s="7"/>
      <c r="F1666" s="7"/>
      <c r="G1666" s="7"/>
    </row>
    <row r="1667" spans="2:7" ht="15" x14ac:dyDescent="0.25">
      <c r="B1667" s="7"/>
      <c r="C1667" s="7"/>
      <c r="D1667" s="7"/>
      <c r="E1667" s="7"/>
      <c r="F1667" s="7"/>
      <c r="G1667" s="7"/>
    </row>
    <row r="1668" spans="2:7" ht="15" x14ac:dyDescent="0.25">
      <c r="B1668" s="7"/>
      <c r="C1668" s="7"/>
      <c r="D1668" s="7"/>
      <c r="E1668" s="7"/>
      <c r="F1668" s="7"/>
      <c r="G1668" s="7"/>
    </row>
    <row r="1669" spans="2:7" ht="15" x14ac:dyDescent="0.25">
      <c r="B1669" s="7"/>
      <c r="C1669" s="7"/>
      <c r="D1669" s="7"/>
      <c r="E1669" s="7"/>
      <c r="F1669" s="7"/>
      <c r="G1669" s="7"/>
    </row>
    <row r="1670" spans="2:7" ht="15" x14ac:dyDescent="0.25">
      <c r="B1670" s="7"/>
      <c r="C1670" s="7"/>
      <c r="D1670" s="7"/>
      <c r="E1670" s="7"/>
      <c r="F1670" s="7"/>
      <c r="G1670" s="7"/>
    </row>
    <row r="1671" spans="2:7" ht="15" x14ac:dyDescent="0.25">
      <c r="B1671" s="7"/>
      <c r="C1671" s="7"/>
      <c r="D1671" s="7"/>
      <c r="E1671" s="7"/>
      <c r="F1671" s="7"/>
      <c r="G1671" s="7"/>
    </row>
    <row r="1672" spans="2:7" ht="15" x14ac:dyDescent="0.25">
      <c r="B1672" s="7"/>
      <c r="C1672" s="7"/>
      <c r="D1672" s="7"/>
      <c r="E1672" s="7"/>
      <c r="F1672" s="7"/>
      <c r="G1672" s="7"/>
    </row>
    <row r="1673" spans="2:7" ht="15" x14ac:dyDescent="0.25">
      <c r="B1673" s="7"/>
      <c r="C1673" s="7"/>
      <c r="D1673" s="7"/>
      <c r="E1673" s="7"/>
      <c r="F1673" s="7"/>
      <c r="G1673" s="7"/>
    </row>
    <row r="1674" spans="2:7" ht="15" x14ac:dyDescent="0.25">
      <c r="B1674" s="7"/>
      <c r="C1674" s="7"/>
      <c r="D1674" s="7"/>
      <c r="E1674" s="7"/>
      <c r="F1674" s="7"/>
      <c r="G1674" s="7"/>
    </row>
    <row r="1675" spans="2:7" ht="15" x14ac:dyDescent="0.25">
      <c r="B1675" s="7"/>
      <c r="C1675" s="7"/>
      <c r="D1675" s="7"/>
      <c r="E1675" s="7"/>
      <c r="F1675" s="7"/>
      <c r="G1675" s="7"/>
    </row>
    <row r="1676" spans="2:7" ht="15" x14ac:dyDescent="0.25">
      <c r="B1676" s="7"/>
      <c r="C1676" s="7"/>
      <c r="D1676" s="7"/>
      <c r="E1676" s="7"/>
      <c r="F1676" s="7"/>
      <c r="G1676" s="7"/>
    </row>
    <row r="1677" spans="2:7" ht="15" x14ac:dyDescent="0.25">
      <c r="B1677" s="7"/>
      <c r="C1677" s="7"/>
      <c r="D1677" s="7"/>
      <c r="E1677" s="7"/>
      <c r="F1677" s="7"/>
      <c r="G1677" s="7"/>
    </row>
    <row r="1678" spans="2:7" ht="15" x14ac:dyDescent="0.25">
      <c r="B1678" s="7"/>
      <c r="C1678" s="7"/>
      <c r="D1678" s="7"/>
      <c r="E1678" s="7"/>
      <c r="F1678" s="7"/>
      <c r="G1678" s="7"/>
    </row>
    <row r="1679" spans="2:7" ht="15" x14ac:dyDescent="0.25">
      <c r="B1679" s="7"/>
      <c r="C1679" s="7"/>
      <c r="D1679" s="7"/>
      <c r="E1679" s="7"/>
      <c r="F1679" s="7"/>
      <c r="G1679" s="7"/>
    </row>
    <row r="1680" spans="2:7" ht="15" x14ac:dyDescent="0.25">
      <c r="B1680" s="7"/>
      <c r="C1680" s="7"/>
      <c r="D1680" s="7"/>
      <c r="E1680" s="7"/>
      <c r="F1680" s="7"/>
      <c r="G1680" s="7"/>
    </row>
    <row r="1681" spans="2:7" ht="15" x14ac:dyDescent="0.25">
      <c r="B1681" s="7"/>
      <c r="C1681" s="7"/>
      <c r="D1681" s="7"/>
      <c r="E1681" s="7"/>
      <c r="F1681" s="7"/>
      <c r="G1681" s="7"/>
    </row>
    <row r="1682" spans="2:7" ht="15" x14ac:dyDescent="0.25">
      <c r="B1682" s="7"/>
      <c r="C1682" s="7"/>
      <c r="D1682" s="7"/>
      <c r="E1682" s="7"/>
      <c r="F1682" s="7"/>
      <c r="G1682" s="7"/>
    </row>
    <row r="1683" spans="2:7" ht="15" x14ac:dyDescent="0.25">
      <c r="B1683" s="7"/>
      <c r="C1683" s="7"/>
      <c r="D1683" s="7"/>
      <c r="E1683" s="7"/>
      <c r="F1683" s="7"/>
      <c r="G1683" s="7"/>
    </row>
    <row r="1684" spans="2:7" ht="15" x14ac:dyDescent="0.25">
      <c r="B1684" s="7"/>
      <c r="C1684" s="7"/>
      <c r="D1684" s="7"/>
      <c r="E1684" s="7"/>
      <c r="F1684" s="7"/>
      <c r="G1684" s="7"/>
    </row>
    <row r="1685" spans="2:7" ht="15" x14ac:dyDescent="0.25">
      <c r="B1685" s="7"/>
      <c r="C1685" s="7"/>
      <c r="D1685" s="7"/>
      <c r="E1685" s="7"/>
      <c r="F1685" s="7"/>
      <c r="G1685" s="7"/>
    </row>
    <row r="1686" spans="2:7" ht="15" x14ac:dyDescent="0.25">
      <c r="B1686" s="7"/>
      <c r="C1686" s="7"/>
      <c r="D1686" s="7"/>
      <c r="E1686" s="7"/>
      <c r="F1686" s="7"/>
      <c r="G1686" s="7"/>
    </row>
    <row r="1687" spans="2:7" ht="15" x14ac:dyDescent="0.25">
      <c r="B1687" s="7"/>
      <c r="C1687" s="7"/>
      <c r="D1687" s="7"/>
      <c r="E1687" s="7"/>
      <c r="F1687" s="7"/>
      <c r="G1687" s="7"/>
    </row>
    <row r="1688" spans="2:7" ht="15" x14ac:dyDescent="0.25">
      <c r="B1688" s="7"/>
      <c r="C1688" s="7"/>
      <c r="D1688" s="7"/>
      <c r="E1688" s="7"/>
      <c r="F1688" s="7"/>
      <c r="G1688" s="7"/>
    </row>
    <row r="1689" spans="2:7" ht="15" x14ac:dyDescent="0.25">
      <c r="B1689" s="7"/>
      <c r="C1689" s="7"/>
      <c r="D1689" s="7"/>
      <c r="E1689" s="7"/>
      <c r="F1689" s="7"/>
      <c r="G1689" s="7"/>
    </row>
    <row r="1690" spans="2:7" ht="15" x14ac:dyDescent="0.25">
      <c r="B1690" s="7"/>
      <c r="C1690" s="7"/>
      <c r="D1690" s="7"/>
      <c r="E1690" s="7"/>
      <c r="F1690" s="7"/>
      <c r="G1690" s="7"/>
    </row>
    <row r="1691" spans="2:7" ht="15" x14ac:dyDescent="0.25">
      <c r="B1691" s="7"/>
      <c r="C1691" s="7"/>
      <c r="D1691" s="7"/>
      <c r="E1691" s="7"/>
      <c r="F1691" s="7"/>
      <c r="G1691" s="7"/>
    </row>
    <row r="1692" spans="2:7" ht="15" x14ac:dyDescent="0.25">
      <c r="B1692" s="7"/>
      <c r="C1692" s="7"/>
      <c r="D1692" s="7"/>
      <c r="E1692" s="7"/>
      <c r="F1692" s="7"/>
      <c r="G1692" s="7"/>
    </row>
    <row r="1693" spans="2:7" ht="15" x14ac:dyDescent="0.25">
      <c r="B1693" s="7"/>
      <c r="C1693" s="7"/>
      <c r="D1693" s="7"/>
      <c r="E1693" s="7"/>
      <c r="F1693" s="7"/>
      <c r="G1693" s="7"/>
    </row>
    <row r="1694" spans="2:7" ht="15" x14ac:dyDescent="0.25">
      <c r="B1694" s="7"/>
      <c r="C1694" s="7"/>
      <c r="D1694" s="7"/>
      <c r="E1694" s="7"/>
      <c r="F1694" s="7"/>
      <c r="G1694" s="7"/>
    </row>
    <row r="1695" spans="2:7" ht="15" x14ac:dyDescent="0.25">
      <c r="B1695" s="7"/>
      <c r="C1695" s="7"/>
      <c r="D1695" s="7"/>
      <c r="E1695" s="7"/>
      <c r="F1695" s="7"/>
      <c r="G1695" s="7"/>
    </row>
    <row r="1696" spans="2:7" ht="15" x14ac:dyDescent="0.25">
      <c r="B1696" s="7"/>
      <c r="C1696" s="7"/>
      <c r="D1696" s="7"/>
      <c r="E1696" s="7"/>
      <c r="F1696" s="7"/>
      <c r="G1696" s="7"/>
    </row>
    <row r="1697" spans="2:7" ht="15" x14ac:dyDescent="0.25">
      <c r="B1697" s="7"/>
      <c r="C1697" s="7"/>
      <c r="D1697" s="7"/>
      <c r="E1697" s="7"/>
      <c r="F1697" s="7"/>
      <c r="G1697" s="7"/>
    </row>
    <row r="1698" spans="2:7" ht="15" x14ac:dyDescent="0.25">
      <c r="B1698" s="7"/>
      <c r="C1698" s="7"/>
      <c r="D1698" s="7"/>
      <c r="E1698" s="7"/>
      <c r="F1698" s="7"/>
      <c r="G1698" s="7"/>
    </row>
    <row r="1699" spans="2:7" ht="15" x14ac:dyDescent="0.25">
      <c r="B1699" s="7"/>
      <c r="C1699" s="7"/>
      <c r="D1699" s="7"/>
      <c r="E1699" s="7"/>
      <c r="F1699" s="7"/>
      <c r="G1699" s="7"/>
    </row>
    <row r="1700" spans="2:7" ht="15" x14ac:dyDescent="0.25">
      <c r="B1700" s="7"/>
      <c r="C1700" s="7"/>
      <c r="D1700" s="7"/>
      <c r="E1700" s="7"/>
      <c r="F1700" s="7"/>
      <c r="G1700" s="7"/>
    </row>
    <row r="1701" spans="2:7" ht="15" x14ac:dyDescent="0.25">
      <c r="B1701" s="7"/>
      <c r="C1701" s="7"/>
      <c r="D1701" s="7"/>
      <c r="E1701" s="7"/>
      <c r="F1701" s="7"/>
      <c r="G1701" s="7"/>
    </row>
    <row r="1702" spans="2:7" ht="15" x14ac:dyDescent="0.25">
      <c r="B1702" s="7"/>
      <c r="C1702" s="7"/>
      <c r="D1702" s="7"/>
      <c r="E1702" s="7"/>
      <c r="F1702" s="7"/>
      <c r="G1702" s="7"/>
    </row>
    <row r="1703" spans="2:7" ht="15" x14ac:dyDescent="0.25">
      <c r="B1703" s="7"/>
      <c r="C1703" s="7"/>
      <c r="D1703" s="7"/>
      <c r="E1703" s="7"/>
      <c r="F1703" s="7"/>
      <c r="G1703" s="7"/>
    </row>
    <row r="1704" spans="2:7" ht="15" x14ac:dyDescent="0.25">
      <c r="B1704" s="7"/>
      <c r="C1704" s="7"/>
      <c r="D1704" s="7"/>
      <c r="E1704" s="7"/>
      <c r="F1704" s="7"/>
      <c r="G1704" s="7"/>
    </row>
    <row r="1705" spans="2:7" ht="15" x14ac:dyDescent="0.25">
      <c r="B1705" s="7"/>
      <c r="C1705" s="7"/>
      <c r="D1705" s="7"/>
      <c r="E1705" s="7"/>
      <c r="F1705" s="7"/>
      <c r="G1705" s="7"/>
    </row>
    <row r="1706" spans="2:7" ht="15" x14ac:dyDescent="0.25">
      <c r="B1706" s="7"/>
      <c r="C1706" s="7"/>
      <c r="D1706" s="7"/>
      <c r="E1706" s="7"/>
      <c r="F1706" s="7"/>
      <c r="G1706" s="7"/>
    </row>
    <row r="1707" spans="2:7" ht="15" x14ac:dyDescent="0.25">
      <c r="B1707" s="7"/>
      <c r="C1707" s="7"/>
      <c r="D1707" s="7"/>
      <c r="E1707" s="7"/>
      <c r="F1707" s="7"/>
      <c r="G1707" s="7"/>
    </row>
    <row r="1708" spans="2:7" ht="15" x14ac:dyDescent="0.25">
      <c r="B1708" s="7"/>
      <c r="C1708" s="7"/>
      <c r="D1708" s="7"/>
      <c r="E1708" s="7"/>
      <c r="F1708" s="7"/>
      <c r="G1708" s="7"/>
    </row>
    <row r="1709" spans="2:7" ht="15" x14ac:dyDescent="0.25">
      <c r="B1709" s="7"/>
      <c r="C1709" s="7"/>
      <c r="D1709" s="7"/>
      <c r="E1709" s="7"/>
      <c r="F1709" s="7"/>
      <c r="G1709" s="7"/>
    </row>
    <row r="1710" spans="2:7" ht="15" x14ac:dyDescent="0.25">
      <c r="B1710" s="7"/>
      <c r="C1710" s="7"/>
      <c r="D1710" s="7"/>
      <c r="E1710" s="7"/>
      <c r="F1710" s="7"/>
      <c r="G1710" s="7"/>
    </row>
    <row r="1711" spans="2:7" ht="15" x14ac:dyDescent="0.25">
      <c r="B1711" s="7"/>
      <c r="C1711" s="7"/>
      <c r="D1711" s="7"/>
      <c r="E1711" s="7"/>
      <c r="F1711" s="7"/>
      <c r="G1711" s="7"/>
    </row>
    <row r="1712" spans="2:7" ht="15" x14ac:dyDescent="0.25">
      <c r="B1712" s="7"/>
      <c r="C1712" s="7"/>
      <c r="D1712" s="7"/>
      <c r="E1712" s="7"/>
      <c r="F1712" s="7"/>
      <c r="G1712" s="7"/>
    </row>
    <row r="1713" spans="2:7" ht="15" x14ac:dyDescent="0.25">
      <c r="B1713" s="7"/>
      <c r="C1713" s="7"/>
      <c r="D1713" s="7"/>
      <c r="E1713" s="7"/>
      <c r="F1713" s="7"/>
      <c r="G1713" s="7"/>
    </row>
    <row r="1714" spans="2:7" ht="15" x14ac:dyDescent="0.25">
      <c r="B1714" s="7"/>
      <c r="C1714" s="7"/>
      <c r="D1714" s="7"/>
      <c r="E1714" s="7"/>
      <c r="F1714" s="7"/>
      <c r="G1714" s="7"/>
    </row>
    <row r="1715" spans="2:7" ht="15" x14ac:dyDescent="0.25">
      <c r="B1715" s="7"/>
      <c r="C1715" s="7"/>
      <c r="D1715" s="7"/>
      <c r="E1715" s="7"/>
      <c r="F1715" s="7"/>
      <c r="G1715" s="7"/>
    </row>
    <row r="1716" spans="2:7" ht="15" x14ac:dyDescent="0.25">
      <c r="B1716" s="7"/>
      <c r="C1716" s="7"/>
      <c r="D1716" s="7"/>
      <c r="E1716" s="7"/>
      <c r="F1716" s="7"/>
      <c r="G1716" s="7"/>
    </row>
    <row r="1717" spans="2:7" ht="15" x14ac:dyDescent="0.25">
      <c r="B1717" s="7"/>
      <c r="C1717" s="7"/>
      <c r="D1717" s="7"/>
      <c r="E1717" s="7"/>
      <c r="F1717" s="7"/>
      <c r="G1717" s="7"/>
    </row>
    <row r="1718" spans="2:7" ht="15" x14ac:dyDescent="0.25">
      <c r="B1718" s="7"/>
      <c r="C1718" s="7"/>
      <c r="D1718" s="7"/>
      <c r="E1718" s="7"/>
      <c r="F1718" s="7"/>
      <c r="G1718" s="7"/>
    </row>
    <row r="1719" spans="2:7" ht="15" x14ac:dyDescent="0.25">
      <c r="B1719" s="7"/>
      <c r="C1719" s="7"/>
      <c r="D1719" s="7"/>
      <c r="E1719" s="7"/>
      <c r="F1719" s="7"/>
      <c r="G1719" s="7"/>
    </row>
    <row r="1720" spans="2:7" ht="15" x14ac:dyDescent="0.25">
      <c r="B1720" s="7"/>
      <c r="C1720" s="7"/>
      <c r="D1720" s="7"/>
      <c r="E1720" s="7"/>
      <c r="F1720" s="7"/>
      <c r="G1720" s="7"/>
    </row>
    <row r="1721" spans="2:7" ht="15" x14ac:dyDescent="0.25">
      <c r="B1721" s="7"/>
      <c r="C1721" s="7"/>
      <c r="D1721" s="7"/>
      <c r="E1721" s="7"/>
      <c r="F1721" s="7"/>
      <c r="G1721" s="7"/>
    </row>
    <row r="1722" spans="2:7" ht="15" x14ac:dyDescent="0.25">
      <c r="B1722" s="7"/>
      <c r="C1722" s="7"/>
      <c r="D1722" s="7"/>
      <c r="E1722" s="7"/>
      <c r="F1722" s="7"/>
      <c r="G1722" s="7"/>
    </row>
    <row r="1723" spans="2:7" ht="15" x14ac:dyDescent="0.25">
      <c r="B1723" s="7"/>
      <c r="C1723" s="7"/>
      <c r="D1723" s="7"/>
      <c r="E1723" s="7"/>
      <c r="F1723" s="7"/>
      <c r="G1723" s="7"/>
    </row>
    <row r="1724" spans="2:7" ht="15" x14ac:dyDescent="0.25">
      <c r="B1724" s="7"/>
      <c r="C1724" s="7"/>
      <c r="D1724" s="7"/>
      <c r="E1724" s="7"/>
      <c r="F1724" s="7"/>
      <c r="G1724" s="7"/>
    </row>
    <row r="1725" spans="2:7" ht="15" x14ac:dyDescent="0.25">
      <c r="B1725" s="7"/>
      <c r="C1725" s="7"/>
      <c r="D1725" s="7"/>
      <c r="E1725" s="7"/>
      <c r="F1725" s="7"/>
      <c r="G1725" s="7"/>
    </row>
    <row r="1726" spans="2:7" ht="15" x14ac:dyDescent="0.25">
      <c r="B1726" s="7"/>
      <c r="C1726" s="7"/>
      <c r="D1726" s="7"/>
      <c r="E1726" s="7"/>
      <c r="F1726" s="7"/>
      <c r="G1726" s="7"/>
    </row>
    <row r="1727" spans="2:7" ht="15" x14ac:dyDescent="0.25">
      <c r="B1727" s="7"/>
      <c r="C1727" s="7"/>
      <c r="D1727" s="7"/>
      <c r="E1727" s="7"/>
      <c r="F1727" s="7"/>
      <c r="G1727" s="7"/>
    </row>
    <row r="1728" spans="2:7" ht="15" x14ac:dyDescent="0.25">
      <c r="B1728" s="7"/>
      <c r="C1728" s="7"/>
      <c r="D1728" s="7"/>
      <c r="E1728" s="7"/>
      <c r="F1728" s="7"/>
      <c r="G1728" s="7"/>
    </row>
    <row r="1729" spans="2:7" ht="15" x14ac:dyDescent="0.25">
      <c r="B1729" s="7"/>
      <c r="C1729" s="7"/>
      <c r="D1729" s="7"/>
      <c r="E1729" s="7"/>
      <c r="F1729" s="7"/>
      <c r="G1729" s="7"/>
    </row>
    <row r="1730" spans="2:7" ht="15" x14ac:dyDescent="0.25">
      <c r="B1730" s="7"/>
      <c r="C1730" s="7"/>
      <c r="D1730" s="7"/>
      <c r="E1730" s="7"/>
      <c r="F1730" s="7"/>
      <c r="G1730" s="7"/>
    </row>
    <row r="1731" spans="2:7" ht="15" x14ac:dyDescent="0.25">
      <c r="B1731" s="7"/>
      <c r="C1731" s="7"/>
      <c r="D1731" s="7"/>
      <c r="E1731" s="7"/>
      <c r="F1731" s="7"/>
      <c r="G1731" s="7"/>
    </row>
    <row r="1732" spans="2:7" ht="15" x14ac:dyDescent="0.25">
      <c r="B1732" s="7"/>
      <c r="C1732" s="7"/>
      <c r="D1732" s="7"/>
      <c r="E1732" s="7"/>
      <c r="F1732" s="7"/>
      <c r="G1732" s="7"/>
    </row>
    <row r="1733" spans="2:7" ht="15" x14ac:dyDescent="0.25">
      <c r="B1733" s="7"/>
      <c r="C1733" s="7"/>
      <c r="D1733" s="7"/>
      <c r="E1733" s="7"/>
      <c r="F1733" s="7"/>
      <c r="G1733" s="7"/>
    </row>
    <row r="1734" spans="2:7" ht="15" x14ac:dyDescent="0.25">
      <c r="B1734" s="7"/>
      <c r="C1734" s="7"/>
      <c r="D1734" s="7"/>
      <c r="E1734" s="7"/>
      <c r="F1734" s="7"/>
      <c r="G1734" s="7"/>
    </row>
    <row r="1735" spans="2:7" ht="15" x14ac:dyDescent="0.25">
      <c r="B1735" s="7"/>
      <c r="C1735" s="7"/>
      <c r="D1735" s="7"/>
      <c r="E1735" s="7"/>
      <c r="F1735" s="7"/>
      <c r="G1735" s="7"/>
    </row>
    <row r="1736" spans="2:7" ht="15" x14ac:dyDescent="0.25">
      <c r="B1736" s="7"/>
      <c r="C1736" s="7"/>
      <c r="D1736" s="7"/>
      <c r="E1736" s="7"/>
      <c r="F1736" s="7"/>
      <c r="G1736" s="7"/>
    </row>
    <row r="1737" spans="2:7" ht="15" x14ac:dyDescent="0.25">
      <c r="B1737" s="7"/>
      <c r="C1737" s="7"/>
      <c r="D1737" s="7"/>
      <c r="E1737" s="7"/>
      <c r="F1737" s="7"/>
      <c r="G1737" s="7"/>
    </row>
    <row r="1738" spans="2:7" ht="15" x14ac:dyDescent="0.25">
      <c r="B1738" s="7"/>
      <c r="C1738" s="7"/>
      <c r="D1738" s="7"/>
      <c r="E1738" s="7"/>
      <c r="F1738" s="7"/>
      <c r="G1738" s="7"/>
    </row>
    <row r="1739" spans="2:7" ht="15" x14ac:dyDescent="0.25">
      <c r="B1739" s="7"/>
      <c r="C1739" s="7"/>
      <c r="D1739" s="7"/>
      <c r="E1739" s="7"/>
      <c r="F1739" s="7"/>
      <c r="G1739" s="7"/>
    </row>
    <row r="1740" spans="2:7" ht="15" x14ac:dyDescent="0.25">
      <c r="B1740" s="7"/>
      <c r="C1740" s="7"/>
      <c r="D1740" s="7"/>
      <c r="E1740" s="7"/>
      <c r="F1740" s="7"/>
      <c r="G1740" s="7"/>
    </row>
    <row r="1741" spans="2:7" ht="15" x14ac:dyDescent="0.25">
      <c r="B1741" s="7"/>
      <c r="C1741" s="7"/>
      <c r="D1741" s="7"/>
      <c r="E1741" s="7"/>
      <c r="F1741" s="7"/>
      <c r="G1741" s="7"/>
    </row>
    <row r="1742" spans="2:7" ht="15" x14ac:dyDescent="0.25">
      <c r="B1742" s="7"/>
      <c r="C1742" s="7"/>
      <c r="D1742" s="7"/>
      <c r="E1742" s="7"/>
      <c r="F1742" s="7"/>
      <c r="G1742" s="7"/>
    </row>
    <row r="1743" spans="2:7" ht="15" x14ac:dyDescent="0.25">
      <c r="B1743" s="7"/>
      <c r="C1743" s="7"/>
      <c r="D1743" s="7"/>
      <c r="E1743" s="7"/>
      <c r="F1743" s="7"/>
      <c r="G1743" s="7"/>
    </row>
    <row r="1744" spans="2:7" ht="15" x14ac:dyDescent="0.25">
      <c r="B1744" s="7"/>
      <c r="C1744" s="7"/>
      <c r="D1744" s="7"/>
      <c r="E1744" s="7"/>
      <c r="F1744" s="7"/>
      <c r="G1744" s="7"/>
    </row>
    <row r="1745" spans="2:7" ht="15" x14ac:dyDescent="0.25">
      <c r="B1745" s="7"/>
      <c r="C1745" s="7"/>
      <c r="D1745" s="7"/>
      <c r="E1745" s="7"/>
      <c r="F1745" s="7"/>
      <c r="G1745" s="7"/>
    </row>
    <row r="1746" spans="2:7" ht="15" x14ac:dyDescent="0.25">
      <c r="B1746" s="7"/>
      <c r="C1746" s="7"/>
      <c r="D1746" s="7"/>
      <c r="E1746" s="7"/>
      <c r="F1746" s="7"/>
      <c r="G1746" s="7"/>
    </row>
    <row r="1747" spans="2:7" ht="15" x14ac:dyDescent="0.25">
      <c r="B1747" s="7"/>
      <c r="C1747" s="7"/>
      <c r="D1747" s="7"/>
      <c r="E1747" s="7"/>
      <c r="F1747" s="7"/>
      <c r="G1747" s="7"/>
    </row>
    <row r="1748" spans="2:7" ht="15" x14ac:dyDescent="0.25">
      <c r="B1748" s="7"/>
      <c r="C1748" s="7"/>
      <c r="D1748" s="7"/>
      <c r="E1748" s="7"/>
      <c r="F1748" s="7"/>
      <c r="G1748" s="7"/>
    </row>
    <row r="1749" spans="2:7" ht="15" x14ac:dyDescent="0.25">
      <c r="B1749" s="7"/>
      <c r="C1749" s="7"/>
      <c r="D1749" s="7"/>
      <c r="E1749" s="7"/>
      <c r="F1749" s="7"/>
      <c r="G1749" s="7"/>
    </row>
    <row r="1750" spans="2:7" ht="15" x14ac:dyDescent="0.25">
      <c r="B1750" s="7"/>
      <c r="C1750" s="7"/>
      <c r="D1750" s="7"/>
      <c r="E1750" s="7"/>
      <c r="F1750" s="7"/>
      <c r="G1750" s="7"/>
    </row>
    <row r="1751" spans="2:7" ht="15" x14ac:dyDescent="0.25">
      <c r="B1751" s="7"/>
      <c r="C1751" s="7"/>
      <c r="D1751" s="7"/>
      <c r="E1751" s="7"/>
      <c r="F1751" s="7"/>
      <c r="G1751" s="7"/>
    </row>
    <row r="1752" spans="2:7" ht="15" x14ac:dyDescent="0.25">
      <c r="B1752" s="7"/>
      <c r="C1752" s="7"/>
      <c r="D1752" s="7"/>
      <c r="E1752" s="7"/>
      <c r="F1752" s="7"/>
      <c r="G1752" s="7"/>
    </row>
    <row r="1753" spans="2:7" ht="15" x14ac:dyDescent="0.25">
      <c r="B1753" s="7"/>
      <c r="C1753" s="7"/>
      <c r="D1753" s="7"/>
      <c r="E1753" s="7"/>
      <c r="F1753" s="7"/>
      <c r="G1753" s="7"/>
    </row>
    <row r="1754" spans="2:7" ht="15" x14ac:dyDescent="0.25">
      <c r="B1754" s="7"/>
      <c r="C1754" s="7"/>
      <c r="D1754" s="7"/>
      <c r="E1754" s="7"/>
      <c r="F1754" s="7"/>
      <c r="G1754" s="7"/>
    </row>
    <row r="1755" spans="2:7" ht="15" x14ac:dyDescent="0.25">
      <c r="B1755" s="7"/>
      <c r="C1755" s="7"/>
      <c r="D1755" s="7"/>
      <c r="E1755" s="7"/>
      <c r="F1755" s="7"/>
      <c r="G1755" s="7"/>
    </row>
    <row r="1756" spans="2:7" ht="15" x14ac:dyDescent="0.25">
      <c r="B1756" s="7"/>
      <c r="C1756" s="7"/>
      <c r="D1756" s="7"/>
      <c r="E1756" s="7"/>
      <c r="F1756" s="7"/>
      <c r="G1756" s="7"/>
    </row>
    <row r="1757" spans="2:7" ht="15" x14ac:dyDescent="0.25">
      <c r="B1757" s="7"/>
      <c r="C1757" s="7"/>
      <c r="D1757" s="7"/>
      <c r="E1757" s="7"/>
      <c r="F1757" s="7"/>
      <c r="G1757" s="7"/>
    </row>
    <row r="1758" spans="2:7" ht="15" x14ac:dyDescent="0.25">
      <c r="B1758" s="7"/>
      <c r="C1758" s="7"/>
      <c r="D1758" s="7"/>
      <c r="E1758" s="7"/>
      <c r="F1758" s="7"/>
      <c r="G1758" s="7"/>
    </row>
    <row r="1759" spans="2:7" ht="15" x14ac:dyDescent="0.25">
      <c r="B1759" s="7"/>
      <c r="C1759" s="7"/>
      <c r="D1759" s="7"/>
      <c r="E1759" s="7"/>
      <c r="F1759" s="7"/>
      <c r="G1759" s="7"/>
    </row>
    <row r="1760" spans="2:7" ht="15" x14ac:dyDescent="0.25">
      <c r="B1760" s="7"/>
      <c r="C1760" s="7"/>
      <c r="D1760" s="7"/>
      <c r="E1760" s="7"/>
      <c r="F1760" s="7"/>
      <c r="G1760" s="7"/>
    </row>
    <row r="1761" spans="2:7" ht="15" x14ac:dyDescent="0.25">
      <c r="B1761" s="7"/>
      <c r="C1761" s="7"/>
      <c r="D1761" s="7"/>
      <c r="E1761" s="7"/>
      <c r="F1761" s="7"/>
      <c r="G1761" s="7"/>
    </row>
    <row r="1762" spans="2:7" ht="15" x14ac:dyDescent="0.25">
      <c r="B1762" s="7"/>
      <c r="C1762" s="7"/>
      <c r="D1762" s="7"/>
      <c r="E1762" s="7"/>
      <c r="F1762" s="7"/>
      <c r="G1762" s="7"/>
    </row>
    <row r="1763" spans="2:7" ht="15" x14ac:dyDescent="0.25">
      <c r="B1763" s="7"/>
      <c r="C1763" s="7"/>
      <c r="D1763" s="7"/>
      <c r="E1763" s="7"/>
      <c r="F1763" s="7"/>
      <c r="G1763" s="7"/>
    </row>
    <row r="1764" spans="2:7" ht="15" x14ac:dyDescent="0.25">
      <c r="B1764" s="7"/>
      <c r="C1764" s="7"/>
      <c r="D1764" s="7"/>
      <c r="E1764" s="7"/>
      <c r="F1764" s="7"/>
      <c r="G1764" s="7"/>
    </row>
    <row r="1765" spans="2:7" ht="15" x14ac:dyDescent="0.25">
      <c r="B1765" s="7"/>
      <c r="C1765" s="7"/>
      <c r="D1765" s="7"/>
      <c r="E1765" s="7"/>
      <c r="F1765" s="7"/>
      <c r="G1765" s="7"/>
    </row>
    <row r="1766" spans="2:7" ht="15" x14ac:dyDescent="0.25">
      <c r="B1766" s="7"/>
      <c r="C1766" s="7"/>
      <c r="D1766" s="7"/>
      <c r="E1766" s="7"/>
      <c r="F1766" s="7"/>
      <c r="G1766" s="7"/>
    </row>
    <row r="1767" spans="2:7" ht="15" x14ac:dyDescent="0.25">
      <c r="B1767" s="7"/>
      <c r="C1767" s="7"/>
      <c r="D1767" s="7"/>
      <c r="E1767" s="7"/>
      <c r="F1767" s="7"/>
      <c r="G1767" s="7"/>
    </row>
    <row r="1768" spans="2:7" ht="15" x14ac:dyDescent="0.25">
      <c r="B1768" s="7"/>
      <c r="C1768" s="7"/>
      <c r="D1768" s="7"/>
      <c r="E1768" s="7"/>
      <c r="F1768" s="7"/>
      <c r="G1768" s="7"/>
    </row>
    <row r="1769" spans="2:7" ht="15" x14ac:dyDescent="0.25">
      <c r="B1769" s="7"/>
      <c r="C1769" s="7"/>
      <c r="D1769" s="7"/>
      <c r="E1769" s="7"/>
      <c r="F1769" s="7"/>
      <c r="G1769" s="7"/>
    </row>
    <row r="1770" spans="2:7" ht="15" x14ac:dyDescent="0.25">
      <c r="B1770" s="7"/>
      <c r="C1770" s="7"/>
      <c r="D1770" s="7"/>
      <c r="E1770" s="7"/>
      <c r="F1770" s="7"/>
      <c r="G1770" s="7"/>
    </row>
    <row r="1771" spans="2:7" ht="15" x14ac:dyDescent="0.25">
      <c r="B1771" s="7"/>
      <c r="C1771" s="7"/>
      <c r="D1771" s="7"/>
      <c r="E1771" s="7"/>
      <c r="F1771" s="7"/>
      <c r="G1771" s="7"/>
    </row>
    <row r="1772" spans="2:7" ht="15" x14ac:dyDescent="0.25">
      <c r="B1772" s="7"/>
      <c r="C1772" s="7"/>
      <c r="D1772" s="7"/>
      <c r="E1772" s="7"/>
      <c r="F1772" s="7"/>
      <c r="G1772" s="7"/>
    </row>
    <row r="1773" spans="2:7" ht="15" x14ac:dyDescent="0.25">
      <c r="B1773" s="7"/>
      <c r="C1773" s="7"/>
      <c r="D1773" s="7"/>
      <c r="E1773" s="7"/>
      <c r="F1773" s="7"/>
      <c r="G1773" s="7"/>
    </row>
    <row r="1774" spans="2:7" ht="15" x14ac:dyDescent="0.25">
      <c r="B1774" s="7"/>
      <c r="C1774" s="7"/>
      <c r="D1774" s="7"/>
      <c r="E1774" s="7"/>
      <c r="F1774" s="7"/>
      <c r="G1774" s="7"/>
    </row>
    <row r="1775" spans="2:7" ht="15" x14ac:dyDescent="0.25">
      <c r="B1775" s="7"/>
      <c r="C1775" s="7"/>
      <c r="D1775" s="7"/>
      <c r="E1775" s="7"/>
      <c r="F1775" s="7"/>
      <c r="G1775" s="7"/>
    </row>
    <row r="1776" spans="2:7" ht="15" x14ac:dyDescent="0.25">
      <c r="B1776" s="7"/>
      <c r="C1776" s="7"/>
      <c r="D1776" s="7"/>
      <c r="E1776" s="7"/>
      <c r="F1776" s="7"/>
      <c r="G1776" s="7"/>
    </row>
    <row r="1777" spans="2:7" ht="15" x14ac:dyDescent="0.25">
      <c r="B1777" s="7"/>
      <c r="C1777" s="7"/>
      <c r="D1777" s="7"/>
      <c r="E1777" s="7"/>
      <c r="F1777" s="7"/>
      <c r="G1777" s="7"/>
    </row>
    <row r="1778" spans="2:7" ht="15" x14ac:dyDescent="0.25">
      <c r="B1778" s="7"/>
      <c r="C1778" s="7"/>
      <c r="D1778" s="7"/>
      <c r="E1778" s="7"/>
      <c r="F1778" s="7"/>
      <c r="G1778" s="7"/>
    </row>
    <row r="1779" spans="2:7" ht="15" x14ac:dyDescent="0.25">
      <c r="B1779" s="7"/>
      <c r="C1779" s="7"/>
      <c r="D1779" s="7"/>
      <c r="E1779" s="7"/>
      <c r="F1779" s="7"/>
      <c r="G1779" s="7"/>
    </row>
    <row r="1780" spans="2:7" ht="15" x14ac:dyDescent="0.25">
      <c r="B1780" s="7"/>
      <c r="C1780" s="7"/>
      <c r="D1780" s="7"/>
      <c r="E1780" s="7"/>
      <c r="F1780" s="7"/>
      <c r="G1780" s="7"/>
    </row>
    <row r="1781" spans="2:7" ht="15" x14ac:dyDescent="0.25">
      <c r="B1781" s="7"/>
      <c r="C1781" s="7"/>
      <c r="D1781" s="7"/>
      <c r="E1781" s="7"/>
      <c r="F1781" s="7"/>
      <c r="G1781" s="7"/>
    </row>
    <row r="1782" spans="2:7" ht="15" x14ac:dyDescent="0.25">
      <c r="B1782" s="7"/>
      <c r="C1782" s="7"/>
      <c r="D1782" s="7"/>
      <c r="E1782" s="7"/>
      <c r="F1782" s="7"/>
      <c r="G1782" s="7"/>
    </row>
    <row r="1783" spans="2:7" ht="15" x14ac:dyDescent="0.25">
      <c r="B1783" s="7"/>
      <c r="C1783" s="7"/>
      <c r="D1783" s="7"/>
      <c r="E1783" s="7"/>
      <c r="F1783" s="7"/>
      <c r="G1783" s="7"/>
    </row>
    <row r="1784" spans="2:7" ht="15" x14ac:dyDescent="0.25">
      <c r="B1784" s="7"/>
      <c r="C1784" s="7"/>
      <c r="D1784" s="7"/>
      <c r="E1784" s="7"/>
      <c r="F1784" s="7"/>
      <c r="G1784" s="7"/>
    </row>
    <row r="1785" spans="2:7" ht="15" x14ac:dyDescent="0.25">
      <c r="B1785" s="7"/>
      <c r="C1785" s="7"/>
      <c r="D1785" s="7"/>
      <c r="E1785" s="7"/>
      <c r="F1785" s="7"/>
      <c r="G1785" s="7"/>
    </row>
    <row r="1786" spans="2:7" ht="15" x14ac:dyDescent="0.25">
      <c r="B1786" s="7"/>
      <c r="C1786" s="7"/>
      <c r="D1786" s="7"/>
      <c r="E1786" s="7"/>
      <c r="F1786" s="7"/>
      <c r="G1786" s="7"/>
    </row>
    <row r="1787" spans="2:7" ht="15" x14ac:dyDescent="0.25">
      <c r="B1787" s="7"/>
      <c r="C1787" s="7"/>
      <c r="D1787" s="7"/>
      <c r="E1787" s="7"/>
      <c r="F1787" s="7"/>
      <c r="G1787" s="7"/>
    </row>
    <row r="1788" spans="2:7" ht="15" x14ac:dyDescent="0.25">
      <c r="B1788" s="7"/>
      <c r="C1788" s="7"/>
      <c r="D1788" s="7"/>
      <c r="E1788" s="7"/>
      <c r="F1788" s="7"/>
      <c r="G1788" s="7"/>
    </row>
    <row r="1789" spans="2:7" ht="15" x14ac:dyDescent="0.25">
      <c r="B1789" s="7"/>
      <c r="C1789" s="7"/>
      <c r="D1789" s="7"/>
      <c r="E1789" s="7"/>
      <c r="F1789" s="7"/>
      <c r="G1789" s="7"/>
    </row>
    <row r="1790" spans="2:7" ht="15" x14ac:dyDescent="0.25">
      <c r="B1790" s="7"/>
      <c r="C1790" s="7"/>
      <c r="D1790" s="7"/>
      <c r="E1790" s="7"/>
      <c r="F1790" s="7"/>
      <c r="G1790" s="7"/>
    </row>
    <row r="1791" spans="2:7" ht="15" x14ac:dyDescent="0.25">
      <c r="B1791" s="7"/>
      <c r="C1791" s="7"/>
      <c r="D1791" s="7"/>
      <c r="E1791" s="7"/>
      <c r="F1791" s="7"/>
      <c r="G1791" s="7"/>
    </row>
    <row r="1792" spans="2:7" ht="15" x14ac:dyDescent="0.25">
      <c r="B1792" s="7"/>
      <c r="C1792" s="7"/>
      <c r="D1792" s="7"/>
      <c r="E1792" s="7"/>
      <c r="F1792" s="7"/>
      <c r="G1792" s="7"/>
    </row>
    <row r="1793" spans="2:7" ht="15" x14ac:dyDescent="0.25">
      <c r="B1793" s="7"/>
      <c r="C1793" s="7"/>
      <c r="D1793" s="7"/>
      <c r="E1793" s="7"/>
      <c r="F1793" s="7"/>
      <c r="G1793" s="7"/>
    </row>
    <row r="1794" spans="2:7" ht="15" x14ac:dyDescent="0.25">
      <c r="B1794" s="7"/>
      <c r="C1794" s="7"/>
      <c r="D1794" s="7"/>
      <c r="E1794" s="7"/>
      <c r="F1794" s="7"/>
      <c r="G1794" s="7"/>
    </row>
    <row r="1795" spans="2:7" ht="15" x14ac:dyDescent="0.25">
      <c r="B1795" s="7"/>
      <c r="C1795" s="7"/>
      <c r="D1795" s="7"/>
      <c r="E1795" s="7"/>
      <c r="F1795" s="7"/>
      <c r="G1795" s="7"/>
    </row>
    <row r="1796" spans="2:7" ht="15" x14ac:dyDescent="0.25">
      <c r="B1796" s="7"/>
      <c r="C1796" s="7"/>
      <c r="D1796" s="7"/>
      <c r="E1796" s="7"/>
      <c r="F1796" s="7"/>
      <c r="G1796" s="7"/>
    </row>
    <row r="1797" spans="2:7" ht="15" x14ac:dyDescent="0.25">
      <c r="B1797" s="7"/>
      <c r="C1797" s="7"/>
      <c r="D1797" s="7"/>
      <c r="E1797" s="7"/>
      <c r="F1797" s="7"/>
      <c r="G1797" s="7"/>
    </row>
    <row r="1798" spans="2:7" ht="15" x14ac:dyDescent="0.25">
      <c r="B1798" s="7"/>
      <c r="C1798" s="7"/>
      <c r="D1798" s="7"/>
      <c r="E1798" s="7"/>
      <c r="F1798" s="7"/>
      <c r="G1798" s="7"/>
    </row>
    <row r="1799" spans="2:7" ht="15" x14ac:dyDescent="0.25">
      <c r="B1799" s="7"/>
      <c r="C1799" s="7"/>
      <c r="D1799" s="7"/>
      <c r="E1799" s="7"/>
      <c r="F1799" s="7"/>
      <c r="G1799" s="7"/>
    </row>
    <row r="1800" spans="2:7" ht="15" x14ac:dyDescent="0.25">
      <c r="B1800" s="7"/>
      <c r="C1800" s="7"/>
      <c r="D1800" s="7"/>
      <c r="E1800" s="7"/>
      <c r="F1800" s="7"/>
      <c r="G1800" s="7"/>
    </row>
    <row r="1801" spans="2:7" ht="15" x14ac:dyDescent="0.25">
      <c r="B1801" s="7"/>
      <c r="C1801" s="7"/>
      <c r="D1801" s="7"/>
      <c r="E1801" s="7"/>
      <c r="F1801" s="7"/>
      <c r="G1801" s="7"/>
    </row>
    <row r="1802" spans="2:7" ht="15" x14ac:dyDescent="0.25">
      <c r="B1802" s="7"/>
      <c r="C1802" s="7"/>
      <c r="D1802" s="7"/>
      <c r="E1802" s="7"/>
      <c r="F1802" s="7"/>
      <c r="G1802" s="7"/>
    </row>
    <row r="1803" spans="2:7" ht="15" x14ac:dyDescent="0.25">
      <c r="B1803" s="7"/>
      <c r="C1803" s="7"/>
      <c r="D1803" s="7"/>
      <c r="E1803" s="7"/>
      <c r="F1803" s="7"/>
      <c r="G1803" s="7"/>
    </row>
    <row r="1804" spans="2:7" ht="15" x14ac:dyDescent="0.25">
      <c r="B1804" s="7"/>
      <c r="C1804" s="7"/>
      <c r="D1804" s="7"/>
      <c r="E1804" s="7"/>
      <c r="F1804" s="7"/>
      <c r="G1804" s="7"/>
    </row>
    <row r="1805" spans="2:7" ht="15" x14ac:dyDescent="0.25">
      <c r="B1805" s="7"/>
      <c r="C1805" s="7"/>
      <c r="D1805" s="7"/>
      <c r="E1805" s="7"/>
      <c r="F1805" s="7"/>
      <c r="G1805" s="7"/>
    </row>
    <row r="1806" spans="2:7" ht="15" x14ac:dyDescent="0.25">
      <c r="B1806" s="7"/>
      <c r="C1806" s="7"/>
      <c r="D1806" s="7"/>
      <c r="E1806" s="7"/>
      <c r="F1806" s="7"/>
      <c r="G1806" s="7"/>
    </row>
    <row r="1807" spans="2:7" ht="15" x14ac:dyDescent="0.25">
      <c r="B1807" s="7"/>
      <c r="C1807" s="7"/>
      <c r="D1807" s="7"/>
      <c r="E1807" s="7"/>
      <c r="F1807" s="7"/>
      <c r="G1807" s="7"/>
    </row>
    <row r="1808" spans="2:7" ht="15" x14ac:dyDescent="0.25">
      <c r="B1808" s="7"/>
      <c r="C1808" s="7"/>
      <c r="D1808" s="7"/>
      <c r="E1808" s="7"/>
      <c r="F1808" s="7"/>
      <c r="G1808" s="7"/>
    </row>
    <row r="1809" spans="2:7" ht="15" x14ac:dyDescent="0.25">
      <c r="B1809" s="7"/>
      <c r="C1809" s="7"/>
      <c r="D1809" s="7"/>
      <c r="E1809" s="7"/>
      <c r="F1809" s="7"/>
      <c r="G1809" s="7"/>
    </row>
    <row r="1810" spans="2:7" ht="15" x14ac:dyDescent="0.25">
      <c r="B1810" s="7"/>
      <c r="C1810" s="7"/>
      <c r="D1810" s="7"/>
      <c r="E1810" s="7"/>
      <c r="F1810" s="7"/>
      <c r="G1810" s="7"/>
    </row>
    <row r="1811" spans="2:7" ht="15" x14ac:dyDescent="0.25">
      <c r="B1811" s="7"/>
      <c r="C1811" s="7"/>
      <c r="D1811" s="7"/>
      <c r="E1811" s="7"/>
      <c r="F1811" s="7"/>
      <c r="G1811" s="7"/>
    </row>
    <row r="1812" spans="2:7" ht="15" x14ac:dyDescent="0.25">
      <c r="B1812" s="7"/>
      <c r="C1812" s="7"/>
      <c r="D1812" s="7"/>
      <c r="E1812" s="7"/>
      <c r="F1812" s="7"/>
      <c r="G1812" s="7"/>
    </row>
    <row r="1813" spans="2:7" ht="15" x14ac:dyDescent="0.25">
      <c r="B1813" s="7"/>
      <c r="C1813" s="7"/>
      <c r="D1813" s="7"/>
      <c r="E1813" s="7"/>
      <c r="F1813" s="7"/>
      <c r="G1813" s="7"/>
    </row>
    <row r="1814" spans="2:7" ht="15" x14ac:dyDescent="0.25">
      <c r="B1814" s="7"/>
      <c r="C1814" s="7"/>
      <c r="D1814" s="7"/>
      <c r="E1814" s="7"/>
      <c r="F1814" s="7"/>
      <c r="G1814" s="7"/>
    </row>
    <row r="1815" spans="2:7" ht="15" x14ac:dyDescent="0.25">
      <c r="B1815" s="7"/>
      <c r="C1815" s="7"/>
      <c r="D1815" s="7"/>
      <c r="E1815" s="7"/>
      <c r="F1815" s="7"/>
      <c r="G1815" s="7"/>
    </row>
    <row r="1816" spans="2:7" ht="15" x14ac:dyDescent="0.25">
      <c r="B1816" s="7"/>
      <c r="C1816" s="7"/>
      <c r="D1816" s="7"/>
      <c r="E1816" s="7"/>
      <c r="F1816" s="7"/>
      <c r="G1816" s="7"/>
    </row>
    <row r="1817" spans="2:7" ht="15" x14ac:dyDescent="0.25">
      <c r="B1817" s="7"/>
      <c r="C1817" s="7"/>
      <c r="D1817" s="7"/>
      <c r="E1817" s="7"/>
      <c r="F1817" s="7"/>
      <c r="G1817" s="7"/>
    </row>
    <row r="1818" spans="2:7" ht="15" x14ac:dyDescent="0.25">
      <c r="B1818" s="7"/>
      <c r="C1818" s="7"/>
      <c r="D1818" s="7"/>
      <c r="E1818" s="7"/>
      <c r="F1818" s="7"/>
      <c r="G1818" s="7"/>
    </row>
    <row r="1819" spans="2:7" ht="15" x14ac:dyDescent="0.25">
      <c r="B1819" s="7"/>
      <c r="C1819" s="7"/>
      <c r="D1819" s="7"/>
      <c r="E1819" s="7"/>
      <c r="F1819" s="7"/>
      <c r="G1819" s="7"/>
    </row>
    <row r="1820" spans="2:7" ht="15" x14ac:dyDescent="0.25">
      <c r="B1820" s="7"/>
      <c r="C1820" s="7"/>
      <c r="D1820" s="7"/>
      <c r="E1820" s="7"/>
      <c r="F1820" s="7"/>
      <c r="G1820" s="7"/>
    </row>
    <row r="1821" spans="2:7" ht="15" x14ac:dyDescent="0.25">
      <c r="B1821" s="7"/>
      <c r="C1821" s="7"/>
      <c r="D1821" s="7"/>
      <c r="E1821" s="7"/>
      <c r="F1821" s="7"/>
      <c r="G1821" s="7"/>
    </row>
    <row r="1822" spans="2:7" ht="15" x14ac:dyDescent="0.25">
      <c r="B1822" s="7"/>
      <c r="C1822" s="7"/>
      <c r="D1822" s="7"/>
      <c r="E1822" s="7"/>
      <c r="F1822" s="7"/>
      <c r="G1822" s="7"/>
    </row>
    <row r="1823" spans="2:7" ht="15" x14ac:dyDescent="0.25">
      <c r="B1823" s="7"/>
      <c r="C1823" s="7"/>
      <c r="D1823" s="7"/>
      <c r="E1823" s="7"/>
      <c r="F1823" s="7"/>
      <c r="G1823" s="7"/>
    </row>
    <row r="1824" spans="2:7" ht="15" x14ac:dyDescent="0.25">
      <c r="B1824" s="7"/>
      <c r="C1824" s="7"/>
      <c r="D1824" s="7"/>
      <c r="E1824" s="7"/>
      <c r="F1824" s="7"/>
      <c r="G1824" s="7"/>
    </row>
    <row r="1825" spans="2:7" ht="15" x14ac:dyDescent="0.25">
      <c r="B1825" s="7"/>
      <c r="C1825" s="7"/>
      <c r="D1825" s="7"/>
      <c r="E1825" s="7"/>
      <c r="F1825" s="7"/>
      <c r="G1825" s="7"/>
    </row>
    <row r="1826" spans="2:7" ht="15" x14ac:dyDescent="0.25">
      <c r="B1826" s="7"/>
      <c r="C1826" s="7"/>
      <c r="D1826" s="7"/>
      <c r="E1826" s="7"/>
      <c r="F1826" s="7"/>
      <c r="G1826" s="7"/>
    </row>
    <row r="1827" spans="2:7" ht="15" x14ac:dyDescent="0.25">
      <c r="B1827" s="7"/>
      <c r="C1827" s="7"/>
      <c r="D1827" s="7"/>
      <c r="E1827" s="7"/>
      <c r="F1827" s="7"/>
      <c r="G1827" s="7"/>
    </row>
    <row r="1828" spans="2:7" ht="15" x14ac:dyDescent="0.25">
      <c r="B1828" s="7"/>
      <c r="C1828" s="7"/>
      <c r="D1828" s="7"/>
      <c r="E1828" s="7"/>
      <c r="F1828" s="7"/>
      <c r="G1828" s="7"/>
    </row>
    <row r="1829" spans="2:7" ht="15" x14ac:dyDescent="0.25">
      <c r="B1829" s="7"/>
      <c r="C1829" s="7"/>
      <c r="D1829" s="7"/>
      <c r="E1829" s="7"/>
      <c r="F1829" s="7"/>
      <c r="G1829" s="7"/>
    </row>
    <row r="1830" spans="2:7" ht="15" x14ac:dyDescent="0.25">
      <c r="B1830" s="7"/>
      <c r="C1830" s="7"/>
      <c r="D1830" s="7"/>
      <c r="E1830" s="7"/>
      <c r="F1830" s="7"/>
      <c r="G1830" s="7"/>
    </row>
    <row r="1831" spans="2:7" ht="15" x14ac:dyDescent="0.25">
      <c r="B1831" s="7"/>
      <c r="C1831" s="7"/>
      <c r="D1831" s="7"/>
      <c r="E1831" s="7"/>
      <c r="F1831" s="7"/>
      <c r="G1831" s="7"/>
    </row>
    <row r="1832" spans="2:7" ht="15" x14ac:dyDescent="0.25">
      <c r="B1832" s="7"/>
      <c r="C1832" s="7"/>
      <c r="D1832" s="7"/>
      <c r="E1832" s="7"/>
      <c r="F1832" s="7"/>
      <c r="G1832" s="7"/>
    </row>
    <row r="1833" spans="2:7" ht="15" x14ac:dyDescent="0.25">
      <c r="B1833" s="7"/>
      <c r="C1833" s="7"/>
      <c r="D1833" s="7"/>
      <c r="E1833" s="7"/>
      <c r="F1833" s="7"/>
      <c r="G1833" s="7"/>
    </row>
    <row r="1834" spans="2:7" ht="15" x14ac:dyDescent="0.25">
      <c r="B1834" s="7"/>
      <c r="C1834" s="7"/>
      <c r="D1834" s="7"/>
      <c r="E1834" s="7"/>
      <c r="F1834" s="7"/>
      <c r="G1834" s="7"/>
    </row>
    <row r="1835" spans="2:7" ht="15" x14ac:dyDescent="0.25">
      <c r="B1835" s="7"/>
      <c r="C1835" s="7"/>
      <c r="D1835" s="7"/>
      <c r="E1835" s="7"/>
      <c r="F1835" s="7"/>
      <c r="G1835" s="7"/>
    </row>
    <row r="1836" spans="2:7" ht="15" x14ac:dyDescent="0.25">
      <c r="B1836" s="7"/>
      <c r="C1836" s="7"/>
      <c r="D1836" s="7"/>
      <c r="E1836" s="7"/>
      <c r="F1836" s="7"/>
      <c r="G1836" s="7"/>
    </row>
    <row r="1837" spans="2:7" ht="15" x14ac:dyDescent="0.25">
      <c r="B1837" s="7"/>
      <c r="C1837" s="7"/>
      <c r="D1837" s="7"/>
      <c r="E1837" s="7"/>
      <c r="F1837" s="7"/>
      <c r="G1837" s="7"/>
    </row>
    <row r="1838" spans="2:7" ht="15" x14ac:dyDescent="0.25">
      <c r="B1838" s="7"/>
      <c r="C1838" s="7"/>
      <c r="D1838" s="7"/>
      <c r="E1838" s="7"/>
      <c r="F1838" s="7"/>
      <c r="G1838" s="7"/>
    </row>
    <row r="1839" spans="2:7" ht="15" x14ac:dyDescent="0.25">
      <c r="B1839" s="7"/>
      <c r="C1839" s="7"/>
      <c r="D1839" s="7"/>
      <c r="E1839" s="7"/>
      <c r="F1839" s="7"/>
      <c r="G1839" s="7"/>
    </row>
    <row r="1840" spans="2:7" ht="15" x14ac:dyDescent="0.25">
      <c r="B1840" s="7"/>
      <c r="C1840" s="7"/>
      <c r="D1840" s="7"/>
      <c r="E1840" s="7"/>
      <c r="F1840" s="7"/>
      <c r="G1840" s="7"/>
    </row>
    <row r="1841" spans="2:7" ht="15" x14ac:dyDescent="0.25">
      <c r="B1841" s="7"/>
      <c r="C1841" s="7"/>
      <c r="D1841" s="7"/>
      <c r="E1841" s="7"/>
      <c r="F1841" s="7"/>
      <c r="G1841" s="7"/>
    </row>
    <row r="1842" spans="2:7" ht="15" x14ac:dyDescent="0.25">
      <c r="B1842" s="7"/>
      <c r="C1842" s="7"/>
      <c r="D1842" s="7"/>
      <c r="E1842" s="7"/>
      <c r="F1842" s="7"/>
      <c r="G1842" s="7"/>
    </row>
    <row r="1843" spans="2:7" ht="15" x14ac:dyDescent="0.25">
      <c r="B1843" s="7"/>
      <c r="C1843" s="7"/>
      <c r="D1843" s="7"/>
      <c r="E1843" s="7"/>
      <c r="F1843" s="7"/>
      <c r="G1843" s="7"/>
    </row>
    <row r="1844" spans="2:7" ht="15" x14ac:dyDescent="0.25">
      <c r="B1844" s="7"/>
      <c r="C1844" s="7"/>
      <c r="D1844" s="7"/>
      <c r="E1844" s="7"/>
      <c r="F1844" s="7"/>
      <c r="G1844" s="7"/>
    </row>
    <row r="1845" spans="2:7" ht="15" x14ac:dyDescent="0.25">
      <c r="B1845" s="7"/>
      <c r="C1845" s="7"/>
      <c r="D1845" s="7"/>
      <c r="E1845" s="7"/>
      <c r="F1845" s="7"/>
      <c r="G1845" s="7"/>
    </row>
    <row r="1846" spans="2:7" ht="15" x14ac:dyDescent="0.25">
      <c r="B1846" s="7"/>
      <c r="C1846" s="7"/>
      <c r="D1846" s="7"/>
      <c r="E1846" s="7"/>
      <c r="F1846" s="7"/>
      <c r="G1846" s="7"/>
    </row>
    <row r="1847" spans="2:7" ht="15" x14ac:dyDescent="0.25">
      <c r="B1847" s="7"/>
      <c r="C1847" s="7"/>
      <c r="D1847" s="7"/>
      <c r="E1847" s="7"/>
      <c r="F1847" s="7"/>
      <c r="G1847" s="7"/>
    </row>
    <row r="1848" spans="2:7" ht="15" x14ac:dyDescent="0.25">
      <c r="B1848" s="7"/>
      <c r="C1848" s="7"/>
      <c r="D1848" s="7"/>
      <c r="E1848" s="7"/>
      <c r="F1848" s="7"/>
      <c r="G1848" s="7"/>
    </row>
    <row r="1849" spans="2:7" ht="15" x14ac:dyDescent="0.25">
      <c r="B1849" s="7"/>
      <c r="C1849" s="7"/>
      <c r="D1849" s="7"/>
      <c r="E1849" s="7"/>
      <c r="F1849" s="7"/>
      <c r="G1849" s="7"/>
    </row>
    <row r="1850" spans="2:7" ht="15" x14ac:dyDescent="0.25">
      <c r="B1850" s="7"/>
      <c r="C1850" s="7"/>
      <c r="D1850" s="7"/>
      <c r="E1850" s="7"/>
      <c r="F1850" s="7"/>
      <c r="G1850" s="7"/>
    </row>
    <row r="1851" spans="2:7" ht="15" x14ac:dyDescent="0.25">
      <c r="B1851" s="7"/>
      <c r="C1851" s="7"/>
      <c r="D1851" s="7"/>
      <c r="E1851" s="7"/>
      <c r="F1851" s="7"/>
      <c r="G1851" s="7"/>
    </row>
    <row r="1852" spans="2:7" ht="15" x14ac:dyDescent="0.25">
      <c r="B1852" s="7"/>
      <c r="C1852" s="7"/>
      <c r="D1852" s="7"/>
      <c r="E1852" s="7"/>
      <c r="F1852" s="7"/>
      <c r="G1852" s="7"/>
    </row>
    <row r="1853" spans="2:7" ht="15" x14ac:dyDescent="0.25">
      <c r="B1853" s="7"/>
      <c r="C1853" s="7"/>
      <c r="D1853" s="7"/>
      <c r="E1853" s="7"/>
      <c r="F1853" s="7"/>
      <c r="G1853" s="7"/>
    </row>
    <row r="1854" spans="2:7" ht="15" x14ac:dyDescent="0.25">
      <c r="B1854" s="7"/>
      <c r="C1854" s="7"/>
      <c r="D1854" s="7"/>
      <c r="E1854" s="7"/>
      <c r="F1854" s="7"/>
      <c r="G1854" s="7"/>
    </row>
    <row r="1855" spans="2:7" ht="15" x14ac:dyDescent="0.25">
      <c r="B1855" s="7"/>
      <c r="C1855" s="7"/>
      <c r="D1855" s="7"/>
      <c r="E1855" s="7"/>
      <c r="F1855" s="7"/>
      <c r="G1855" s="7"/>
    </row>
    <row r="1856" spans="2:7" ht="15" x14ac:dyDescent="0.25">
      <c r="B1856" s="7"/>
      <c r="C1856" s="7"/>
      <c r="D1856" s="7"/>
      <c r="E1856" s="7"/>
      <c r="F1856" s="7"/>
      <c r="G1856" s="7"/>
    </row>
    <row r="1857" spans="2:7" ht="15" x14ac:dyDescent="0.25">
      <c r="B1857" s="7"/>
      <c r="C1857" s="7"/>
      <c r="D1857" s="7"/>
      <c r="E1857" s="7"/>
      <c r="F1857" s="7"/>
      <c r="G1857" s="7"/>
    </row>
    <row r="1858" spans="2:7" ht="15" x14ac:dyDescent="0.25">
      <c r="B1858" s="7"/>
      <c r="C1858" s="7"/>
      <c r="D1858" s="7"/>
      <c r="E1858" s="7"/>
      <c r="F1858" s="7"/>
      <c r="G1858" s="7"/>
    </row>
    <row r="1859" spans="2:7" ht="15" x14ac:dyDescent="0.25">
      <c r="B1859" s="7"/>
      <c r="C1859" s="7"/>
      <c r="D1859" s="7"/>
      <c r="E1859" s="7"/>
      <c r="F1859" s="7"/>
      <c r="G1859" s="7"/>
    </row>
    <row r="1860" spans="2:7" ht="15" x14ac:dyDescent="0.25">
      <c r="B1860" s="7"/>
      <c r="C1860" s="7"/>
      <c r="D1860" s="7"/>
      <c r="E1860" s="7"/>
      <c r="F1860" s="7"/>
      <c r="G1860" s="7"/>
    </row>
    <row r="1861" spans="2:7" ht="15" x14ac:dyDescent="0.25">
      <c r="B1861" s="7"/>
      <c r="C1861" s="7"/>
      <c r="D1861" s="7"/>
      <c r="E1861" s="7"/>
      <c r="F1861" s="7"/>
      <c r="G1861" s="7"/>
    </row>
    <row r="1862" spans="2:7" ht="15" x14ac:dyDescent="0.25">
      <c r="B1862" s="7"/>
      <c r="C1862" s="7"/>
      <c r="D1862" s="7"/>
      <c r="E1862" s="7"/>
      <c r="F1862" s="7"/>
      <c r="G1862" s="7"/>
    </row>
    <row r="1863" spans="2:7" ht="15" x14ac:dyDescent="0.25">
      <c r="B1863" s="7"/>
      <c r="C1863" s="7"/>
      <c r="D1863" s="7"/>
      <c r="E1863" s="7"/>
      <c r="F1863" s="7"/>
      <c r="G1863" s="7"/>
    </row>
    <row r="1864" spans="2:7" ht="15" x14ac:dyDescent="0.25">
      <c r="B1864" s="7"/>
      <c r="C1864" s="7"/>
      <c r="D1864" s="7"/>
      <c r="E1864" s="7"/>
      <c r="F1864" s="7"/>
      <c r="G1864" s="7"/>
    </row>
    <row r="1865" spans="2:7" ht="15" x14ac:dyDescent="0.25">
      <c r="B1865" s="7"/>
      <c r="C1865" s="7"/>
      <c r="D1865" s="7"/>
      <c r="E1865" s="7"/>
      <c r="F1865" s="7"/>
      <c r="G1865" s="7"/>
    </row>
    <row r="1866" spans="2:7" ht="15" x14ac:dyDescent="0.25">
      <c r="B1866" s="7"/>
      <c r="C1866" s="7"/>
      <c r="D1866" s="7"/>
      <c r="E1866" s="7"/>
      <c r="F1866" s="7"/>
      <c r="G1866" s="7"/>
    </row>
    <row r="1867" spans="2:7" ht="15" x14ac:dyDescent="0.25">
      <c r="B1867" s="7"/>
      <c r="C1867" s="7"/>
      <c r="D1867" s="7"/>
      <c r="E1867" s="7"/>
      <c r="F1867" s="7"/>
      <c r="G1867" s="7"/>
    </row>
    <row r="1868" spans="2:7" ht="15" x14ac:dyDescent="0.25">
      <c r="B1868" s="7"/>
      <c r="C1868" s="7"/>
      <c r="D1868" s="7"/>
      <c r="E1868" s="7"/>
      <c r="F1868" s="7"/>
      <c r="G1868" s="7"/>
    </row>
    <row r="1869" spans="2:7" ht="15" x14ac:dyDescent="0.25">
      <c r="B1869" s="7"/>
      <c r="C1869" s="7"/>
      <c r="D1869" s="7"/>
      <c r="E1869" s="7"/>
      <c r="F1869" s="7"/>
      <c r="G1869" s="7"/>
    </row>
    <row r="1870" spans="2:7" ht="15" x14ac:dyDescent="0.25">
      <c r="B1870" s="7"/>
      <c r="C1870" s="7"/>
      <c r="D1870" s="7"/>
      <c r="E1870" s="7"/>
      <c r="F1870" s="7"/>
      <c r="G1870" s="7"/>
    </row>
    <row r="1871" spans="2:7" ht="15" x14ac:dyDescent="0.25">
      <c r="B1871" s="7"/>
      <c r="C1871" s="7"/>
      <c r="D1871" s="7"/>
      <c r="E1871" s="7"/>
      <c r="F1871" s="7"/>
      <c r="G1871" s="7"/>
    </row>
    <row r="1872" spans="2:7" ht="15" x14ac:dyDescent="0.25">
      <c r="B1872" s="7"/>
      <c r="C1872" s="7"/>
      <c r="D1872" s="7"/>
      <c r="E1872" s="7"/>
      <c r="F1872" s="7"/>
      <c r="G1872" s="7"/>
    </row>
    <row r="1873" spans="2:7" ht="15" x14ac:dyDescent="0.25">
      <c r="B1873" s="7"/>
      <c r="C1873" s="7"/>
      <c r="D1873" s="7"/>
      <c r="E1873" s="7"/>
      <c r="F1873" s="7"/>
      <c r="G1873" s="7"/>
    </row>
    <row r="1874" spans="2:7" ht="15" x14ac:dyDescent="0.25">
      <c r="B1874" s="7"/>
      <c r="C1874" s="7"/>
      <c r="D1874" s="7"/>
      <c r="E1874" s="7"/>
      <c r="F1874" s="7"/>
      <c r="G1874" s="7"/>
    </row>
    <row r="1875" spans="2:7" ht="15" x14ac:dyDescent="0.25">
      <c r="B1875" s="7"/>
      <c r="C1875" s="7"/>
      <c r="D1875" s="7"/>
      <c r="E1875" s="7"/>
      <c r="F1875" s="7"/>
      <c r="G1875" s="7"/>
    </row>
    <row r="1876" spans="2:7" ht="15" x14ac:dyDescent="0.25">
      <c r="B1876" s="7"/>
      <c r="C1876" s="7"/>
      <c r="D1876" s="7"/>
      <c r="E1876" s="7"/>
      <c r="F1876" s="7"/>
      <c r="G1876" s="7"/>
    </row>
    <row r="1877" spans="2:7" ht="15" x14ac:dyDescent="0.25">
      <c r="B1877" s="7"/>
      <c r="C1877" s="7"/>
      <c r="D1877" s="7"/>
      <c r="E1877" s="7"/>
      <c r="F1877" s="7"/>
      <c r="G1877" s="7"/>
    </row>
    <row r="1878" spans="2:7" ht="15" x14ac:dyDescent="0.25">
      <c r="B1878" s="7"/>
      <c r="C1878" s="7"/>
      <c r="D1878" s="7"/>
      <c r="E1878" s="7"/>
      <c r="F1878" s="7"/>
      <c r="G1878" s="7"/>
    </row>
    <row r="1879" spans="2:7" ht="15" x14ac:dyDescent="0.25">
      <c r="B1879" s="7"/>
      <c r="C1879" s="7"/>
      <c r="D1879" s="7"/>
      <c r="E1879" s="7"/>
      <c r="F1879" s="7"/>
      <c r="G1879" s="7"/>
    </row>
    <row r="1880" spans="2:7" ht="15" x14ac:dyDescent="0.25">
      <c r="B1880" s="7"/>
      <c r="C1880" s="7"/>
      <c r="D1880" s="7"/>
      <c r="E1880" s="7"/>
      <c r="F1880" s="7"/>
      <c r="G1880" s="7"/>
    </row>
    <row r="1881" spans="2:7" ht="15" x14ac:dyDescent="0.25">
      <c r="B1881" s="7"/>
      <c r="C1881" s="7"/>
      <c r="D1881" s="7"/>
      <c r="E1881" s="7"/>
      <c r="F1881" s="7"/>
      <c r="G1881" s="7"/>
    </row>
    <row r="1882" spans="2:7" ht="15" x14ac:dyDescent="0.25">
      <c r="B1882" s="7"/>
      <c r="C1882" s="7"/>
      <c r="D1882" s="7"/>
      <c r="E1882" s="7"/>
      <c r="F1882" s="7"/>
      <c r="G1882" s="7"/>
    </row>
    <row r="1883" spans="2:7" ht="15" x14ac:dyDescent="0.25">
      <c r="B1883" s="7"/>
      <c r="C1883" s="7"/>
      <c r="D1883" s="7"/>
      <c r="E1883" s="7"/>
      <c r="F1883" s="7"/>
      <c r="G1883" s="7"/>
    </row>
    <row r="1884" spans="2:7" ht="15" x14ac:dyDescent="0.25">
      <c r="B1884" s="7"/>
      <c r="C1884" s="7"/>
      <c r="D1884" s="7"/>
      <c r="E1884" s="7"/>
      <c r="F1884" s="7"/>
      <c r="G1884" s="7"/>
    </row>
    <row r="1885" spans="2:7" ht="15" x14ac:dyDescent="0.25">
      <c r="B1885" s="7"/>
      <c r="C1885" s="7"/>
      <c r="D1885" s="7"/>
      <c r="E1885" s="7"/>
      <c r="F1885" s="7"/>
      <c r="G1885" s="7"/>
    </row>
    <row r="1886" spans="2:7" ht="15" x14ac:dyDescent="0.25">
      <c r="B1886" s="7"/>
      <c r="C1886" s="7"/>
      <c r="D1886" s="7"/>
      <c r="E1886" s="7"/>
      <c r="F1886" s="7"/>
      <c r="G1886" s="7"/>
    </row>
    <row r="1887" spans="2:7" ht="15" x14ac:dyDescent="0.25">
      <c r="B1887" s="7"/>
      <c r="C1887" s="7"/>
      <c r="D1887" s="7"/>
      <c r="E1887" s="7"/>
      <c r="F1887" s="7"/>
      <c r="G1887" s="7"/>
    </row>
    <row r="1888" spans="2:7" ht="15" x14ac:dyDescent="0.25">
      <c r="B1888" s="7"/>
      <c r="C1888" s="7"/>
      <c r="D1888" s="7"/>
      <c r="E1888" s="7"/>
      <c r="F1888" s="7"/>
      <c r="G1888" s="7"/>
    </row>
    <row r="1889" spans="2:7" ht="15" x14ac:dyDescent="0.25">
      <c r="B1889" s="7"/>
      <c r="C1889" s="7"/>
      <c r="D1889" s="7"/>
      <c r="E1889" s="7"/>
      <c r="F1889" s="7"/>
      <c r="G1889" s="7"/>
    </row>
    <row r="1890" spans="2:7" ht="15" x14ac:dyDescent="0.25">
      <c r="B1890" s="7"/>
      <c r="C1890" s="7"/>
      <c r="D1890" s="7"/>
      <c r="E1890" s="7"/>
      <c r="F1890" s="7"/>
      <c r="G1890" s="7"/>
    </row>
    <row r="1891" spans="2:7" ht="15" x14ac:dyDescent="0.25">
      <c r="B1891" s="7"/>
      <c r="C1891" s="7"/>
      <c r="D1891" s="7"/>
      <c r="E1891" s="7"/>
      <c r="F1891" s="7"/>
      <c r="G1891" s="7"/>
    </row>
    <row r="1892" spans="2:7" ht="15" x14ac:dyDescent="0.25">
      <c r="B1892" s="7"/>
      <c r="C1892" s="7"/>
      <c r="D1892" s="7"/>
      <c r="E1892" s="7"/>
      <c r="F1892" s="7"/>
      <c r="G1892" s="7"/>
    </row>
    <row r="1893" spans="2:7" ht="15" x14ac:dyDescent="0.25">
      <c r="B1893" s="7"/>
      <c r="C1893" s="7"/>
      <c r="D1893" s="7"/>
      <c r="E1893" s="7"/>
      <c r="F1893" s="7"/>
      <c r="G1893" s="7"/>
    </row>
    <row r="1894" spans="2:7" ht="15" x14ac:dyDescent="0.25">
      <c r="B1894" s="7"/>
      <c r="C1894" s="7"/>
      <c r="D1894" s="7"/>
      <c r="E1894" s="7"/>
      <c r="F1894" s="7"/>
      <c r="G1894" s="7"/>
    </row>
    <row r="1895" spans="2:7" ht="15" x14ac:dyDescent="0.25">
      <c r="B1895" s="7"/>
      <c r="C1895" s="7"/>
      <c r="D1895" s="7"/>
      <c r="E1895" s="7"/>
      <c r="F1895" s="7"/>
      <c r="G1895" s="7"/>
    </row>
    <row r="1896" spans="2:7" ht="15" x14ac:dyDescent="0.25">
      <c r="B1896" s="7"/>
      <c r="C1896" s="7"/>
      <c r="D1896" s="7"/>
      <c r="E1896" s="7"/>
      <c r="F1896" s="7"/>
      <c r="G1896" s="7"/>
    </row>
    <row r="1897" spans="2:7" ht="15" x14ac:dyDescent="0.25">
      <c r="B1897" s="7"/>
      <c r="C1897" s="7"/>
      <c r="D1897" s="7"/>
      <c r="E1897" s="7"/>
      <c r="F1897" s="7"/>
      <c r="G1897" s="7"/>
    </row>
    <row r="1898" spans="2:7" ht="15" x14ac:dyDescent="0.25">
      <c r="B1898" s="7"/>
      <c r="C1898" s="7"/>
      <c r="D1898" s="7"/>
      <c r="E1898" s="7"/>
      <c r="F1898" s="7"/>
      <c r="G1898" s="7"/>
    </row>
    <row r="1899" spans="2:7" ht="15" x14ac:dyDescent="0.25">
      <c r="B1899" s="7"/>
      <c r="C1899" s="7"/>
      <c r="D1899" s="7"/>
      <c r="E1899" s="7"/>
      <c r="F1899" s="7"/>
      <c r="G1899" s="7"/>
    </row>
    <row r="1900" spans="2:7" ht="15" x14ac:dyDescent="0.25">
      <c r="B1900" s="7"/>
      <c r="C1900" s="7"/>
      <c r="D1900" s="7"/>
      <c r="E1900" s="7"/>
      <c r="F1900" s="7"/>
      <c r="G1900" s="7"/>
    </row>
    <row r="1901" spans="2:7" ht="15" x14ac:dyDescent="0.25">
      <c r="B1901" s="7"/>
      <c r="C1901" s="7"/>
      <c r="D1901" s="7"/>
      <c r="E1901" s="7"/>
      <c r="F1901" s="7"/>
      <c r="G1901" s="7"/>
    </row>
    <row r="1902" spans="2:7" ht="15" x14ac:dyDescent="0.25">
      <c r="B1902" s="7"/>
      <c r="C1902" s="7"/>
      <c r="D1902" s="7"/>
      <c r="E1902" s="7"/>
      <c r="F1902" s="7"/>
      <c r="G1902" s="7"/>
    </row>
    <row r="1903" spans="2:7" ht="15" x14ac:dyDescent="0.25">
      <c r="B1903" s="7"/>
      <c r="C1903" s="7"/>
      <c r="D1903" s="7"/>
      <c r="E1903" s="7"/>
      <c r="F1903" s="7"/>
      <c r="G1903" s="7"/>
    </row>
    <row r="1904" spans="2:7" ht="15" x14ac:dyDescent="0.25">
      <c r="B1904" s="7"/>
      <c r="C1904" s="7"/>
      <c r="D1904" s="7"/>
      <c r="E1904" s="7"/>
      <c r="F1904" s="7"/>
      <c r="G1904" s="7"/>
    </row>
    <row r="1905" spans="2:7" ht="15" x14ac:dyDescent="0.25">
      <c r="B1905" s="7"/>
      <c r="C1905" s="7"/>
      <c r="D1905" s="7"/>
      <c r="E1905" s="7"/>
      <c r="F1905" s="7"/>
      <c r="G1905" s="7"/>
    </row>
    <row r="1906" spans="2:7" ht="15" x14ac:dyDescent="0.25">
      <c r="B1906" s="7"/>
      <c r="C1906" s="7"/>
      <c r="D1906" s="7"/>
      <c r="E1906" s="7"/>
      <c r="F1906" s="7"/>
      <c r="G1906" s="7"/>
    </row>
    <row r="1907" spans="2:7" ht="15" x14ac:dyDescent="0.25">
      <c r="B1907" s="7"/>
      <c r="C1907" s="7"/>
      <c r="D1907" s="7"/>
      <c r="E1907" s="7"/>
      <c r="F1907" s="7"/>
      <c r="G1907" s="7"/>
    </row>
    <row r="1908" spans="2:7" ht="15" x14ac:dyDescent="0.25">
      <c r="B1908" s="7"/>
      <c r="C1908" s="7"/>
      <c r="D1908" s="7"/>
      <c r="E1908" s="7"/>
      <c r="F1908" s="7"/>
      <c r="G1908" s="7"/>
    </row>
    <row r="1909" spans="2:7" ht="15" x14ac:dyDescent="0.25">
      <c r="B1909" s="7"/>
      <c r="C1909" s="7"/>
      <c r="D1909" s="7"/>
      <c r="E1909" s="7"/>
      <c r="F1909" s="7"/>
      <c r="G1909" s="7"/>
    </row>
    <row r="1910" spans="2:7" ht="15" x14ac:dyDescent="0.25">
      <c r="B1910" s="7"/>
      <c r="C1910" s="7"/>
      <c r="D1910" s="7"/>
      <c r="E1910" s="7"/>
      <c r="F1910" s="7"/>
      <c r="G1910" s="7"/>
    </row>
    <row r="1911" spans="2:7" ht="15" x14ac:dyDescent="0.25">
      <c r="B1911" s="7"/>
      <c r="C1911" s="7"/>
      <c r="D1911" s="7"/>
      <c r="E1911" s="7"/>
      <c r="F1911" s="7"/>
      <c r="G1911" s="7"/>
    </row>
    <row r="1912" spans="2:7" ht="15" x14ac:dyDescent="0.25">
      <c r="B1912" s="7"/>
      <c r="C1912" s="7"/>
      <c r="D1912" s="7"/>
      <c r="E1912" s="7"/>
      <c r="F1912" s="7"/>
      <c r="G1912" s="7"/>
    </row>
    <row r="1913" spans="2:7" ht="15" x14ac:dyDescent="0.25">
      <c r="B1913" s="7"/>
      <c r="C1913" s="7"/>
      <c r="D1913" s="7"/>
      <c r="E1913" s="7"/>
      <c r="F1913" s="7"/>
      <c r="G1913" s="7"/>
    </row>
    <row r="1914" spans="2:7" ht="15" x14ac:dyDescent="0.25">
      <c r="B1914" s="7"/>
      <c r="C1914" s="7"/>
      <c r="D1914" s="7"/>
      <c r="E1914" s="7"/>
      <c r="F1914" s="7"/>
      <c r="G1914" s="7"/>
    </row>
    <row r="1915" spans="2:7" ht="15" x14ac:dyDescent="0.25">
      <c r="B1915" s="7"/>
      <c r="C1915" s="7"/>
      <c r="D1915" s="7"/>
      <c r="E1915" s="7"/>
      <c r="F1915" s="7"/>
      <c r="G1915" s="7"/>
    </row>
    <row r="1916" spans="2:7" ht="15" x14ac:dyDescent="0.25">
      <c r="B1916" s="7"/>
      <c r="C1916" s="7"/>
      <c r="D1916" s="7"/>
      <c r="E1916" s="7"/>
      <c r="F1916" s="7"/>
      <c r="G1916" s="7"/>
    </row>
    <row r="1917" spans="2:7" ht="15" x14ac:dyDescent="0.25">
      <c r="B1917" s="7"/>
      <c r="C1917" s="7"/>
      <c r="D1917" s="7"/>
      <c r="E1917" s="7"/>
      <c r="F1917" s="7"/>
      <c r="G1917" s="7"/>
    </row>
    <row r="1918" spans="2:7" ht="15" x14ac:dyDescent="0.25">
      <c r="B1918" s="7"/>
      <c r="C1918" s="7"/>
      <c r="D1918" s="7"/>
      <c r="E1918" s="7"/>
      <c r="F1918" s="7"/>
      <c r="G1918" s="7"/>
    </row>
    <row r="1919" spans="2:7" ht="15" x14ac:dyDescent="0.25">
      <c r="B1919" s="7"/>
      <c r="C1919" s="7"/>
      <c r="D1919" s="7"/>
      <c r="E1919" s="7"/>
      <c r="F1919" s="7"/>
      <c r="G1919" s="7"/>
    </row>
    <row r="1920" spans="2:7" ht="15" x14ac:dyDescent="0.25">
      <c r="B1920" s="7"/>
      <c r="C1920" s="7"/>
      <c r="D1920" s="7"/>
      <c r="E1920" s="7"/>
      <c r="F1920" s="7"/>
      <c r="G1920" s="7"/>
    </row>
    <row r="1921" spans="2:7" ht="15" x14ac:dyDescent="0.25">
      <c r="B1921" s="7"/>
      <c r="C1921" s="7"/>
      <c r="D1921" s="7"/>
      <c r="E1921" s="7"/>
      <c r="F1921" s="7"/>
      <c r="G1921" s="7"/>
    </row>
    <row r="1922" spans="2:7" ht="15" x14ac:dyDescent="0.25">
      <c r="B1922" s="7"/>
      <c r="C1922" s="7"/>
      <c r="D1922" s="7"/>
      <c r="E1922" s="7"/>
      <c r="F1922" s="7"/>
      <c r="G1922" s="7"/>
    </row>
    <row r="1923" spans="2:7" ht="15" x14ac:dyDescent="0.25">
      <c r="B1923" s="7"/>
      <c r="C1923" s="7"/>
      <c r="D1923" s="7"/>
      <c r="E1923" s="7"/>
      <c r="F1923" s="7"/>
      <c r="G1923" s="7"/>
    </row>
    <row r="1924" spans="2:7" ht="15" x14ac:dyDescent="0.25">
      <c r="B1924" s="7"/>
      <c r="C1924" s="7"/>
      <c r="D1924" s="7"/>
      <c r="E1924" s="7"/>
      <c r="F1924" s="7"/>
      <c r="G1924" s="7"/>
    </row>
    <row r="1925" spans="2:7" ht="15" x14ac:dyDescent="0.25">
      <c r="B1925" s="7"/>
      <c r="C1925" s="7"/>
      <c r="D1925" s="7"/>
      <c r="E1925" s="7"/>
      <c r="F1925" s="7"/>
      <c r="G1925" s="7"/>
    </row>
    <row r="1926" spans="2:7" ht="15" x14ac:dyDescent="0.25">
      <c r="B1926" s="7"/>
      <c r="C1926" s="7"/>
      <c r="D1926" s="7"/>
      <c r="E1926" s="7"/>
      <c r="F1926" s="7"/>
      <c r="G1926" s="7"/>
    </row>
    <row r="1927" spans="2:7" ht="15" x14ac:dyDescent="0.25">
      <c r="B1927" s="7"/>
      <c r="C1927" s="7"/>
      <c r="D1927" s="7"/>
      <c r="E1927" s="7"/>
      <c r="F1927" s="7"/>
      <c r="G1927" s="7"/>
    </row>
    <row r="1928" spans="2:7" ht="15" x14ac:dyDescent="0.25">
      <c r="B1928" s="7"/>
      <c r="C1928" s="7"/>
      <c r="D1928" s="7"/>
      <c r="E1928" s="7"/>
      <c r="F1928" s="7"/>
      <c r="G1928" s="7"/>
    </row>
    <row r="1929" spans="2:7" ht="15" x14ac:dyDescent="0.25">
      <c r="B1929" s="7"/>
      <c r="C1929" s="7"/>
      <c r="D1929" s="7"/>
      <c r="E1929" s="7"/>
      <c r="F1929" s="7"/>
      <c r="G1929" s="7"/>
    </row>
    <row r="1930" spans="2:7" ht="15" x14ac:dyDescent="0.25">
      <c r="B1930" s="7"/>
      <c r="C1930" s="7"/>
      <c r="D1930" s="7"/>
      <c r="E1930" s="7"/>
      <c r="F1930" s="7"/>
      <c r="G1930" s="7"/>
    </row>
    <row r="1931" spans="2:7" ht="15" x14ac:dyDescent="0.25">
      <c r="B1931" s="7"/>
      <c r="C1931" s="7"/>
      <c r="D1931" s="7"/>
      <c r="E1931" s="7"/>
      <c r="F1931" s="7"/>
      <c r="G1931" s="7"/>
    </row>
    <row r="1932" spans="2:7" ht="15" x14ac:dyDescent="0.25">
      <c r="B1932" s="7"/>
      <c r="C1932" s="7"/>
      <c r="D1932" s="7"/>
      <c r="E1932" s="7"/>
      <c r="F1932" s="7"/>
      <c r="G1932" s="7"/>
    </row>
    <row r="1933" spans="2:7" ht="15" x14ac:dyDescent="0.25">
      <c r="B1933" s="7"/>
      <c r="C1933" s="7"/>
      <c r="D1933" s="7"/>
      <c r="E1933" s="7"/>
      <c r="F1933" s="7"/>
      <c r="G1933" s="7"/>
    </row>
    <row r="1934" spans="2:7" ht="15" x14ac:dyDescent="0.25">
      <c r="B1934" s="7"/>
      <c r="C1934" s="7"/>
      <c r="D1934" s="7"/>
      <c r="E1934" s="7"/>
      <c r="F1934" s="7"/>
      <c r="G1934" s="7"/>
    </row>
    <row r="1935" spans="2:7" ht="15" x14ac:dyDescent="0.25">
      <c r="B1935" s="7"/>
      <c r="C1935" s="7"/>
      <c r="D1935" s="7"/>
      <c r="E1935" s="7"/>
      <c r="F1935" s="7"/>
      <c r="G1935" s="7"/>
    </row>
    <row r="1936" spans="2:7" ht="15" x14ac:dyDescent="0.25">
      <c r="B1936" s="7"/>
      <c r="C1936" s="7"/>
      <c r="D1936" s="7"/>
      <c r="E1936" s="7"/>
      <c r="F1936" s="7"/>
      <c r="G1936" s="7"/>
    </row>
    <row r="1937" spans="2:7" ht="15" x14ac:dyDescent="0.25">
      <c r="B1937" s="7"/>
      <c r="C1937" s="7"/>
      <c r="D1937" s="7"/>
      <c r="E1937" s="7"/>
      <c r="F1937" s="7"/>
      <c r="G1937" s="7"/>
    </row>
    <row r="1938" spans="2:7" ht="15" x14ac:dyDescent="0.25">
      <c r="B1938" s="7"/>
      <c r="C1938" s="7"/>
      <c r="D1938" s="7"/>
      <c r="E1938" s="7"/>
      <c r="F1938" s="7"/>
      <c r="G1938" s="7"/>
    </row>
    <row r="1939" spans="2:7" ht="15" x14ac:dyDescent="0.25">
      <c r="B1939" s="7"/>
      <c r="C1939" s="7"/>
      <c r="D1939" s="7"/>
      <c r="E1939" s="7"/>
      <c r="F1939" s="7"/>
      <c r="G1939" s="7"/>
    </row>
    <row r="1940" spans="2:7" ht="15" x14ac:dyDescent="0.25">
      <c r="B1940" s="7"/>
      <c r="C1940" s="7"/>
      <c r="D1940" s="7"/>
      <c r="E1940" s="7"/>
      <c r="F1940" s="7"/>
      <c r="G1940" s="7"/>
    </row>
    <row r="1941" spans="2:7" ht="15" x14ac:dyDescent="0.25">
      <c r="B1941" s="7"/>
      <c r="C1941" s="7"/>
      <c r="D1941" s="7"/>
      <c r="E1941" s="7"/>
      <c r="F1941" s="7"/>
      <c r="G1941" s="7"/>
    </row>
    <row r="1942" spans="2:7" ht="15" x14ac:dyDescent="0.25">
      <c r="B1942" s="7"/>
      <c r="C1942" s="7"/>
      <c r="D1942" s="7"/>
      <c r="E1942" s="7"/>
      <c r="F1942" s="7"/>
      <c r="G1942" s="7"/>
    </row>
    <row r="1943" spans="2:7" ht="15" x14ac:dyDescent="0.25">
      <c r="B1943" s="7"/>
      <c r="C1943" s="7"/>
      <c r="D1943" s="7"/>
      <c r="E1943" s="7"/>
      <c r="F1943" s="7"/>
      <c r="G1943" s="7"/>
    </row>
    <row r="1944" spans="2:7" ht="15" x14ac:dyDescent="0.25">
      <c r="B1944" s="7"/>
      <c r="C1944" s="7"/>
      <c r="D1944" s="7"/>
      <c r="E1944" s="7"/>
      <c r="F1944" s="7"/>
      <c r="G1944" s="7"/>
    </row>
    <row r="1945" spans="2:7" ht="15" x14ac:dyDescent="0.25">
      <c r="B1945" s="7"/>
      <c r="C1945" s="7"/>
      <c r="D1945" s="7"/>
      <c r="E1945" s="7"/>
      <c r="F1945" s="7"/>
      <c r="G1945" s="7"/>
    </row>
    <row r="1946" spans="2:7" ht="15" x14ac:dyDescent="0.25">
      <c r="B1946" s="7"/>
      <c r="C1946" s="7"/>
      <c r="D1946" s="7"/>
      <c r="E1946" s="7"/>
      <c r="F1946" s="7"/>
      <c r="G1946" s="7"/>
    </row>
    <row r="1947" spans="2:7" ht="15" x14ac:dyDescent="0.25">
      <c r="B1947" s="7"/>
      <c r="C1947" s="7"/>
      <c r="D1947" s="7"/>
      <c r="E1947" s="7"/>
      <c r="F1947" s="7"/>
      <c r="G1947" s="7"/>
    </row>
    <row r="1948" spans="2:7" ht="15" x14ac:dyDescent="0.25">
      <c r="B1948" s="7"/>
      <c r="C1948" s="7"/>
      <c r="D1948" s="7"/>
      <c r="E1948" s="7"/>
      <c r="F1948" s="7"/>
      <c r="G1948" s="7"/>
    </row>
    <row r="1949" spans="2:7" ht="15" x14ac:dyDescent="0.25">
      <c r="B1949" s="7"/>
      <c r="C1949" s="7"/>
      <c r="D1949" s="7"/>
      <c r="E1949" s="7"/>
      <c r="F1949" s="7"/>
      <c r="G1949" s="7"/>
    </row>
    <row r="1950" spans="2:7" ht="15" x14ac:dyDescent="0.25">
      <c r="B1950" s="7"/>
      <c r="C1950" s="7"/>
      <c r="D1950" s="7"/>
      <c r="E1950" s="7"/>
      <c r="F1950" s="7"/>
      <c r="G1950" s="7"/>
    </row>
    <row r="1951" spans="2:7" ht="15" x14ac:dyDescent="0.25">
      <c r="B1951" s="7"/>
      <c r="C1951" s="7"/>
      <c r="D1951" s="7"/>
      <c r="E1951" s="7"/>
      <c r="F1951" s="7"/>
      <c r="G1951" s="7"/>
    </row>
    <row r="1952" spans="2:7" ht="15" x14ac:dyDescent="0.25">
      <c r="B1952" s="7"/>
      <c r="C1952" s="7"/>
      <c r="D1952" s="7"/>
      <c r="E1952" s="7"/>
      <c r="F1952" s="7"/>
      <c r="G1952" s="7"/>
    </row>
    <row r="1953" spans="2:7" ht="15" x14ac:dyDescent="0.25">
      <c r="B1953" s="7"/>
      <c r="C1953" s="7"/>
      <c r="D1953" s="7"/>
      <c r="E1953" s="7"/>
      <c r="F1953" s="7"/>
      <c r="G1953" s="7"/>
    </row>
    <row r="1954" spans="2:7" ht="15" x14ac:dyDescent="0.25">
      <c r="B1954" s="7"/>
      <c r="C1954" s="7"/>
      <c r="D1954" s="7"/>
      <c r="E1954" s="7"/>
      <c r="F1954" s="7"/>
      <c r="G1954" s="7"/>
    </row>
    <row r="1955" spans="2:7" ht="15" x14ac:dyDescent="0.25">
      <c r="B1955" s="7"/>
      <c r="C1955" s="7"/>
      <c r="D1955" s="7"/>
      <c r="E1955" s="7"/>
      <c r="F1955" s="7"/>
      <c r="G1955" s="7"/>
    </row>
    <row r="1956" spans="2:7" ht="15" x14ac:dyDescent="0.25">
      <c r="B1956" s="7"/>
      <c r="C1956" s="7"/>
      <c r="D1956" s="7"/>
      <c r="E1956" s="7"/>
      <c r="F1956" s="7"/>
      <c r="G1956" s="7"/>
    </row>
    <row r="1957" spans="2:7" ht="15" x14ac:dyDescent="0.25">
      <c r="B1957" s="7"/>
      <c r="C1957" s="7"/>
      <c r="D1957" s="7"/>
      <c r="E1957" s="7"/>
      <c r="F1957" s="7"/>
      <c r="G1957" s="7"/>
    </row>
    <row r="1958" spans="2:7" ht="15" x14ac:dyDescent="0.25">
      <c r="B1958" s="7"/>
      <c r="C1958" s="7"/>
      <c r="D1958" s="7"/>
      <c r="E1958" s="7"/>
      <c r="F1958" s="7"/>
      <c r="G1958" s="7"/>
    </row>
    <row r="1959" spans="2:7" ht="15" x14ac:dyDescent="0.25">
      <c r="B1959" s="7"/>
      <c r="C1959" s="7"/>
      <c r="D1959" s="7"/>
      <c r="E1959" s="7"/>
      <c r="F1959" s="7"/>
      <c r="G1959" s="7"/>
    </row>
    <row r="1960" spans="2:7" ht="15" x14ac:dyDescent="0.25">
      <c r="B1960" s="7"/>
      <c r="C1960" s="7"/>
      <c r="D1960" s="7"/>
      <c r="E1960" s="7"/>
      <c r="F1960" s="7"/>
      <c r="G1960" s="7"/>
    </row>
    <row r="1961" spans="2:7" ht="15" x14ac:dyDescent="0.25">
      <c r="B1961" s="7"/>
      <c r="C1961" s="7"/>
      <c r="D1961" s="7"/>
      <c r="E1961" s="7"/>
      <c r="F1961" s="7"/>
      <c r="G1961" s="7"/>
    </row>
    <row r="1962" spans="2:7" ht="15" x14ac:dyDescent="0.25">
      <c r="B1962" s="7"/>
      <c r="C1962" s="7"/>
      <c r="D1962" s="7"/>
      <c r="E1962" s="7"/>
      <c r="F1962" s="7"/>
      <c r="G1962" s="7"/>
    </row>
    <row r="1963" spans="2:7" ht="15" x14ac:dyDescent="0.25">
      <c r="B1963" s="7"/>
      <c r="C1963" s="7"/>
      <c r="D1963" s="7"/>
      <c r="E1963" s="7"/>
      <c r="F1963" s="7"/>
      <c r="G1963" s="7"/>
    </row>
    <row r="1964" spans="2:7" ht="15" x14ac:dyDescent="0.25">
      <c r="B1964" s="7"/>
      <c r="C1964" s="7"/>
      <c r="D1964" s="7"/>
      <c r="E1964" s="7"/>
      <c r="F1964" s="7"/>
      <c r="G1964" s="7"/>
    </row>
    <row r="1965" spans="2:7" ht="15" x14ac:dyDescent="0.25">
      <c r="B1965" s="7"/>
      <c r="C1965" s="7"/>
      <c r="D1965" s="7"/>
      <c r="E1965" s="7"/>
      <c r="F1965" s="7"/>
      <c r="G1965" s="7"/>
    </row>
    <row r="1966" spans="2:7" ht="15" x14ac:dyDescent="0.25">
      <c r="B1966" s="7"/>
      <c r="C1966" s="7"/>
      <c r="D1966" s="7"/>
      <c r="E1966" s="7"/>
      <c r="F1966" s="7"/>
      <c r="G1966" s="7"/>
    </row>
    <row r="1967" spans="2:7" ht="15" x14ac:dyDescent="0.25">
      <c r="B1967" s="7"/>
      <c r="C1967" s="7"/>
      <c r="D1967" s="7"/>
      <c r="E1967" s="7"/>
      <c r="F1967" s="7"/>
      <c r="G1967" s="7"/>
    </row>
    <row r="1968" spans="2:7" ht="15" x14ac:dyDescent="0.25">
      <c r="B1968" s="7"/>
      <c r="C1968" s="7"/>
      <c r="D1968" s="7"/>
      <c r="E1968" s="7"/>
      <c r="F1968" s="7"/>
      <c r="G1968" s="7"/>
    </row>
    <row r="1969" spans="2:7" ht="15" x14ac:dyDescent="0.25">
      <c r="B1969" s="7"/>
      <c r="C1969" s="7"/>
      <c r="D1969" s="7"/>
      <c r="E1969" s="7"/>
      <c r="F1969" s="7"/>
      <c r="G1969" s="7"/>
    </row>
    <row r="1970" spans="2:7" ht="15" x14ac:dyDescent="0.25">
      <c r="B1970" s="7"/>
      <c r="C1970" s="7"/>
      <c r="D1970" s="7"/>
      <c r="E1970" s="7"/>
      <c r="F1970" s="7"/>
      <c r="G1970" s="7"/>
    </row>
    <row r="1971" spans="2:7" ht="15" x14ac:dyDescent="0.25">
      <c r="B1971" s="7"/>
      <c r="C1971" s="7"/>
      <c r="D1971" s="7"/>
      <c r="E1971" s="7"/>
      <c r="F1971" s="7"/>
      <c r="G1971" s="7"/>
    </row>
    <row r="1972" spans="2:7" ht="15" x14ac:dyDescent="0.25">
      <c r="B1972" s="7"/>
      <c r="C1972" s="7"/>
      <c r="D1972" s="7"/>
      <c r="E1972" s="7"/>
      <c r="F1972" s="7"/>
      <c r="G1972" s="7"/>
    </row>
    <row r="1973" spans="2:7" ht="15" x14ac:dyDescent="0.25">
      <c r="B1973" s="7"/>
      <c r="C1973" s="7"/>
      <c r="D1973" s="7"/>
      <c r="E1973" s="7"/>
      <c r="F1973" s="7"/>
      <c r="G1973" s="7"/>
    </row>
    <row r="1974" spans="2:7" ht="15" x14ac:dyDescent="0.25">
      <c r="B1974" s="7"/>
      <c r="C1974" s="7"/>
      <c r="D1974" s="7"/>
      <c r="E1974" s="7"/>
      <c r="F1974" s="7"/>
      <c r="G1974" s="7"/>
    </row>
    <row r="1975" spans="2:7" ht="15" x14ac:dyDescent="0.25">
      <c r="B1975" s="7"/>
      <c r="C1975" s="7"/>
      <c r="D1975" s="7"/>
      <c r="E1975" s="7"/>
      <c r="F1975" s="7"/>
      <c r="G1975" s="7"/>
    </row>
    <row r="1976" spans="2:7" ht="15" x14ac:dyDescent="0.25">
      <c r="B1976" s="7"/>
      <c r="C1976" s="7"/>
      <c r="D1976" s="7"/>
      <c r="E1976" s="7"/>
      <c r="F1976" s="7"/>
      <c r="G1976" s="7"/>
    </row>
    <row r="1977" spans="2:7" ht="15" x14ac:dyDescent="0.25">
      <c r="B1977" s="7"/>
      <c r="C1977" s="7"/>
      <c r="D1977" s="7"/>
      <c r="E1977" s="7"/>
      <c r="F1977" s="7"/>
      <c r="G1977" s="7"/>
    </row>
    <row r="1978" spans="2:7" ht="15" x14ac:dyDescent="0.25">
      <c r="B1978" s="7"/>
      <c r="C1978" s="7"/>
      <c r="D1978" s="7"/>
      <c r="E1978" s="7"/>
      <c r="F1978" s="7"/>
      <c r="G1978" s="7"/>
    </row>
    <row r="1979" spans="2:7" ht="15" x14ac:dyDescent="0.25">
      <c r="B1979" s="7"/>
      <c r="C1979" s="7"/>
      <c r="D1979" s="7"/>
      <c r="E1979" s="7"/>
      <c r="F1979" s="7"/>
      <c r="G1979" s="7"/>
    </row>
    <row r="1980" spans="2:7" ht="15" x14ac:dyDescent="0.25">
      <c r="B1980" s="7"/>
      <c r="C1980" s="7"/>
      <c r="D1980" s="7"/>
      <c r="E1980" s="7"/>
      <c r="F1980" s="7"/>
      <c r="G1980" s="7"/>
    </row>
    <row r="1981" spans="2:7" ht="15" x14ac:dyDescent="0.25">
      <c r="B1981" s="7"/>
      <c r="C1981" s="7"/>
      <c r="D1981" s="7"/>
      <c r="E1981" s="7"/>
      <c r="F1981" s="7"/>
      <c r="G1981" s="7"/>
    </row>
    <row r="1982" spans="2:7" ht="15" x14ac:dyDescent="0.25">
      <c r="B1982" s="7"/>
      <c r="C1982" s="7"/>
      <c r="D1982" s="7"/>
      <c r="E1982" s="7"/>
      <c r="F1982" s="7"/>
      <c r="G1982" s="7"/>
    </row>
    <row r="1983" spans="2:7" ht="15" x14ac:dyDescent="0.25">
      <c r="B1983" s="7"/>
      <c r="C1983" s="7"/>
      <c r="D1983" s="7"/>
      <c r="E1983" s="7"/>
      <c r="F1983" s="7"/>
      <c r="G1983" s="7"/>
    </row>
    <row r="1984" spans="2:7" ht="15" x14ac:dyDescent="0.25">
      <c r="B1984" s="7"/>
      <c r="C1984" s="7"/>
      <c r="D1984" s="7"/>
      <c r="E1984" s="7"/>
      <c r="F1984" s="7"/>
      <c r="G1984" s="7"/>
    </row>
    <row r="1985" spans="2:7" ht="15" x14ac:dyDescent="0.25">
      <c r="B1985" s="7"/>
      <c r="C1985" s="7"/>
      <c r="D1985" s="7"/>
      <c r="E1985" s="7"/>
      <c r="F1985" s="7"/>
      <c r="G1985" s="7"/>
    </row>
    <row r="1986" spans="2:7" ht="15" x14ac:dyDescent="0.25">
      <c r="B1986" s="7"/>
      <c r="C1986" s="7"/>
      <c r="D1986" s="7"/>
      <c r="E1986" s="7"/>
      <c r="F1986" s="7"/>
      <c r="G1986" s="7"/>
    </row>
    <row r="1987" spans="2:7" ht="15" x14ac:dyDescent="0.25">
      <c r="B1987" s="7"/>
      <c r="C1987" s="7"/>
      <c r="D1987" s="7"/>
      <c r="E1987" s="7"/>
      <c r="F1987" s="7"/>
      <c r="G1987" s="7"/>
    </row>
    <row r="1988" spans="2:7" ht="15" x14ac:dyDescent="0.25">
      <c r="B1988" s="7"/>
      <c r="C1988" s="7"/>
      <c r="D1988" s="7"/>
      <c r="E1988" s="7"/>
      <c r="F1988" s="7"/>
      <c r="G1988" s="7"/>
    </row>
    <row r="1989" spans="2:7" ht="15" x14ac:dyDescent="0.25">
      <c r="B1989" s="7"/>
      <c r="C1989" s="7"/>
      <c r="D1989" s="7"/>
      <c r="E1989" s="7"/>
      <c r="F1989" s="7"/>
      <c r="G1989" s="7"/>
    </row>
    <row r="1990" spans="2:7" ht="15" x14ac:dyDescent="0.25">
      <c r="B1990" s="7"/>
      <c r="C1990" s="7"/>
      <c r="D1990" s="7"/>
      <c r="E1990" s="7"/>
      <c r="F1990" s="7"/>
      <c r="G1990" s="7"/>
    </row>
    <row r="1991" spans="2:7" ht="15" x14ac:dyDescent="0.25">
      <c r="B1991" s="7"/>
      <c r="C1991" s="7"/>
      <c r="D1991" s="7"/>
      <c r="E1991" s="7"/>
      <c r="F1991" s="7"/>
      <c r="G1991" s="7"/>
    </row>
    <row r="1992" spans="2:7" ht="15" x14ac:dyDescent="0.25">
      <c r="B1992" s="7"/>
      <c r="C1992" s="7"/>
      <c r="D1992" s="7"/>
      <c r="E1992" s="7"/>
      <c r="F1992" s="7"/>
      <c r="G1992" s="7"/>
    </row>
    <row r="1993" spans="2:7" ht="15" x14ac:dyDescent="0.25">
      <c r="B1993" s="7"/>
      <c r="C1993" s="7"/>
      <c r="D1993" s="7"/>
      <c r="E1993" s="7"/>
      <c r="F1993" s="7"/>
      <c r="G1993" s="7"/>
    </row>
    <row r="1994" spans="2:7" ht="15" x14ac:dyDescent="0.25">
      <c r="B1994" s="7"/>
      <c r="C1994" s="7"/>
      <c r="D1994" s="7"/>
      <c r="E1994" s="7"/>
      <c r="F1994" s="7"/>
      <c r="G1994" s="7"/>
    </row>
    <row r="1995" spans="2:7" ht="15" x14ac:dyDescent="0.25">
      <c r="B1995" s="7"/>
      <c r="C1995" s="7"/>
      <c r="D1995" s="7"/>
      <c r="E1995" s="7"/>
      <c r="F1995" s="7"/>
      <c r="G1995" s="7"/>
    </row>
    <row r="1996" spans="2:7" ht="15" x14ac:dyDescent="0.25">
      <c r="B1996" s="7"/>
      <c r="C1996" s="7"/>
      <c r="D1996" s="7"/>
      <c r="E1996" s="7"/>
      <c r="F1996" s="7"/>
      <c r="G1996" s="7"/>
    </row>
    <row r="1997" spans="2:7" ht="15" x14ac:dyDescent="0.25">
      <c r="B1997" s="7"/>
      <c r="C1997" s="7"/>
      <c r="D1997" s="7"/>
      <c r="E1997" s="7"/>
      <c r="F1997" s="7"/>
      <c r="G1997" s="7"/>
    </row>
    <row r="1998" spans="2:7" ht="15" x14ac:dyDescent="0.25">
      <c r="B1998" s="7"/>
      <c r="C1998" s="7"/>
      <c r="D1998" s="7"/>
      <c r="E1998" s="7"/>
      <c r="F1998" s="7"/>
      <c r="G1998" s="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U3325"/>
  <sheetViews>
    <sheetView zoomScale="220" zoomScaleNormal="220" workbookViewId="0">
      <selection activeCell="E3321" sqref="E3321"/>
    </sheetView>
  </sheetViews>
  <sheetFormatPr defaultRowHeight="15" x14ac:dyDescent="0.25"/>
  <cols>
    <col min="5" max="5" width="16.5703125" customWidth="1"/>
  </cols>
  <sheetData>
    <row r="1" spans="1:203" s="19" customFormat="1" x14ac:dyDescent="0.25"/>
    <row r="2" spans="1:203" s="17" customFormat="1" x14ac:dyDescent="0.25">
      <c r="A2">
        <v>82</v>
      </c>
      <c r="B2">
        <v>58</v>
      </c>
      <c r="C2">
        <v>2</v>
      </c>
      <c r="D2">
        <v>2</v>
      </c>
      <c r="E2" t="s">
        <v>225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</row>
    <row r="3" spans="1:203" x14ac:dyDescent="0.25">
      <c r="A3">
        <v>82</v>
      </c>
      <c r="B3">
        <v>60</v>
      </c>
      <c r="C3">
        <v>1</v>
      </c>
      <c r="D3">
        <v>1</v>
      </c>
      <c r="E3" t="s">
        <v>225</v>
      </c>
    </row>
    <row r="4" spans="1:203" x14ac:dyDescent="0.25">
      <c r="A4">
        <v>82</v>
      </c>
      <c r="B4">
        <v>61</v>
      </c>
      <c r="C4">
        <v>2</v>
      </c>
      <c r="D4">
        <v>2</v>
      </c>
      <c r="E4" t="s">
        <v>225</v>
      </c>
    </row>
    <row r="5" spans="1:203" x14ac:dyDescent="0.25">
      <c r="A5">
        <v>82</v>
      </c>
      <c r="B5">
        <v>63</v>
      </c>
      <c r="C5">
        <v>2</v>
      </c>
      <c r="D5">
        <v>2</v>
      </c>
      <c r="E5" t="s">
        <v>225</v>
      </c>
    </row>
    <row r="6" spans="1:203" x14ac:dyDescent="0.25">
      <c r="A6">
        <v>82</v>
      </c>
      <c r="B6">
        <v>390</v>
      </c>
      <c r="C6">
        <v>1</v>
      </c>
      <c r="D6">
        <v>1</v>
      </c>
      <c r="E6" t="s">
        <v>225</v>
      </c>
    </row>
    <row r="7" spans="1:203" x14ac:dyDescent="0.25">
      <c r="A7">
        <v>82</v>
      </c>
      <c r="B7">
        <v>467</v>
      </c>
      <c r="C7">
        <v>1</v>
      </c>
      <c r="D7">
        <v>1</v>
      </c>
      <c r="E7" t="s">
        <v>225</v>
      </c>
    </row>
    <row r="8" spans="1:203" x14ac:dyDescent="0.25">
      <c r="A8">
        <v>82</v>
      </c>
      <c r="B8">
        <v>583</v>
      </c>
      <c r="C8">
        <v>3</v>
      </c>
      <c r="D8">
        <v>3</v>
      </c>
      <c r="E8" t="s">
        <v>225</v>
      </c>
    </row>
    <row r="9" spans="1:203" x14ac:dyDescent="0.25">
      <c r="A9">
        <v>82</v>
      </c>
      <c r="B9">
        <v>604</v>
      </c>
      <c r="C9">
        <v>1</v>
      </c>
      <c r="D9">
        <v>1</v>
      </c>
      <c r="E9" t="s">
        <v>225</v>
      </c>
    </row>
    <row r="10" spans="1:203" x14ac:dyDescent="0.25">
      <c r="A10">
        <v>82</v>
      </c>
      <c r="B10">
        <v>613</v>
      </c>
      <c r="C10">
        <v>1</v>
      </c>
      <c r="D10">
        <v>1</v>
      </c>
      <c r="E10" t="s">
        <v>225</v>
      </c>
    </row>
    <row r="11" spans="1:203" x14ac:dyDescent="0.25">
      <c r="A11">
        <v>82</v>
      </c>
      <c r="B11">
        <v>641</v>
      </c>
      <c r="C11">
        <v>1</v>
      </c>
      <c r="D11">
        <v>1</v>
      </c>
      <c r="E11" t="s">
        <v>225</v>
      </c>
    </row>
    <row r="12" spans="1:203" x14ac:dyDescent="0.25">
      <c r="A12">
        <v>82</v>
      </c>
      <c r="B12">
        <v>674</v>
      </c>
      <c r="C12">
        <v>1</v>
      </c>
      <c r="D12">
        <v>1</v>
      </c>
      <c r="E12" t="s">
        <v>225</v>
      </c>
    </row>
    <row r="13" spans="1:203" x14ac:dyDescent="0.25">
      <c r="A13">
        <v>82</v>
      </c>
      <c r="B13">
        <v>675</v>
      </c>
      <c r="C13">
        <v>2</v>
      </c>
      <c r="D13">
        <v>2</v>
      </c>
      <c r="E13" t="s">
        <v>225</v>
      </c>
    </row>
    <row r="14" spans="1:203" x14ac:dyDescent="0.25">
      <c r="A14">
        <v>82</v>
      </c>
      <c r="B14">
        <v>676</v>
      </c>
      <c r="C14">
        <v>4</v>
      </c>
      <c r="D14">
        <v>4</v>
      </c>
      <c r="E14" t="s">
        <v>225</v>
      </c>
    </row>
    <row r="15" spans="1:203" x14ac:dyDescent="0.25">
      <c r="A15">
        <v>82</v>
      </c>
      <c r="B15">
        <v>677</v>
      </c>
      <c r="C15">
        <v>3</v>
      </c>
      <c r="D15">
        <v>3</v>
      </c>
      <c r="E15" t="s">
        <v>225</v>
      </c>
    </row>
    <row r="16" spans="1:203" x14ac:dyDescent="0.25">
      <c r="A16">
        <v>114</v>
      </c>
      <c r="B16">
        <v>1</v>
      </c>
      <c r="C16">
        <v>2</v>
      </c>
      <c r="D16">
        <v>2</v>
      </c>
      <c r="E16" t="s">
        <v>225</v>
      </c>
    </row>
    <row r="17" spans="1:5" x14ac:dyDescent="0.25">
      <c r="A17">
        <v>114</v>
      </c>
      <c r="B17">
        <v>2</v>
      </c>
      <c r="C17">
        <v>4</v>
      </c>
      <c r="D17">
        <v>4</v>
      </c>
      <c r="E17" t="s">
        <v>225</v>
      </c>
    </row>
    <row r="18" spans="1:5" x14ac:dyDescent="0.25">
      <c r="A18">
        <v>114</v>
      </c>
      <c r="B18">
        <v>4</v>
      </c>
      <c r="C18">
        <v>1</v>
      </c>
      <c r="D18">
        <v>1</v>
      </c>
      <c r="E18" t="s">
        <v>225</v>
      </c>
    </row>
    <row r="19" spans="1:5" x14ac:dyDescent="0.25">
      <c r="A19">
        <v>114</v>
      </c>
      <c r="B19">
        <v>5</v>
      </c>
      <c r="C19">
        <v>2</v>
      </c>
      <c r="D19">
        <v>2</v>
      </c>
      <c r="E19" t="s">
        <v>225</v>
      </c>
    </row>
    <row r="20" spans="1:5" x14ac:dyDescent="0.25">
      <c r="A20">
        <v>114</v>
      </c>
      <c r="B20">
        <v>6</v>
      </c>
      <c r="C20">
        <v>2</v>
      </c>
      <c r="D20">
        <v>2</v>
      </c>
      <c r="E20" t="s">
        <v>225</v>
      </c>
    </row>
    <row r="21" spans="1:5" x14ac:dyDescent="0.25">
      <c r="A21">
        <v>114</v>
      </c>
      <c r="B21">
        <v>7</v>
      </c>
      <c r="C21">
        <v>5</v>
      </c>
      <c r="D21">
        <v>5</v>
      </c>
      <c r="E21" t="s">
        <v>225</v>
      </c>
    </row>
    <row r="22" spans="1:5" x14ac:dyDescent="0.25">
      <c r="A22">
        <v>114</v>
      </c>
      <c r="B22">
        <v>8</v>
      </c>
      <c r="C22">
        <v>3</v>
      </c>
      <c r="D22">
        <v>3</v>
      </c>
      <c r="E22" t="s">
        <v>225</v>
      </c>
    </row>
    <row r="23" spans="1:5" x14ac:dyDescent="0.25">
      <c r="A23">
        <v>114</v>
      </c>
      <c r="B23">
        <v>9</v>
      </c>
      <c r="C23">
        <v>2</v>
      </c>
      <c r="D23">
        <v>2</v>
      </c>
      <c r="E23" t="s">
        <v>225</v>
      </c>
    </row>
    <row r="24" spans="1:5" x14ac:dyDescent="0.25">
      <c r="A24">
        <v>114</v>
      </c>
      <c r="B24">
        <v>27</v>
      </c>
      <c r="C24">
        <v>1</v>
      </c>
      <c r="D24">
        <v>1</v>
      </c>
      <c r="E24" t="s">
        <v>225</v>
      </c>
    </row>
    <row r="25" spans="1:5" x14ac:dyDescent="0.25">
      <c r="A25">
        <v>114</v>
      </c>
      <c r="B25">
        <v>28</v>
      </c>
      <c r="C25">
        <v>2</v>
      </c>
      <c r="D25">
        <v>2</v>
      </c>
      <c r="E25" t="s">
        <v>225</v>
      </c>
    </row>
    <row r="26" spans="1:5" x14ac:dyDescent="0.25">
      <c r="A26">
        <v>114</v>
      </c>
      <c r="B26">
        <v>29</v>
      </c>
      <c r="C26">
        <v>3</v>
      </c>
      <c r="D26">
        <v>3</v>
      </c>
      <c r="E26" t="s">
        <v>225</v>
      </c>
    </row>
    <row r="27" spans="1:5" x14ac:dyDescent="0.25">
      <c r="A27">
        <v>114</v>
      </c>
      <c r="B27">
        <v>30</v>
      </c>
      <c r="C27">
        <v>3</v>
      </c>
      <c r="D27">
        <v>3</v>
      </c>
      <c r="E27" t="s">
        <v>225</v>
      </c>
    </row>
    <row r="28" spans="1:5" x14ac:dyDescent="0.25">
      <c r="A28">
        <v>114</v>
      </c>
      <c r="B28">
        <v>62</v>
      </c>
      <c r="C28">
        <v>2</v>
      </c>
      <c r="D28">
        <v>2</v>
      </c>
      <c r="E28" t="s">
        <v>225</v>
      </c>
    </row>
    <row r="29" spans="1:5" x14ac:dyDescent="0.25">
      <c r="A29">
        <v>114</v>
      </c>
      <c r="B29">
        <v>63</v>
      </c>
      <c r="C29">
        <v>2</v>
      </c>
      <c r="D29">
        <v>2</v>
      </c>
      <c r="E29" t="s">
        <v>225</v>
      </c>
    </row>
    <row r="30" spans="1:5" x14ac:dyDescent="0.25">
      <c r="A30">
        <v>114</v>
      </c>
      <c r="B30">
        <v>64</v>
      </c>
      <c r="C30">
        <v>2</v>
      </c>
      <c r="D30">
        <v>2</v>
      </c>
      <c r="E30" t="s">
        <v>225</v>
      </c>
    </row>
    <row r="31" spans="1:5" x14ac:dyDescent="0.25">
      <c r="A31">
        <v>114</v>
      </c>
      <c r="B31">
        <v>65</v>
      </c>
      <c r="C31">
        <v>4</v>
      </c>
      <c r="D31">
        <v>4</v>
      </c>
      <c r="E31" t="s">
        <v>225</v>
      </c>
    </row>
    <row r="32" spans="1:5" x14ac:dyDescent="0.25">
      <c r="A32">
        <v>114</v>
      </c>
      <c r="B32">
        <v>66</v>
      </c>
      <c r="C32">
        <v>1</v>
      </c>
      <c r="D32">
        <v>1</v>
      </c>
      <c r="E32" t="s">
        <v>225</v>
      </c>
    </row>
    <row r="33" spans="1:5" x14ac:dyDescent="0.25">
      <c r="A33">
        <v>114</v>
      </c>
      <c r="B33">
        <v>68</v>
      </c>
      <c r="C33">
        <v>3</v>
      </c>
      <c r="D33">
        <v>3</v>
      </c>
      <c r="E33" t="s">
        <v>225</v>
      </c>
    </row>
    <row r="34" spans="1:5" x14ac:dyDescent="0.25">
      <c r="A34">
        <v>114</v>
      </c>
      <c r="B34">
        <v>69</v>
      </c>
      <c r="C34">
        <v>4</v>
      </c>
      <c r="D34">
        <v>4</v>
      </c>
      <c r="E34" t="s">
        <v>225</v>
      </c>
    </row>
    <row r="35" spans="1:5" x14ac:dyDescent="0.25">
      <c r="A35">
        <v>114</v>
      </c>
      <c r="B35">
        <v>70</v>
      </c>
      <c r="C35">
        <v>2</v>
      </c>
      <c r="D35">
        <v>2</v>
      </c>
      <c r="E35" t="s">
        <v>225</v>
      </c>
    </row>
    <row r="36" spans="1:5" x14ac:dyDescent="0.25">
      <c r="A36">
        <v>114</v>
      </c>
      <c r="B36">
        <v>115</v>
      </c>
      <c r="C36">
        <v>3</v>
      </c>
      <c r="D36">
        <v>3</v>
      </c>
      <c r="E36" t="s">
        <v>225</v>
      </c>
    </row>
    <row r="37" spans="1:5" x14ac:dyDescent="0.25">
      <c r="A37">
        <v>114</v>
      </c>
      <c r="B37">
        <v>116</v>
      </c>
      <c r="C37">
        <v>5</v>
      </c>
      <c r="D37">
        <v>5</v>
      </c>
      <c r="E37" t="s">
        <v>225</v>
      </c>
    </row>
    <row r="38" spans="1:5" x14ac:dyDescent="0.25">
      <c r="A38">
        <v>114</v>
      </c>
      <c r="B38">
        <v>117</v>
      </c>
      <c r="C38">
        <v>3</v>
      </c>
      <c r="D38">
        <v>3</v>
      </c>
      <c r="E38" t="s">
        <v>225</v>
      </c>
    </row>
    <row r="39" spans="1:5" x14ac:dyDescent="0.25">
      <c r="A39">
        <v>114</v>
      </c>
      <c r="B39">
        <v>118</v>
      </c>
      <c r="C39">
        <v>3</v>
      </c>
      <c r="D39">
        <v>3</v>
      </c>
      <c r="E39" t="s">
        <v>225</v>
      </c>
    </row>
    <row r="40" spans="1:5" x14ac:dyDescent="0.25">
      <c r="A40">
        <v>114</v>
      </c>
      <c r="B40">
        <v>119</v>
      </c>
      <c r="C40">
        <v>2</v>
      </c>
      <c r="D40">
        <v>2</v>
      </c>
      <c r="E40" t="s">
        <v>225</v>
      </c>
    </row>
    <row r="41" spans="1:5" x14ac:dyDescent="0.25">
      <c r="A41">
        <v>114</v>
      </c>
      <c r="B41">
        <v>120</v>
      </c>
      <c r="C41">
        <v>5</v>
      </c>
      <c r="D41">
        <v>5</v>
      </c>
      <c r="E41" t="s">
        <v>225</v>
      </c>
    </row>
    <row r="42" spans="1:5" x14ac:dyDescent="0.25">
      <c r="A42">
        <v>114</v>
      </c>
      <c r="B42">
        <v>121</v>
      </c>
      <c r="C42">
        <v>2</v>
      </c>
      <c r="D42">
        <v>2</v>
      </c>
      <c r="E42" t="s">
        <v>225</v>
      </c>
    </row>
    <row r="43" spans="1:5" x14ac:dyDescent="0.25">
      <c r="A43">
        <v>114</v>
      </c>
      <c r="B43">
        <v>122</v>
      </c>
      <c r="C43">
        <v>1</v>
      </c>
      <c r="D43">
        <v>1</v>
      </c>
      <c r="E43" t="s">
        <v>225</v>
      </c>
    </row>
    <row r="44" spans="1:5" x14ac:dyDescent="0.25">
      <c r="A44">
        <v>114</v>
      </c>
      <c r="B44">
        <v>123</v>
      </c>
      <c r="C44">
        <v>3</v>
      </c>
      <c r="D44">
        <v>3</v>
      </c>
      <c r="E44" t="s">
        <v>225</v>
      </c>
    </row>
    <row r="45" spans="1:5" x14ac:dyDescent="0.25">
      <c r="A45">
        <v>114</v>
      </c>
      <c r="B45">
        <v>172</v>
      </c>
      <c r="C45">
        <v>1</v>
      </c>
      <c r="D45">
        <v>1</v>
      </c>
      <c r="E45" t="s">
        <v>225</v>
      </c>
    </row>
    <row r="46" spans="1:5" x14ac:dyDescent="0.25">
      <c r="A46">
        <v>114</v>
      </c>
      <c r="B46">
        <v>173</v>
      </c>
      <c r="C46">
        <v>2</v>
      </c>
      <c r="D46">
        <v>2</v>
      </c>
      <c r="E46" t="s">
        <v>225</v>
      </c>
    </row>
    <row r="47" spans="1:5" x14ac:dyDescent="0.25">
      <c r="A47">
        <v>114</v>
      </c>
      <c r="B47">
        <v>174</v>
      </c>
      <c r="C47">
        <v>1</v>
      </c>
      <c r="D47">
        <v>1</v>
      </c>
      <c r="E47" t="s">
        <v>225</v>
      </c>
    </row>
    <row r="48" spans="1:5" x14ac:dyDescent="0.25">
      <c r="A48">
        <v>114</v>
      </c>
      <c r="B48">
        <v>182</v>
      </c>
      <c r="C48">
        <v>3</v>
      </c>
      <c r="D48">
        <v>3</v>
      </c>
      <c r="E48" t="s">
        <v>225</v>
      </c>
    </row>
    <row r="49" spans="1:6" x14ac:dyDescent="0.25">
      <c r="A49">
        <v>114</v>
      </c>
      <c r="B49">
        <v>183</v>
      </c>
      <c r="C49">
        <v>2</v>
      </c>
      <c r="D49">
        <v>2</v>
      </c>
      <c r="E49" t="s">
        <v>225</v>
      </c>
    </row>
    <row r="50" spans="1:6" x14ac:dyDescent="0.25">
      <c r="A50">
        <v>114</v>
      </c>
      <c r="B50">
        <v>184</v>
      </c>
      <c r="C50">
        <v>1</v>
      </c>
      <c r="D50">
        <v>1</v>
      </c>
      <c r="E50" t="s">
        <v>225</v>
      </c>
    </row>
    <row r="51" spans="1:6" x14ac:dyDescent="0.25">
      <c r="A51">
        <v>114</v>
      </c>
      <c r="B51">
        <v>185</v>
      </c>
      <c r="C51">
        <v>3</v>
      </c>
      <c r="D51">
        <v>3</v>
      </c>
      <c r="E51" t="s">
        <v>225</v>
      </c>
    </row>
    <row r="52" spans="1:6" x14ac:dyDescent="0.25">
      <c r="A52">
        <v>114</v>
      </c>
      <c r="B52">
        <v>205</v>
      </c>
      <c r="C52">
        <v>5</v>
      </c>
      <c r="D52">
        <v>5</v>
      </c>
      <c r="E52" t="s">
        <v>225</v>
      </c>
    </row>
    <row r="53" spans="1:6" x14ac:dyDescent="0.25">
      <c r="A53">
        <v>114</v>
      </c>
      <c r="B53">
        <v>213</v>
      </c>
      <c r="C53">
        <v>5</v>
      </c>
      <c r="D53">
        <v>5</v>
      </c>
      <c r="E53" t="s">
        <v>225</v>
      </c>
    </row>
    <row r="54" spans="1:6" x14ac:dyDescent="0.25">
      <c r="A54">
        <v>114</v>
      </c>
      <c r="B54">
        <v>214</v>
      </c>
      <c r="C54">
        <v>3</v>
      </c>
      <c r="D54">
        <v>3</v>
      </c>
      <c r="E54" t="s">
        <v>225</v>
      </c>
    </row>
    <row r="55" spans="1:6" x14ac:dyDescent="0.25">
      <c r="A55">
        <v>114</v>
      </c>
      <c r="B55">
        <v>260</v>
      </c>
      <c r="C55">
        <v>1</v>
      </c>
      <c r="D55">
        <v>1</v>
      </c>
      <c r="E55" t="s">
        <v>225</v>
      </c>
    </row>
    <row r="56" spans="1:6" x14ac:dyDescent="0.25">
      <c r="A56">
        <v>114</v>
      </c>
      <c r="B56">
        <v>276</v>
      </c>
      <c r="C56">
        <v>3</v>
      </c>
      <c r="D56">
        <v>3</v>
      </c>
      <c r="E56" t="s">
        <v>225</v>
      </c>
    </row>
    <row r="57" spans="1:6" x14ac:dyDescent="0.25">
      <c r="A57">
        <v>114</v>
      </c>
      <c r="B57">
        <v>284</v>
      </c>
      <c r="C57">
        <v>1</v>
      </c>
      <c r="D57">
        <v>1</v>
      </c>
      <c r="E57" t="s">
        <v>225</v>
      </c>
    </row>
    <row r="58" spans="1:6" x14ac:dyDescent="0.25">
      <c r="A58">
        <v>114</v>
      </c>
      <c r="B58">
        <v>298</v>
      </c>
      <c r="C58">
        <v>3</v>
      </c>
      <c r="D58">
        <v>3</v>
      </c>
      <c r="E58" t="s">
        <v>225</v>
      </c>
    </row>
    <row r="59" spans="1:6" x14ac:dyDescent="0.25">
      <c r="A59">
        <v>114</v>
      </c>
      <c r="B59">
        <v>299</v>
      </c>
      <c r="C59">
        <v>2</v>
      </c>
      <c r="D59">
        <v>2</v>
      </c>
      <c r="E59" t="s">
        <v>225</v>
      </c>
    </row>
    <row r="60" spans="1:6" x14ac:dyDescent="0.25">
      <c r="A60">
        <v>114</v>
      </c>
      <c r="B60">
        <v>318</v>
      </c>
      <c r="C60">
        <v>3</v>
      </c>
      <c r="D60">
        <v>3</v>
      </c>
      <c r="E60" t="s">
        <v>225</v>
      </c>
    </row>
    <row r="61" spans="1:6" x14ac:dyDescent="0.25">
      <c r="A61">
        <v>114</v>
      </c>
      <c r="B61">
        <v>320</v>
      </c>
      <c r="C61">
        <v>3</v>
      </c>
      <c r="D61">
        <v>3</v>
      </c>
      <c r="E61" t="s">
        <v>225</v>
      </c>
    </row>
    <row r="62" spans="1:6" x14ac:dyDescent="0.25">
      <c r="A62">
        <v>114</v>
      </c>
      <c r="B62">
        <v>326</v>
      </c>
      <c r="C62">
        <v>2</v>
      </c>
      <c r="D62">
        <v>2</v>
      </c>
      <c r="E62" t="s">
        <v>225</v>
      </c>
    </row>
    <row r="63" spans="1:6" x14ac:dyDescent="0.25">
      <c r="A63">
        <v>114</v>
      </c>
      <c r="B63">
        <v>356</v>
      </c>
      <c r="C63">
        <v>2</v>
      </c>
      <c r="D63">
        <v>2</v>
      </c>
      <c r="E63" t="s">
        <v>225</v>
      </c>
    </row>
    <row r="64" spans="1:6" x14ac:dyDescent="0.25">
      <c r="A64">
        <v>114</v>
      </c>
      <c r="B64">
        <v>361</v>
      </c>
      <c r="C64">
        <v>1</v>
      </c>
      <c r="D64">
        <v>1</v>
      </c>
      <c r="E64" t="s">
        <v>225</v>
      </c>
      <c r="F64">
        <f>SUM(D2:D64)</f>
        <v>149</v>
      </c>
    </row>
    <row r="65" spans="1:6" x14ac:dyDescent="0.25">
      <c r="A65">
        <v>80</v>
      </c>
      <c r="B65">
        <v>197</v>
      </c>
      <c r="C65">
        <v>1</v>
      </c>
      <c r="D65">
        <v>1</v>
      </c>
      <c r="E65" t="s">
        <v>226</v>
      </c>
    </row>
    <row r="66" spans="1:6" x14ac:dyDescent="0.25">
      <c r="A66">
        <v>80</v>
      </c>
      <c r="B66">
        <v>199</v>
      </c>
      <c r="C66">
        <v>1</v>
      </c>
      <c r="D66">
        <v>1</v>
      </c>
      <c r="E66" t="s">
        <v>226</v>
      </c>
    </row>
    <row r="67" spans="1:6" x14ac:dyDescent="0.25">
      <c r="A67">
        <v>80</v>
      </c>
      <c r="B67">
        <v>299</v>
      </c>
      <c r="C67">
        <v>1</v>
      </c>
      <c r="D67">
        <v>1</v>
      </c>
      <c r="E67" t="s">
        <v>226</v>
      </c>
    </row>
    <row r="68" spans="1:6" x14ac:dyDescent="0.25">
      <c r="A68">
        <v>80</v>
      </c>
      <c r="B68">
        <v>401</v>
      </c>
      <c r="C68">
        <v>1</v>
      </c>
      <c r="D68">
        <v>1</v>
      </c>
      <c r="E68" t="s">
        <v>226</v>
      </c>
    </row>
    <row r="69" spans="1:6" x14ac:dyDescent="0.25">
      <c r="A69">
        <v>80</v>
      </c>
      <c r="B69">
        <v>405</v>
      </c>
      <c r="C69">
        <v>2</v>
      </c>
      <c r="D69">
        <v>2</v>
      </c>
      <c r="E69" t="s">
        <v>226</v>
      </c>
    </row>
    <row r="70" spans="1:6" x14ac:dyDescent="0.25">
      <c r="A70">
        <v>80</v>
      </c>
      <c r="B70">
        <v>410</v>
      </c>
      <c r="C70">
        <v>1</v>
      </c>
      <c r="D70">
        <v>1</v>
      </c>
      <c r="E70" t="s">
        <v>226</v>
      </c>
    </row>
    <row r="71" spans="1:6" x14ac:dyDescent="0.25">
      <c r="A71">
        <v>80</v>
      </c>
      <c r="B71">
        <v>413</v>
      </c>
      <c r="C71">
        <v>1</v>
      </c>
      <c r="D71">
        <v>1</v>
      </c>
      <c r="E71" t="s">
        <v>226</v>
      </c>
    </row>
    <row r="72" spans="1:6" x14ac:dyDescent="0.25">
      <c r="A72">
        <v>80</v>
      </c>
      <c r="B72">
        <v>432</v>
      </c>
      <c r="C72">
        <v>1</v>
      </c>
      <c r="D72">
        <v>1</v>
      </c>
      <c r="E72" t="s">
        <v>226</v>
      </c>
      <c r="F72">
        <f>SUM(D65:D72)</f>
        <v>9</v>
      </c>
    </row>
    <row r="73" spans="1:6" x14ac:dyDescent="0.25">
      <c r="A73">
        <v>80</v>
      </c>
      <c r="B73">
        <v>264</v>
      </c>
      <c r="C73">
        <v>1</v>
      </c>
      <c r="D73">
        <v>1</v>
      </c>
      <c r="E73" t="s">
        <v>166</v>
      </c>
      <c r="F73">
        <v>1</v>
      </c>
    </row>
    <row r="74" spans="1:6" x14ac:dyDescent="0.25">
      <c r="A74">
        <v>1</v>
      </c>
      <c r="B74">
        <v>41</v>
      </c>
      <c r="C74">
        <v>1</v>
      </c>
      <c r="D74">
        <v>1</v>
      </c>
      <c r="E74" t="s">
        <v>145</v>
      </c>
    </row>
    <row r="75" spans="1:6" x14ac:dyDescent="0.25">
      <c r="A75">
        <v>1</v>
      </c>
      <c r="B75">
        <v>42</v>
      </c>
      <c r="C75">
        <v>2</v>
      </c>
      <c r="D75">
        <v>2</v>
      </c>
      <c r="E75" t="s">
        <v>145</v>
      </c>
    </row>
    <row r="76" spans="1:6" x14ac:dyDescent="0.25">
      <c r="A76">
        <v>1</v>
      </c>
      <c r="B76">
        <v>800</v>
      </c>
      <c r="C76">
        <v>1</v>
      </c>
      <c r="D76">
        <v>1</v>
      </c>
      <c r="E76" t="s">
        <v>145</v>
      </c>
    </row>
    <row r="77" spans="1:6" x14ac:dyDescent="0.25">
      <c r="A77">
        <v>1</v>
      </c>
      <c r="B77">
        <v>845</v>
      </c>
      <c r="C77">
        <v>1</v>
      </c>
      <c r="D77">
        <v>1</v>
      </c>
      <c r="E77" t="s">
        <v>145</v>
      </c>
    </row>
    <row r="78" spans="1:6" x14ac:dyDescent="0.25">
      <c r="A78">
        <v>1</v>
      </c>
      <c r="B78">
        <v>850</v>
      </c>
      <c r="C78">
        <v>2</v>
      </c>
      <c r="D78">
        <v>2</v>
      </c>
      <c r="E78" t="s">
        <v>145</v>
      </c>
    </row>
    <row r="79" spans="1:6" x14ac:dyDescent="0.25">
      <c r="A79">
        <v>1</v>
      </c>
      <c r="B79">
        <v>871</v>
      </c>
      <c r="C79">
        <v>1</v>
      </c>
      <c r="D79">
        <v>1</v>
      </c>
      <c r="E79" t="s">
        <v>145</v>
      </c>
    </row>
    <row r="80" spans="1:6" x14ac:dyDescent="0.25">
      <c r="A80">
        <v>1</v>
      </c>
      <c r="B80">
        <v>879</v>
      </c>
      <c r="C80">
        <v>1</v>
      </c>
      <c r="D80">
        <v>1</v>
      </c>
      <c r="E80" t="s">
        <v>145</v>
      </c>
    </row>
    <row r="81" spans="1:5" x14ac:dyDescent="0.25">
      <c r="A81">
        <v>1</v>
      </c>
      <c r="B81">
        <v>883</v>
      </c>
      <c r="C81">
        <v>1</v>
      </c>
      <c r="D81">
        <v>1</v>
      </c>
      <c r="E81" t="s">
        <v>145</v>
      </c>
    </row>
    <row r="82" spans="1:5" x14ac:dyDescent="0.25">
      <c r="A82">
        <v>1</v>
      </c>
      <c r="B82">
        <v>887</v>
      </c>
      <c r="C82">
        <v>3</v>
      </c>
      <c r="D82">
        <v>3</v>
      </c>
      <c r="E82" t="s">
        <v>145</v>
      </c>
    </row>
    <row r="83" spans="1:5" x14ac:dyDescent="0.25">
      <c r="A83">
        <v>3</v>
      </c>
      <c r="B83">
        <v>382</v>
      </c>
      <c r="C83">
        <v>1</v>
      </c>
      <c r="D83">
        <v>1</v>
      </c>
      <c r="E83" t="s">
        <v>145</v>
      </c>
    </row>
    <row r="84" spans="1:5" x14ac:dyDescent="0.25">
      <c r="A84">
        <v>3</v>
      </c>
      <c r="B84">
        <v>393</v>
      </c>
      <c r="C84">
        <v>1</v>
      </c>
      <c r="D84">
        <v>1</v>
      </c>
      <c r="E84" t="s">
        <v>145</v>
      </c>
    </row>
    <row r="85" spans="1:5" x14ac:dyDescent="0.25">
      <c r="A85">
        <v>3</v>
      </c>
      <c r="B85">
        <v>394</v>
      </c>
      <c r="C85">
        <v>1</v>
      </c>
      <c r="D85">
        <v>1</v>
      </c>
      <c r="E85" t="s">
        <v>145</v>
      </c>
    </row>
    <row r="86" spans="1:5" x14ac:dyDescent="0.25">
      <c r="A86">
        <v>3</v>
      </c>
      <c r="B86">
        <v>396</v>
      </c>
      <c r="C86">
        <v>2</v>
      </c>
      <c r="D86">
        <v>2</v>
      </c>
      <c r="E86" t="s">
        <v>145</v>
      </c>
    </row>
    <row r="87" spans="1:5" x14ac:dyDescent="0.25">
      <c r="A87">
        <v>3</v>
      </c>
      <c r="B87">
        <v>397</v>
      </c>
      <c r="C87">
        <v>1</v>
      </c>
      <c r="D87">
        <v>1</v>
      </c>
      <c r="E87" t="s">
        <v>145</v>
      </c>
    </row>
    <row r="88" spans="1:5" x14ac:dyDescent="0.25">
      <c r="A88">
        <v>3</v>
      </c>
      <c r="B88">
        <v>401</v>
      </c>
      <c r="C88">
        <v>1</v>
      </c>
      <c r="D88">
        <v>1</v>
      </c>
      <c r="E88" t="s">
        <v>145</v>
      </c>
    </row>
    <row r="89" spans="1:5" x14ac:dyDescent="0.25">
      <c r="A89">
        <v>3</v>
      </c>
      <c r="B89">
        <v>403</v>
      </c>
      <c r="C89">
        <v>1</v>
      </c>
      <c r="D89">
        <v>1</v>
      </c>
      <c r="E89" t="s">
        <v>145</v>
      </c>
    </row>
    <row r="90" spans="1:5" x14ac:dyDescent="0.25">
      <c r="A90">
        <v>3</v>
      </c>
      <c r="B90">
        <v>406</v>
      </c>
      <c r="C90">
        <v>1</v>
      </c>
      <c r="D90">
        <v>1</v>
      </c>
      <c r="E90" t="s">
        <v>145</v>
      </c>
    </row>
    <row r="91" spans="1:5" x14ac:dyDescent="0.25">
      <c r="A91">
        <v>3</v>
      </c>
      <c r="B91">
        <v>407</v>
      </c>
      <c r="C91">
        <v>1</v>
      </c>
      <c r="D91">
        <v>1</v>
      </c>
      <c r="E91" t="s">
        <v>145</v>
      </c>
    </row>
    <row r="92" spans="1:5" x14ac:dyDescent="0.25">
      <c r="A92">
        <v>3</v>
      </c>
      <c r="B92">
        <v>408</v>
      </c>
      <c r="C92">
        <v>1</v>
      </c>
      <c r="D92">
        <v>1</v>
      </c>
      <c r="E92" t="s">
        <v>145</v>
      </c>
    </row>
    <row r="93" spans="1:5" x14ac:dyDescent="0.25">
      <c r="A93">
        <v>3</v>
      </c>
      <c r="B93">
        <v>409</v>
      </c>
      <c r="C93">
        <v>1</v>
      </c>
      <c r="D93">
        <v>1</v>
      </c>
      <c r="E93" t="s">
        <v>145</v>
      </c>
    </row>
    <row r="94" spans="1:5" x14ac:dyDescent="0.25">
      <c r="A94">
        <v>3</v>
      </c>
      <c r="B94">
        <v>410</v>
      </c>
      <c r="C94">
        <v>1</v>
      </c>
      <c r="D94">
        <v>1</v>
      </c>
      <c r="E94" t="s">
        <v>145</v>
      </c>
    </row>
    <row r="95" spans="1:5" x14ac:dyDescent="0.25">
      <c r="A95">
        <v>3</v>
      </c>
      <c r="B95">
        <v>411</v>
      </c>
      <c r="C95">
        <v>1</v>
      </c>
      <c r="D95">
        <v>1</v>
      </c>
      <c r="E95" t="s">
        <v>145</v>
      </c>
    </row>
    <row r="96" spans="1:5" x14ac:dyDescent="0.25">
      <c r="A96">
        <v>3</v>
      </c>
      <c r="B96">
        <v>413</v>
      </c>
      <c r="C96">
        <v>2</v>
      </c>
      <c r="D96">
        <v>2</v>
      </c>
      <c r="E96" t="s">
        <v>145</v>
      </c>
    </row>
    <row r="97" spans="1:5" x14ac:dyDescent="0.25">
      <c r="A97">
        <v>3</v>
      </c>
      <c r="B97">
        <v>418</v>
      </c>
      <c r="C97">
        <v>1</v>
      </c>
      <c r="D97">
        <v>1</v>
      </c>
      <c r="E97" t="s">
        <v>145</v>
      </c>
    </row>
    <row r="98" spans="1:5" x14ac:dyDescent="0.25">
      <c r="A98">
        <v>3</v>
      </c>
      <c r="B98">
        <v>420</v>
      </c>
      <c r="C98">
        <v>1</v>
      </c>
      <c r="D98">
        <v>1</v>
      </c>
      <c r="E98" t="s">
        <v>145</v>
      </c>
    </row>
    <row r="99" spans="1:5" x14ac:dyDescent="0.25">
      <c r="A99">
        <v>3</v>
      </c>
      <c r="B99">
        <v>436</v>
      </c>
      <c r="C99">
        <v>1</v>
      </c>
      <c r="D99">
        <v>1</v>
      </c>
      <c r="E99" t="s">
        <v>145</v>
      </c>
    </row>
    <row r="100" spans="1:5" x14ac:dyDescent="0.25">
      <c r="A100">
        <v>3</v>
      </c>
      <c r="B100">
        <v>438</v>
      </c>
      <c r="C100">
        <v>1</v>
      </c>
      <c r="D100">
        <v>1</v>
      </c>
      <c r="E100" t="s">
        <v>145</v>
      </c>
    </row>
    <row r="101" spans="1:5" x14ac:dyDescent="0.25">
      <c r="A101">
        <v>3</v>
      </c>
      <c r="B101">
        <v>440</v>
      </c>
      <c r="C101">
        <v>1</v>
      </c>
      <c r="D101">
        <v>1</v>
      </c>
      <c r="E101" t="s">
        <v>145</v>
      </c>
    </row>
    <row r="102" spans="1:5" x14ac:dyDescent="0.25">
      <c r="A102">
        <v>3</v>
      </c>
      <c r="B102">
        <v>442</v>
      </c>
      <c r="C102">
        <v>2</v>
      </c>
      <c r="D102">
        <v>2</v>
      </c>
      <c r="E102" t="s">
        <v>145</v>
      </c>
    </row>
    <row r="103" spans="1:5" x14ac:dyDescent="0.25">
      <c r="A103">
        <v>3</v>
      </c>
      <c r="B103">
        <v>451</v>
      </c>
      <c r="C103">
        <v>1</v>
      </c>
      <c r="D103">
        <v>1</v>
      </c>
      <c r="E103" t="s">
        <v>145</v>
      </c>
    </row>
    <row r="104" spans="1:5" x14ac:dyDescent="0.25">
      <c r="A104">
        <v>3</v>
      </c>
      <c r="B104">
        <v>452</v>
      </c>
      <c r="C104">
        <v>3</v>
      </c>
      <c r="D104">
        <v>3</v>
      </c>
      <c r="E104" t="s">
        <v>145</v>
      </c>
    </row>
    <row r="105" spans="1:5" x14ac:dyDescent="0.25">
      <c r="A105">
        <v>3</v>
      </c>
      <c r="B105">
        <v>458</v>
      </c>
      <c r="C105">
        <v>2</v>
      </c>
      <c r="D105">
        <v>2</v>
      </c>
      <c r="E105" t="s">
        <v>145</v>
      </c>
    </row>
    <row r="106" spans="1:5" x14ac:dyDescent="0.25">
      <c r="A106">
        <v>3</v>
      </c>
      <c r="B106">
        <v>474</v>
      </c>
      <c r="C106">
        <v>1</v>
      </c>
      <c r="D106">
        <v>1</v>
      </c>
      <c r="E106" t="s">
        <v>145</v>
      </c>
    </row>
    <row r="107" spans="1:5" x14ac:dyDescent="0.25">
      <c r="A107">
        <v>3</v>
      </c>
      <c r="B107">
        <v>475</v>
      </c>
      <c r="C107">
        <v>1</v>
      </c>
      <c r="D107">
        <v>1</v>
      </c>
      <c r="E107" t="s">
        <v>145</v>
      </c>
    </row>
    <row r="108" spans="1:5" x14ac:dyDescent="0.25">
      <c r="A108">
        <v>3</v>
      </c>
      <c r="B108">
        <v>477</v>
      </c>
      <c r="C108">
        <v>1</v>
      </c>
      <c r="D108">
        <v>1</v>
      </c>
      <c r="E108" t="s">
        <v>145</v>
      </c>
    </row>
    <row r="109" spans="1:5" x14ac:dyDescent="0.25">
      <c r="A109">
        <v>3</v>
      </c>
      <c r="B109">
        <v>533</v>
      </c>
      <c r="C109">
        <v>2</v>
      </c>
      <c r="D109">
        <v>2</v>
      </c>
      <c r="E109" t="s">
        <v>145</v>
      </c>
    </row>
    <row r="110" spans="1:5" x14ac:dyDescent="0.25">
      <c r="A110">
        <v>3</v>
      </c>
      <c r="B110">
        <v>563</v>
      </c>
      <c r="C110">
        <v>1</v>
      </c>
      <c r="D110">
        <v>1</v>
      </c>
      <c r="E110" t="s">
        <v>145</v>
      </c>
    </row>
    <row r="111" spans="1:5" x14ac:dyDescent="0.25">
      <c r="A111">
        <v>3</v>
      </c>
      <c r="B111">
        <v>564</v>
      </c>
      <c r="C111">
        <v>1</v>
      </c>
      <c r="D111">
        <v>1</v>
      </c>
      <c r="E111" t="s">
        <v>145</v>
      </c>
    </row>
    <row r="112" spans="1:5" x14ac:dyDescent="0.25">
      <c r="A112">
        <v>3</v>
      </c>
      <c r="B112">
        <v>568</v>
      </c>
      <c r="C112">
        <v>1</v>
      </c>
      <c r="D112">
        <v>1</v>
      </c>
      <c r="E112" t="s">
        <v>145</v>
      </c>
    </row>
    <row r="113" spans="1:6" x14ac:dyDescent="0.25">
      <c r="A113">
        <v>3</v>
      </c>
      <c r="B113">
        <v>590</v>
      </c>
      <c r="C113">
        <v>1</v>
      </c>
      <c r="D113">
        <v>1</v>
      </c>
      <c r="E113" t="s">
        <v>145</v>
      </c>
    </row>
    <row r="114" spans="1:6" x14ac:dyDescent="0.25">
      <c r="A114">
        <v>3</v>
      </c>
      <c r="B114">
        <v>592</v>
      </c>
      <c r="C114">
        <v>1</v>
      </c>
      <c r="D114">
        <v>1</v>
      </c>
      <c r="E114" t="s">
        <v>145</v>
      </c>
    </row>
    <row r="115" spans="1:6" x14ac:dyDescent="0.25">
      <c r="A115">
        <v>3</v>
      </c>
      <c r="B115">
        <v>595</v>
      </c>
      <c r="C115">
        <v>2</v>
      </c>
      <c r="D115">
        <v>2</v>
      </c>
      <c r="E115" t="s">
        <v>145</v>
      </c>
    </row>
    <row r="116" spans="1:6" x14ac:dyDescent="0.25">
      <c r="A116">
        <v>3</v>
      </c>
      <c r="B116">
        <v>596</v>
      </c>
      <c r="C116">
        <v>1</v>
      </c>
      <c r="D116">
        <v>1</v>
      </c>
      <c r="E116" t="s">
        <v>145</v>
      </c>
    </row>
    <row r="117" spans="1:6" x14ac:dyDescent="0.25">
      <c r="A117">
        <v>3</v>
      </c>
      <c r="B117">
        <v>598</v>
      </c>
      <c r="C117">
        <v>1</v>
      </c>
      <c r="D117">
        <v>1</v>
      </c>
      <c r="E117" t="s">
        <v>145</v>
      </c>
    </row>
    <row r="118" spans="1:6" x14ac:dyDescent="0.25">
      <c r="A118">
        <v>3</v>
      </c>
      <c r="B118">
        <v>599</v>
      </c>
      <c r="C118">
        <v>1</v>
      </c>
      <c r="D118">
        <v>1</v>
      </c>
      <c r="E118" t="s">
        <v>145</v>
      </c>
    </row>
    <row r="119" spans="1:6" x14ac:dyDescent="0.25">
      <c r="A119">
        <v>3</v>
      </c>
      <c r="B119">
        <v>604</v>
      </c>
      <c r="C119">
        <v>2</v>
      </c>
      <c r="D119">
        <v>2</v>
      </c>
      <c r="E119" t="s">
        <v>145</v>
      </c>
    </row>
    <row r="120" spans="1:6" x14ac:dyDescent="0.25">
      <c r="A120">
        <v>3</v>
      </c>
      <c r="B120">
        <v>620</v>
      </c>
      <c r="C120">
        <v>1</v>
      </c>
      <c r="D120">
        <v>1</v>
      </c>
      <c r="E120" t="s">
        <v>145</v>
      </c>
    </row>
    <row r="121" spans="1:6" x14ac:dyDescent="0.25">
      <c r="A121">
        <v>3</v>
      </c>
      <c r="B121">
        <v>624</v>
      </c>
      <c r="C121">
        <v>1</v>
      </c>
      <c r="D121">
        <v>1</v>
      </c>
      <c r="E121" t="s">
        <v>145</v>
      </c>
    </row>
    <row r="122" spans="1:6" x14ac:dyDescent="0.25">
      <c r="A122">
        <v>3</v>
      </c>
      <c r="B122">
        <v>625</v>
      </c>
      <c r="C122">
        <v>1</v>
      </c>
      <c r="D122">
        <v>1</v>
      </c>
      <c r="E122" t="s">
        <v>145</v>
      </c>
    </row>
    <row r="123" spans="1:6" x14ac:dyDescent="0.25">
      <c r="A123">
        <v>3</v>
      </c>
      <c r="B123">
        <v>628</v>
      </c>
      <c r="C123">
        <v>1</v>
      </c>
      <c r="D123">
        <v>1</v>
      </c>
      <c r="E123" t="s">
        <v>145</v>
      </c>
    </row>
    <row r="124" spans="1:6" x14ac:dyDescent="0.25">
      <c r="A124">
        <v>3</v>
      </c>
      <c r="B124">
        <v>629</v>
      </c>
      <c r="C124">
        <v>1</v>
      </c>
      <c r="D124">
        <v>1</v>
      </c>
      <c r="E124" t="s">
        <v>145</v>
      </c>
    </row>
    <row r="125" spans="1:6" x14ac:dyDescent="0.25">
      <c r="A125">
        <v>3</v>
      </c>
      <c r="B125">
        <v>632</v>
      </c>
      <c r="C125">
        <v>1</v>
      </c>
      <c r="D125">
        <v>1</v>
      </c>
      <c r="E125" t="s">
        <v>145</v>
      </c>
    </row>
    <row r="126" spans="1:6" x14ac:dyDescent="0.25">
      <c r="A126">
        <v>3</v>
      </c>
      <c r="B126">
        <v>644</v>
      </c>
      <c r="C126">
        <v>1</v>
      </c>
      <c r="D126">
        <v>1</v>
      </c>
      <c r="E126" t="s">
        <v>145</v>
      </c>
      <c r="F126">
        <f>SUM(D74:D126)</f>
        <v>66</v>
      </c>
    </row>
    <row r="127" spans="1:6" x14ac:dyDescent="0.25">
      <c r="A127">
        <v>80</v>
      </c>
      <c r="B127">
        <v>114</v>
      </c>
      <c r="C127">
        <v>1</v>
      </c>
      <c r="D127">
        <v>1</v>
      </c>
      <c r="E127" t="s">
        <v>227</v>
      </c>
    </row>
    <row r="128" spans="1:6" x14ac:dyDescent="0.25">
      <c r="A128">
        <v>80</v>
      </c>
      <c r="B128">
        <v>115</v>
      </c>
      <c r="C128">
        <v>1</v>
      </c>
      <c r="D128">
        <v>1</v>
      </c>
      <c r="E128" t="s">
        <v>227</v>
      </c>
    </row>
    <row r="129" spans="1:6" x14ac:dyDescent="0.25">
      <c r="A129">
        <v>80</v>
      </c>
      <c r="B129">
        <v>117</v>
      </c>
      <c r="C129">
        <v>1</v>
      </c>
      <c r="D129">
        <v>1</v>
      </c>
      <c r="E129" t="s">
        <v>227</v>
      </c>
    </row>
    <row r="130" spans="1:6" x14ac:dyDescent="0.25">
      <c r="A130">
        <v>80</v>
      </c>
      <c r="B130">
        <v>118</v>
      </c>
      <c r="C130">
        <v>3</v>
      </c>
      <c r="D130">
        <v>3</v>
      </c>
      <c r="E130" t="s">
        <v>227</v>
      </c>
    </row>
    <row r="131" spans="1:6" x14ac:dyDescent="0.25">
      <c r="A131">
        <v>80</v>
      </c>
      <c r="B131">
        <v>124</v>
      </c>
      <c r="C131">
        <v>1</v>
      </c>
      <c r="D131">
        <v>1</v>
      </c>
      <c r="E131" t="s">
        <v>227</v>
      </c>
    </row>
    <row r="132" spans="1:6" x14ac:dyDescent="0.25">
      <c r="A132">
        <v>80</v>
      </c>
      <c r="B132">
        <v>125</v>
      </c>
      <c r="C132">
        <v>1</v>
      </c>
      <c r="D132">
        <v>1</v>
      </c>
      <c r="E132" t="s">
        <v>227</v>
      </c>
    </row>
    <row r="133" spans="1:6" x14ac:dyDescent="0.25">
      <c r="A133">
        <v>80</v>
      </c>
      <c r="B133">
        <v>127</v>
      </c>
      <c r="C133">
        <v>1</v>
      </c>
      <c r="D133">
        <v>1</v>
      </c>
      <c r="E133" t="s">
        <v>227</v>
      </c>
    </row>
    <row r="134" spans="1:6" x14ac:dyDescent="0.25">
      <c r="A134">
        <v>80</v>
      </c>
      <c r="B134">
        <v>131</v>
      </c>
      <c r="C134">
        <v>1</v>
      </c>
      <c r="D134">
        <v>1</v>
      </c>
      <c r="E134" t="s">
        <v>227</v>
      </c>
    </row>
    <row r="135" spans="1:6" x14ac:dyDescent="0.25">
      <c r="A135">
        <v>80</v>
      </c>
      <c r="B135">
        <v>133</v>
      </c>
      <c r="C135">
        <v>2</v>
      </c>
      <c r="D135">
        <v>2</v>
      </c>
      <c r="E135" t="s">
        <v>227</v>
      </c>
    </row>
    <row r="136" spans="1:6" x14ac:dyDescent="0.25">
      <c r="A136">
        <v>80</v>
      </c>
      <c r="B136">
        <v>201</v>
      </c>
      <c r="C136">
        <v>1</v>
      </c>
      <c r="D136">
        <v>1</v>
      </c>
      <c r="E136" t="s">
        <v>227</v>
      </c>
    </row>
    <row r="137" spans="1:6" x14ac:dyDescent="0.25">
      <c r="A137">
        <v>80</v>
      </c>
      <c r="B137">
        <v>203</v>
      </c>
      <c r="C137">
        <v>1</v>
      </c>
      <c r="D137">
        <v>1</v>
      </c>
      <c r="E137" t="s">
        <v>227</v>
      </c>
    </row>
    <row r="138" spans="1:6" x14ac:dyDescent="0.25">
      <c r="A138">
        <v>80</v>
      </c>
      <c r="B138">
        <v>204</v>
      </c>
      <c r="C138">
        <v>1</v>
      </c>
      <c r="D138">
        <v>1</v>
      </c>
      <c r="E138" t="s">
        <v>227</v>
      </c>
    </row>
    <row r="139" spans="1:6" x14ac:dyDescent="0.25">
      <c r="A139">
        <v>80</v>
      </c>
      <c r="B139">
        <v>207</v>
      </c>
      <c r="C139">
        <v>1</v>
      </c>
      <c r="D139">
        <v>1</v>
      </c>
      <c r="E139" t="s">
        <v>227</v>
      </c>
    </row>
    <row r="140" spans="1:6" x14ac:dyDescent="0.25">
      <c r="A140">
        <v>80</v>
      </c>
      <c r="B140">
        <v>211</v>
      </c>
      <c r="C140">
        <v>2</v>
      </c>
      <c r="D140">
        <v>2</v>
      </c>
      <c r="E140" t="s">
        <v>227</v>
      </c>
    </row>
    <row r="141" spans="1:6" x14ac:dyDescent="0.25">
      <c r="A141">
        <v>80</v>
      </c>
      <c r="B141">
        <v>216</v>
      </c>
      <c r="C141">
        <v>1</v>
      </c>
      <c r="D141">
        <v>1</v>
      </c>
      <c r="E141" t="s">
        <v>227</v>
      </c>
    </row>
    <row r="142" spans="1:6" x14ac:dyDescent="0.25">
      <c r="A142">
        <v>80</v>
      </c>
      <c r="B142">
        <v>217</v>
      </c>
      <c r="C142">
        <v>1</v>
      </c>
      <c r="D142">
        <v>1</v>
      </c>
      <c r="E142" t="s">
        <v>227</v>
      </c>
    </row>
    <row r="143" spans="1:6" x14ac:dyDescent="0.25">
      <c r="A143">
        <v>80</v>
      </c>
      <c r="B143">
        <v>218</v>
      </c>
      <c r="C143">
        <v>2</v>
      </c>
      <c r="D143">
        <v>2</v>
      </c>
      <c r="E143" t="s">
        <v>227</v>
      </c>
    </row>
    <row r="144" spans="1:6" x14ac:dyDescent="0.25">
      <c r="A144">
        <v>80</v>
      </c>
      <c r="B144">
        <v>219</v>
      </c>
      <c r="C144">
        <v>1</v>
      </c>
      <c r="D144">
        <v>1</v>
      </c>
      <c r="E144" t="s">
        <v>227</v>
      </c>
      <c r="F144">
        <f>SUM(D127:D144)</f>
        <v>23</v>
      </c>
    </row>
    <row r="145" spans="1:6" x14ac:dyDescent="0.25">
      <c r="A145">
        <v>113</v>
      </c>
      <c r="B145">
        <v>255</v>
      </c>
      <c r="C145">
        <v>1</v>
      </c>
      <c r="D145">
        <v>1</v>
      </c>
      <c r="E145" t="s">
        <v>204</v>
      </c>
    </row>
    <row r="146" spans="1:6" x14ac:dyDescent="0.25">
      <c r="A146">
        <v>113</v>
      </c>
      <c r="B146">
        <v>257</v>
      </c>
      <c r="C146">
        <v>2</v>
      </c>
      <c r="D146">
        <v>2</v>
      </c>
      <c r="E146" t="s">
        <v>204</v>
      </c>
    </row>
    <row r="147" spans="1:6" x14ac:dyDescent="0.25">
      <c r="A147">
        <v>113</v>
      </c>
      <c r="B147">
        <v>258</v>
      </c>
      <c r="C147">
        <v>2</v>
      </c>
      <c r="D147">
        <v>2</v>
      </c>
      <c r="E147" t="s">
        <v>204</v>
      </c>
    </row>
    <row r="148" spans="1:6" x14ac:dyDescent="0.25">
      <c r="A148">
        <v>113</v>
      </c>
      <c r="B148">
        <v>261</v>
      </c>
      <c r="C148">
        <v>1</v>
      </c>
      <c r="D148">
        <v>1</v>
      </c>
      <c r="E148" t="s">
        <v>204</v>
      </c>
    </row>
    <row r="149" spans="1:6" x14ac:dyDescent="0.25">
      <c r="A149">
        <v>113</v>
      </c>
      <c r="B149">
        <v>263</v>
      </c>
      <c r="C149">
        <v>1</v>
      </c>
      <c r="D149">
        <v>1</v>
      </c>
      <c r="E149" t="s">
        <v>204</v>
      </c>
    </row>
    <row r="150" spans="1:6" x14ac:dyDescent="0.25">
      <c r="A150">
        <v>113</v>
      </c>
      <c r="B150">
        <v>317</v>
      </c>
      <c r="C150">
        <v>3</v>
      </c>
      <c r="D150">
        <v>3</v>
      </c>
      <c r="E150" t="s">
        <v>204</v>
      </c>
      <c r="F150">
        <f>SUM(D145:D150)</f>
        <v>10</v>
      </c>
    </row>
    <row r="151" spans="1:6" x14ac:dyDescent="0.25">
      <c r="A151">
        <v>95</v>
      </c>
      <c r="B151">
        <v>333</v>
      </c>
      <c r="C151">
        <v>3</v>
      </c>
      <c r="D151">
        <v>3</v>
      </c>
      <c r="E151" t="s">
        <v>193</v>
      </c>
    </row>
    <row r="152" spans="1:6" x14ac:dyDescent="0.25">
      <c r="A152">
        <v>95</v>
      </c>
      <c r="B152">
        <v>357</v>
      </c>
      <c r="C152">
        <v>1</v>
      </c>
      <c r="D152">
        <v>1</v>
      </c>
      <c r="E152" t="s">
        <v>193</v>
      </c>
    </row>
    <row r="153" spans="1:6" x14ac:dyDescent="0.25">
      <c r="A153">
        <v>95</v>
      </c>
      <c r="B153">
        <v>367</v>
      </c>
      <c r="C153">
        <v>1</v>
      </c>
      <c r="D153">
        <v>1</v>
      </c>
      <c r="E153" t="s">
        <v>193</v>
      </c>
      <c r="F153">
        <f>SUM(D151:D153)</f>
        <v>5</v>
      </c>
    </row>
    <row r="154" spans="1:6" x14ac:dyDescent="0.25">
      <c r="A154">
        <v>83</v>
      </c>
      <c r="B154">
        <v>4</v>
      </c>
      <c r="C154">
        <v>1</v>
      </c>
      <c r="D154">
        <v>1</v>
      </c>
      <c r="E154" t="s">
        <v>228</v>
      </c>
    </row>
    <row r="155" spans="1:6" x14ac:dyDescent="0.25">
      <c r="A155">
        <v>83</v>
      </c>
      <c r="B155">
        <v>777</v>
      </c>
      <c r="C155">
        <v>2</v>
      </c>
      <c r="D155">
        <v>2</v>
      </c>
      <c r="E155" t="s">
        <v>228</v>
      </c>
    </row>
    <row r="156" spans="1:6" x14ac:dyDescent="0.25">
      <c r="A156">
        <v>83</v>
      </c>
      <c r="B156">
        <v>788</v>
      </c>
      <c r="C156">
        <v>1</v>
      </c>
      <c r="D156">
        <v>1</v>
      </c>
      <c r="E156" t="s">
        <v>228</v>
      </c>
    </row>
    <row r="157" spans="1:6" x14ac:dyDescent="0.25">
      <c r="A157">
        <v>85</v>
      </c>
      <c r="B157">
        <v>170</v>
      </c>
      <c r="C157">
        <v>1</v>
      </c>
      <c r="D157">
        <v>1</v>
      </c>
      <c r="E157" t="s">
        <v>228</v>
      </c>
    </row>
    <row r="158" spans="1:6" x14ac:dyDescent="0.25">
      <c r="A158">
        <v>85</v>
      </c>
      <c r="B158">
        <v>171</v>
      </c>
      <c r="C158">
        <v>1</v>
      </c>
      <c r="D158">
        <v>1</v>
      </c>
      <c r="E158" t="s">
        <v>228</v>
      </c>
    </row>
    <row r="159" spans="1:6" x14ac:dyDescent="0.25">
      <c r="A159">
        <v>85</v>
      </c>
      <c r="B159">
        <v>173</v>
      </c>
      <c r="C159">
        <v>1</v>
      </c>
      <c r="D159">
        <v>1</v>
      </c>
      <c r="E159" t="s">
        <v>228</v>
      </c>
    </row>
    <row r="160" spans="1:6" x14ac:dyDescent="0.25">
      <c r="A160">
        <v>85</v>
      </c>
      <c r="B160">
        <v>175</v>
      </c>
      <c r="C160">
        <v>1</v>
      </c>
      <c r="D160">
        <v>1</v>
      </c>
      <c r="E160" t="s">
        <v>228</v>
      </c>
    </row>
    <row r="161" spans="1:5" x14ac:dyDescent="0.25">
      <c r="A161">
        <v>85</v>
      </c>
      <c r="B161">
        <v>255</v>
      </c>
      <c r="C161">
        <v>1</v>
      </c>
      <c r="D161">
        <v>1</v>
      </c>
      <c r="E161" t="s">
        <v>228</v>
      </c>
    </row>
    <row r="162" spans="1:5" x14ac:dyDescent="0.25">
      <c r="A162">
        <v>85</v>
      </c>
      <c r="B162">
        <v>257</v>
      </c>
      <c r="C162">
        <v>1</v>
      </c>
      <c r="D162">
        <v>1</v>
      </c>
      <c r="E162" t="s">
        <v>228</v>
      </c>
    </row>
    <row r="163" spans="1:5" x14ac:dyDescent="0.25">
      <c r="A163">
        <v>85</v>
      </c>
      <c r="B163">
        <v>288</v>
      </c>
      <c r="C163">
        <v>1</v>
      </c>
      <c r="D163">
        <v>1</v>
      </c>
      <c r="E163" t="s">
        <v>228</v>
      </c>
    </row>
    <row r="164" spans="1:5" x14ac:dyDescent="0.25">
      <c r="A164">
        <v>85</v>
      </c>
      <c r="B164">
        <v>289</v>
      </c>
      <c r="C164">
        <v>1</v>
      </c>
      <c r="D164">
        <v>1</v>
      </c>
      <c r="E164" t="s">
        <v>228</v>
      </c>
    </row>
    <row r="165" spans="1:5" x14ac:dyDescent="0.25">
      <c r="A165">
        <v>85</v>
      </c>
      <c r="B165">
        <v>290</v>
      </c>
      <c r="C165">
        <v>1</v>
      </c>
      <c r="D165">
        <v>1</v>
      </c>
      <c r="E165" t="s">
        <v>228</v>
      </c>
    </row>
    <row r="166" spans="1:5" x14ac:dyDescent="0.25">
      <c r="A166">
        <v>85</v>
      </c>
      <c r="B166">
        <v>291</v>
      </c>
      <c r="C166">
        <v>1</v>
      </c>
      <c r="D166">
        <v>1</v>
      </c>
      <c r="E166" t="s">
        <v>228</v>
      </c>
    </row>
    <row r="167" spans="1:5" x14ac:dyDescent="0.25">
      <c r="A167">
        <v>85</v>
      </c>
      <c r="B167">
        <v>293</v>
      </c>
      <c r="C167">
        <v>1</v>
      </c>
      <c r="D167">
        <v>1</v>
      </c>
      <c r="E167" t="s">
        <v>228</v>
      </c>
    </row>
    <row r="168" spans="1:5" x14ac:dyDescent="0.25">
      <c r="A168">
        <v>85</v>
      </c>
      <c r="B168">
        <v>296</v>
      </c>
      <c r="C168">
        <v>1</v>
      </c>
      <c r="D168">
        <v>1</v>
      </c>
      <c r="E168" t="s">
        <v>228</v>
      </c>
    </row>
    <row r="169" spans="1:5" x14ac:dyDescent="0.25">
      <c r="A169">
        <v>85</v>
      </c>
      <c r="B169">
        <v>300</v>
      </c>
      <c r="C169">
        <v>1</v>
      </c>
      <c r="D169">
        <v>1</v>
      </c>
      <c r="E169" t="s">
        <v>228</v>
      </c>
    </row>
    <row r="170" spans="1:5" x14ac:dyDescent="0.25">
      <c r="A170">
        <v>85</v>
      </c>
      <c r="B170">
        <v>302</v>
      </c>
      <c r="C170">
        <v>1</v>
      </c>
      <c r="D170">
        <v>1</v>
      </c>
      <c r="E170" t="s">
        <v>228</v>
      </c>
    </row>
    <row r="171" spans="1:5" x14ac:dyDescent="0.25">
      <c r="A171">
        <v>85</v>
      </c>
      <c r="B171">
        <v>334</v>
      </c>
      <c r="C171">
        <v>2</v>
      </c>
      <c r="D171">
        <v>2</v>
      </c>
      <c r="E171" t="s">
        <v>228</v>
      </c>
    </row>
    <row r="172" spans="1:5" x14ac:dyDescent="0.25">
      <c r="A172">
        <v>85</v>
      </c>
      <c r="B172">
        <v>368</v>
      </c>
      <c r="C172">
        <v>1</v>
      </c>
      <c r="D172">
        <v>1</v>
      </c>
      <c r="E172" t="s">
        <v>228</v>
      </c>
    </row>
    <row r="173" spans="1:5" x14ac:dyDescent="0.25">
      <c r="A173">
        <v>94</v>
      </c>
      <c r="B173">
        <v>32</v>
      </c>
      <c r="C173">
        <v>1</v>
      </c>
      <c r="D173">
        <v>1</v>
      </c>
      <c r="E173" t="s">
        <v>228</v>
      </c>
    </row>
    <row r="174" spans="1:5" x14ac:dyDescent="0.25">
      <c r="A174">
        <v>94</v>
      </c>
      <c r="B174">
        <v>33</v>
      </c>
      <c r="C174">
        <v>2</v>
      </c>
      <c r="D174">
        <v>2</v>
      </c>
      <c r="E174" t="s">
        <v>228</v>
      </c>
    </row>
    <row r="175" spans="1:5" x14ac:dyDescent="0.25">
      <c r="A175">
        <v>94</v>
      </c>
      <c r="B175">
        <v>34</v>
      </c>
      <c r="C175">
        <v>1</v>
      </c>
      <c r="D175">
        <v>1</v>
      </c>
      <c r="E175" t="s">
        <v>228</v>
      </c>
    </row>
    <row r="176" spans="1:5" x14ac:dyDescent="0.25">
      <c r="A176">
        <v>94</v>
      </c>
      <c r="B176">
        <v>35</v>
      </c>
      <c r="C176">
        <v>1</v>
      </c>
      <c r="D176">
        <v>1</v>
      </c>
      <c r="E176" t="s">
        <v>228</v>
      </c>
    </row>
    <row r="177" spans="1:5" x14ac:dyDescent="0.25">
      <c r="A177">
        <v>94</v>
      </c>
      <c r="B177">
        <v>44</v>
      </c>
      <c r="C177">
        <v>1</v>
      </c>
      <c r="D177">
        <v>1</v>
      </c>
      <c r="E177" t="s">
        <v>228</v>
      </c>
    </row>
    <row r="178" spans="1:5" x14ac:dyDescent="0.25">
      <c r="A178">
        <v>94</v>
      </c>
      <c r="B178">
        <v>45</v>
      </c>
      <c r="C178">
        <v>1</v>
      </c>
      <c r="D178">
        <v>1</v>
      </c>
      <c r="E178" t="s">
        <v>228</v>
      </c>
    </row>
    <row r="179" spans="1:5" x14ac:dyDescent="0.25">
      <c r="A179">
        <v>94</v>
      </c>
      <c r="B179">
        <v>46</v>
      </c>
      <c r="C179">
        <v>1</v>
      </c>
      <c r="D179">
        <v>1</v>
      </c>
      <c r="E179" t="s">
        <v>228</v>
      </c>
    </row>
    <row r="180" spans="1:5" x14ac:dyDescent="0.25">
      <c r="A180">
        <v>94</v>
      </c>
      <c r="B180">
        <v>48</v>
      </c>
      <c r="C180">
        <v>1</v>
      </c>
      <c r="D180">
        <v>1</v>
      </c>
      <c r="E180" t="s">
        <v>228</v>
      </c>
    </row>
    <row r="181" spans="1:5" x14ac:dyDescent="0.25">
      <c r="A181">
        <v>94</v>
      </c>
      <c r="B181">
        <v>61</v>
      </c>
      <c r="C181">
        <v>1</v>
      </c>
      <c r="D181">
        <v>1</v>
      </c>
      <c r="E181" t="s">
        <v>228</v>
      </c>
    </row>
    <row r="182" spans="1:5" x14ac:dyDescent="0.25">
      <c r="A182">
        <v>94</v>
      </c>
      <c r="B182">
        <v>65</v>
      </c>
      <c r="C182">
        <v>1</v>
      </c>
      <c r="D182">
        <v>1</v>
      </c>
      <c r="E182" t="s">
        <v>228</v>
      </c>
    </row>
    <row r="183" spans="1:5" x14ac:dyDescent="0.25">
      <c r="A183">
        <v>94</v>
      </c>
      <c r="B183">
        <v>66</v>
      </c>
      <c r="C183">
        <v>1</v>
      </c>
      <c r="D183">
        <v>1</v>
      </c>
      <c r="E183" t="s">
        <v>228</v>
      </c>
    </row>
    <row r="184" spans="1:5" x14ac:dyDescent="0.25">
      <c r="A184">
        <v>94</v>
      </c>
      <c r="B184">
        <v>67</v>
      </c>
      <c r="C184">
        <v>2</v>
      </c>
      <c r="D184">
        <v>2</v>
      </c>
      <c r="E184" t="s">
        <v>228</v>
      </c>
    </row>
    <row r="185" spans="1:5" x14ac:dyDescent="0.25">
      <c r="A185">
        <v>94</v>
      </c>
      <c r="B185">
        <v>68</v>
      </c>
      <c r="C185">
        <v>2</v>
      </c>
      <c r="D185">
        <v>2</v>
      </c>
      <c r="E185" t="s">
        <v>228</v>
      </c>
    </row>
    <row r="186" spans="1:5" x14ac:dyDescent="0.25">
      <c r="A186">
        <v>94</v>
      </c>
      <c r="B186">
        <v>213</v>
      </c>
      <c r="C186">
        <v>1</v>
      </c>
      <c r="D186">
        <v>1</v>
      </c>
      <c r="E186" t="s">
        <v>228</v>
      </c>
    </row>
    <row r="187" spans="1:5" x14ac:dyDescent="0.25">
      <c r="A187">
        <v>94</v>
      </c>
      <c r="B187">
        <v>438</v>
      </c>
      <c r="C187">
        <v>2</v>
      </c>
      <c r="D187">
        <v>2</v>
      </c>
      <c r="E187" t="s">
        <v>228</v>
      </c>
    </row>
    <row r="188" spans="1:5" x14ac:dyDescent="0.25">
      <c r="A188">
        <v>94</v>
      </c>
      <c r="B188">
        <v>446</v>
      </c>
      <c r="C188">
        <v>1</v>
      </c>
      <c r="D188">
        <v>1</v>
      </c>
      <c r="E188" t="s">
        <v>228</v>
      </c>
    </row>
    <row r="189" spans="1:5" x14ac:dyDescent="0.25">
      <c r="A189">
        <v>94</v>
      </c>
      <c r="B189">
        <v>552</v>
      </c>
      <c r="C189">
        <v>2</v>
      </c>
      <c r="D189">
        <v>2</v>
      </c>
      <c r="E189" t="s">
        <v>228</v>
      </c>
    </row>
    <row r="190" spans="1:5" x14ac:dyDescent="0.25">
      <c r="A190">
        <v>94</v>
      </c>
      <c r="B190">
        <v>696</v>
      </c>
      <c r="C190">
        <v>1</v>
      </c>
      <c r="D190">
        <v>1</v>
      </c>
      <c r="E190" t="s">
        <v>228</v>
      </c>
    </row>
    <row r="191" spans="1:5" x14ac:dyDescent="0.25">
      <c r="A191">
        <v>94</v>
      </c>
      <c r="B191">
        <v>763</v>
      </c>
      <c r="C191">
        <v>2</v>
      </c>
      <c r="D191">
        <v>2</v>
      </c>
      <c r="E191" t="s">
        <v>228</v>
      </c>
    </row>
    <row r="192" spans="1:5" x14ac:dyDescent="0.25">
      <c r="A192">
        <v>94</v>
      </c>
      <c r="B192">
        <v>811</v>
      </c>
      <c r="C192">
        <v>2</v>
      </c>
      <c r="D192">
        <v>2</v>
      </c>
      <c r="E192" t="s">
        <v>228</v>
      </c>
    </row>
    <row r="193" spans="1:6" x14ac:dyDescent="0.25">
      <c r="A193">
        <v>94</v>
      </c>
      <c r="B193">
        <v>813</v>
      </c>
      <c r="C193">
        <v>1</v>
      </c>
      <c r="D193">
        <v>1</v>
      </c>
      <c r="E193" t="s">
        <v>228</v>
      </c>
    </row>
    <row r="194" spans="1:6" x14ac:dyDescent="0.25">
      <c r="A194">
        <v>94</v>
      </c>
      <c r="B194">
        <v>838</v>
      </c>
      <c r="C194">
        <v>2</v>
      </c>
      <c r="D194">
        <v>2</v>
      </c>
      <c r="E194" t="s">
        <v>228</v>
      </c>
    </row>
    <row r="195" spans="1:6" x14ac:dyDescent="0.25">
      <c r="A195">
        <v>94</v>
      </c>
      <c r="B195">
        <v>850</v>
      </c>
      <c r="C195">
        <v>1</v>
      </c>
      <c r="D195">
        <v>1</v>
      </c>
      <c r="E195" t="s">
        <v>228</v>
      </c>
      <c r="F195">
        <f>SUM(D154:D195)</f>
        <v>52</v>
      </c>
    </row>
    <row r="196" spans="1:6" x14ac:dyDescent="0.25">
      <c r="A196">
        <v>85</v>
      </c>
      <c r="B196">
        <v>125</v>
      </c>
      <c r="C196">
        <v>1</v>
      </c>
      <c r="D196">
        <v>1</v>
      </c>
      <c r="E196" t="s">
        <v>179</v>
      </c>
    </row>
    <row r="197" spans="1:6" x14ac:dyDescent="0.25">
      <c r="A197">
        <v>85</v>
      </c>
      <c r="B197">
        <v>127</v>
      </c>
      <c r="C197">
        <v>2</v>
      </c>
      <c r="D197">
        <v>2</v>
      </c>
      <c r="E197" t="s">
        <v>179</v>
      </c>
    </row>
    <row r="198" spans="1:6" x14ac:dyDescent="0.25">
      <c r="A198">
        <v>85</v>
      </c>
      <c r="B198">
        <v>128</v>
      </c>
      <c r="C198">
        <v>1</v>
      </c>
      <c r="D198">
        <v>1</v>
      </c>
      <c r="E198" t="s">
        <v>179</v>
      </c>
    </row>
    <row r="199" spans="1:6" x14ac:dyDescent="0.25">
      <c r="A199">
        <v>85</v>
      </c>
      <c r="B199">
        <v>129</v>
      </c>
      <c r="C199">
        <v>1</v>
      </c>
      <c r="D199">
        <v>1</v>
      </c>
      <c r="E199" t="s">
        <v>179</v>
      </c>
    </row>
    <row r="200" spans="1:6" x14ac:dyDescent="0.25">
      <c r="A200">
        <v>85</v>
      </c>
      <c r="B200">
        <v>130</v>
      </c>
      <c r="C200">
        <v>1</v>
      </c>
      <c r="D200">
        <v>1</v>
      </c>
      <c r="E200" t="s">
        <v>179</v>
      </c>
    </row>
    <row r="201" spans="1:6" x14ac:dyDescent="0.25">
      <c r="A201">
        <v>85</v>
      </c>
      <c r="B201">
        <v>131</v>
      </c>
      <c r="C201">
        <v>1</v>
      </c>
      <c r="D201">
        <v>1</v>
      </c>
      <c r="E201" t="s">
        <v>179</v>
      </c>
    </row>
    <row r="202" spans="1:6" x14ac:dyDescent="0.25">
      <c r="A202">
        <v>85</v>
      </c>
      <c r="B202">
        <v>160</v>
      </c>
      <c r="C202">
        <v>1</v>
      </c>
      <c r="D202">
        <v>1</v>
      </c>
      <c r="E202" t="s">
        <v>179</v>
      </c>
    </row>
    <row r="203" spans="1:6" x14ac:dyDescent="0.25">
      <c r="A203">
        <v>85</v>
      </c>
      <c r="B203">
        <v>161</v>
      </c>
      <c r="C203">
        <v>1</v>
      </c>
      <c r="D203">
        <v>1</v>
      </c>
      <c r="E203" t="s">
        <v>179</v>
      </c>
    </row>
    <row r="204" spans="1:6" x14ac:dyDescent="0.25">
      <c r="A204">
        <v>85</v>
      </c>
      <c r="B204">
        <v>164</v>
      </c>
      <c r="C204">
        <v>1</v>
      </c>
      <c r="D204">
        <v>1</v>
      </c>
      <c r="E204" t="s">
        <v>179</v>
      </c>
    </row>
    <row r="205" spans="1:6" x14ac:dyDescent="0.25">
      <c r="A205">
        <v>85</v>
      </c>
      <c r="B205">
        <v>177</v>
      </c>
      <c r="C205">
        <v>1</v>
      </c>
      <c r="D205">
        <v>1</v>
      </c>
      <c r="E205" t="s">
        <v>179</v>
      </c>
    </row>
    <row r="206" spans="1:6" x14ac:dyDescent="0.25">
      <c r="A206">
        <v>85</v>
      </c>
      <c r="B206">
        <v>180</v>
      </c>
      <c r="C206">
        <v>2</v>
      </c>
      <c r="D206">
        <v>2</v>
      </c>
      <c r="E206" t="s">
        <v>179</v>
      </c>
    </row>
    <row r="207" spans="1:6" x14ac:dyDescent="0.25">
      <c r="A207">
        <v>85</v>
      </c>
      <c r="B207">
        <v>258</v>
      </c>
      <c r="C207">
        <v>1</v>
      </c>
      <c r="D207">
        <v>1</v>
      </c>
      <c r="E207" t="s">
        <v>179</v>
      </c>
    </row>
    <row r="208" spans="1:6" x14ac:dyDescent="0.25">
      <c r="A208">
        <v>85</v>
      </c>
      <c r="B208">
        <v>259</v>
      </c>
      <c r="C208">
        <v>1</v>
      </c>
      <c r="D208">
        <v>1</v>
      </c>
      <c r="E208" t="s">
        <v>179</v>
      </c>
    </row>
    <row r="209" spans="1:6" x14ac:dyDescent="0.25">
      <c r="A209">
        <v>85</v>
      </c>
      <c r="B209">
        <v>264</v>
      </c>
      <c r="C209">
        <v>2</v>
      </c>
      <c r="D209">
        <v>2</v>
      </c>
      <c r="E209" t="s">
        <v>179</v>
      </c>
    </row>
    <row r="210" spans="1:6" x14ac:dyDescent="0.25">
      <c r="A210">
        <v>85</v>
      </c>
      <c r="B210">
        <v>265</v>
      </c>
      <c r="C210">
        <v>1</v>
      </c>
      <c r="D210">
        <v>1</v>
      </c>
      <c r="E210" t="s">
        <v>179</v>
      </c>
      <c r="F210">
        <f>SUM(D196:D210)</f>
        <v>18</v>
      </c>
    </row>
    <row r="211" spans="1:6" x14ac:dyDescent="0.25">
      <c r="A211">
        <v>114</v>
      </c>
      <c r="B211">
        <v>17</v>
      </c>
      <c r="C211">
        <v>1</v>
      </c>
      <c r="D211">
        <v>1</v>
      </c>
      <c r="E211" t="s">
        <v>229</v>
      </c>
    </row>
    <row r="212" spans="1:6" x14ac:dyDescent="0.25">
      <c r="A212">
        <v>114</v>
      </c>
      <c r="B212">
        <v>19</v>
      </c>
      <c r="C212">
        <v>1</v>
      </c>
      <c r="D212">
        <v>1</v>
      </c>
      <c r="E212" t="s">
        <v>229</v>
      </c>
    </row>
    <row r="213" spans="1:6" x14ac:dyDescent="0.25">
      <c r="A213">
        <v>114</v>
      </c>
      <c r="B213">
        <v>20</v>
      </c>
      <c r="C213">
        <v>2</v>
      </c>
      <c r="D213">
        <v>2</v>
      </c>
      <c r="E213" t="s">
        <v>229</v>
      </c>
    </row>
    <row r="214" spans="1:6" x14ac:dyDescent="0.25">
      <c r="A214">
        <v>114</v>
      </c>
      <c r="B214">
        <v>22</v>
      </c>
      <c r="C214">
        <v>1</v>
      </c>
      <c r="D214">
        <v>1</v>
      </c>
      <c r="E214" t="s">
        <v>229</v>
      </c>
    </row>
    <row r="215" spans="1:6" x14ac:dyDescent="0.25">
      <c r="A215">
        <v>114</v>
      </c>
      <c r="B215">
        <v>41</v>
      </c>
      <c r="C215">
        <v>1</v>
      </c>
      <c r="D215">
        <v>1</v>
      </c>
      <c r="E215" t="s">
        <v>229</v>
      </c>
    </row>
    <row r="216" spans="1:6" x14ac:dyDescent="0.25">
      <c r="A216">
        <v>114</v>
      </c>
      <c r="B216">
        <v>42</v>
      </c>
      <c r="C216">
        <v>1</v>
      </c>
      <c r="D216">
        <v>1</v>
      </c>
      <c r="E216" t="s">
        <v>229</v>
      </c>
    </row>
    <row r="217" spans="1:6" x14ac:dyDescent="0.25">
      <c r="A217">
        <v>114</v>
      </c>
      <c r="B217">
        <v>43</v>
      </c>
      <c r="C217">
        <v>3</v>
      </c>
      <c r="D217">
        <v>3</v>
      </c>
      <c r="E217" t="s">
        <v>229</v>
      </c>
    </row>
    <row r="218" spans="1:6" x14ac:dyDescent="0.25">
      <c r="A218">
        <v>114</v>
      </c>
      <c r="B218">
        <v>44</v>
      </c>
      <c r="C218">
        <v>2</v>
      </c>
      <c r="D218">
        <v>2</v>
      </c>
      <c r="E218" t="s">
        <v>229</v>
      </c>
    </row>
    <row r="219" spans="1:6" x14ac:dyDescent="0.25">
      <c r="A219">
        <v>114</v>
      </c>
      <c r="B219">
        <v>45</v>
      </c>
      <c r="C219">
        <v>3</v>
      </c>
      <c r="D219">
        <v>3</v>
      </c>
      <c r="E219" t="s">
        <v>229</v>
      </c>
    </row>
    <row r="220" spans="1:6" x14ac:dyDescent="0.25">
      <c r="A220">
        <v>114</v>
      </c>
      <c r="B220">
        <v>46</v>
      </c>
      <c r="C220">
        <v>3</v>
      </c>
      <c r="D220">
        <v>3</v>
      </c>
      <c r="E220" t="s">
        <v>229</v>
      </c>
    </row>
    <row r="221" spans="1:6" x14ac:dyDescent="0.25">
      <c r="A221">
        <v>114</v>
      </c>
      <c r="B221">
        <v>47</v>
      </c>
      <c r="C221">
        <v>3</v>
      </c>
      <c r="D221">
        <v>3</v>
      </c>
      <c r="E221" t="s">
        <v>229</v>
      </c>
    </row>
    <row r="222" spans="1:6" x14ac:dyDescent="0.25">
      <c r="A222">
        <v>114</v>
      </c>
      <c r="B222">
        <v>48</v>
      </c>
      <c r="C222">
        <v>1</v>
      </c>
      <c r="D222">
        <v>1</v>
      </c>
      <c r="E222" t="s">
        <v>229</v>
      </c>
    </row>
    <row r="223" spans="1:6" x14ac:dyDescent="0.25">
      <c r="A223">
        <v>114</v>
      </c>
      <c r="B223">
        <v>50</v>
      </c>
      <c r="C223">
        <v>1</v>
      </c>
      <c r="D223">
        <v>1</v>
      </c>
      <c r="E223" t="s">
        <v>229</v>
      </c>
    </row>
    <row r="224" spans="1:6" x14ac:dyDescent="0.25">
      <c r="A224">
        <v>114</v>
      </c>
      <c r="B224">
        <v>51</v>
      </c>
      <c r="C224">
        <v>4</v>
      </c>
      <c r="D224">
        <v>4</v>
      </c>
      <c r="E224" t="s">
        <v>229</v>
      </c>
    </row>
    <row r="225" spans="1:5" x14ac:dyDescent="0.25">
      <c r="A225">
        <v>114</v>
      </c>
      <c r="B225">
        <v>52</v>
      </c>
      <c r="C225">
        <v>4</v>
      </c>
      <c r="D225">
        <v>4</v>
      </c>
      <c r="E225" t="s">
        <v>229</v>
      </c>
    </row>
    <row r="226" spans="1:5" x14ac:dyDescent="0.25">
      <c r="A226">
        <v>114</v>
      </c>
      <c r="B226">
        <v>53</v>
      </c>
      <c r="C226">
        <v>1</v>
      </c>
      <c r="D226">
        <v>1</v>
      </c>
      <c r="E226" t="s">
        <v>229</v>
      </c>
    </row>
    <row r="227" spans="1:5" x14ac:dyDescent="0.25">
      <c r="A227">
        <v>114</v>
      </c>
      <c r="B227">
        <v>54</v>
      </c>
      <c r="C227">
        <v>6</v>
      </c>
      <c r="D227">
        <v>6</v>
      </c>
      <c r="E227" t="s">
        <v>229</v>
      </c>
    </row>
    <row r="228" spans="1:5" x14ac:dyDescent="0.25">
      <c r="A228">
        <v>114</v>
      </c>
      <c r="B228">
        <v>55</v>
      </c>
      <c r="C228">
        <v>4</v>
      </c>
      <c r="D228">
        <v>4</v>
      </c>
      <c r="E228" t="s">
        <v>229</v>
      </c>
    </row>
    <row r="229" spans="1:5" x14ac:dyDescent="0.25">
      <c r="A229">
        <v>114</v>
      </c>
      <c r="B229">
        <v>85</v>
      </c>
      <c r="C229">
        <v>1</v>
      </c>
      <c r="D229">
        <v>1</v>
      </c>
      <c r="E229" t="s">
        <v>229</v>
      </c>
    </row>
    <row r="230" spans="1:5" x14ac:dyDescent="0.25">
      <c r="A230">
        <v>114</v>
      </c>
      <c r="B230">
        <v>86</v>
      </c>
      <c r="C230">
        <v>2</v>
      </c>
      <c r="D230">
        <v>2</v>
      </c>
      <c r="E230" t="s">
        <v>229</v>
      </c>
    </row>
    <row r="231" spans="1:5" x14ac:dyDescent="0.25">
      <c r="A231">
        <v>114</v>
      </c>
      <c r="B231">
        <v>87</v>
      </c>
      <c r="C231">
        <v>2</v>
      </c>
      <c r="D231">
        <v>2</v>
      </c>
      <c r="E231" t="s">
        <v>229</v>
      </c>
    </row>
    <row r="232" spans="1:5" x14ac:dyDescent="0.25">
      <c r="A232">
        <v>114</v>
      </c>
      <c r="B232">
        <v>88</v>
      </c>
      <c r="C232">
        <v>3</v>
      </c>
      <c r="D232">
        <v>3</v>
      </c>
      <c r="E232" t="s">
        <v>229</v>
      </c>
    </row>
    <row r="233" spans="1:5" x14ac:dyDescent="0.25">
      <c r="A233">
        <v>114</v>
      </c>
      <c r="B233">
        <v>91</v>
      </c>
      <c r="C233">
        <v>5</v>
      </c>
      <c r="D233">
        <v>5</v>
      </c>
      <c r="E233" t="s">
        <v>229</v>
      </c>
    </row>
    <row r="234" spans="1:5" x14ac:dyDescent="0.25">
      <c r="A234">
        <v>114</v>
      </c>
      <c r="B234">
        <v>92</v>
      </c>
      <c r="C234">
        <v>1</v>
      </c>
      <c r="D234">
        <v>1</v>
      </c>
      <c r="E234" t="s">
        <v>229</v>
      </c>
    </row>
    <row r="235" spans="1:5" x14ac:dyDescent="0.25">
      <c r="A235">
        <v>114</v>
      </c>
      <c r="B235">
        <v>95</v>
      </c>
      <c r="C235">
        <v>2</v>
      </c>
      <c r="D235">
        <v>2</v>
      </c>
      <c r="E235" t="s">
        <v>229</v>
      </c>
    </row>
    <row r="236" spans="1:5" x14ac:dyDescent="0.25">
      <c r="A236">
        <v>114</v>
      </c>
      <c r="B236">
        <v>125</v>
      </c>
      <c r="C236">
        <v>5</v>
      </c>
      <c r="D236">
        <v>5</v>
      </c>
      <c r="E236" t="s">
        <v>229</v>
      </c>
    </row>
    <row r="237" spans="1:5" x14ac:dyDescent="0.25">
      <c r="A237">
        <v>114</v>
      </c>
      <c r="B237">
        <v>126</v>
      </c>
      <c r="C237">
        <v>2</v>
      </c>
      <c r="D237">
        <v>2</v>
      </c>
      <c r="E237" t="s">
        <v>229</v>
      </c>
    </row>
    <row r="238" spans="1:5" x14ac:dyDescent="0.25">
      <c r="A238">
        <v>114</v>
      </c>
      <c r="B238">
        <v>127</v>
      </c>
      <c r="C238">
        <v>5</v>
      </c>
      <c r="D238">
        <v>5</v>
      </c>
      <c r="E238" t="s">
        <v>229</v>
      </c>
    </row>
    <row r="239" spans="1:5" x14ac:dyDescent="0.25">
      <c r="A239">
        <v>114</v>
      </c>
      <c r="B239">
        <v>128</v>
      </c>
      <c r="C239">
        <v>2</v>
      </c>
      <c r="D239">
        <v>2</v>
      </c>
      <c r="E239" t="s">
        <v>229</v>
      </c>
    </row>
    <row r="240" spans="1:5" x14ac:dyDescent="0.25">
      <c r="A240">
        <v>114</v>
      </c>
      <c r="B240">
        <v>129</v>
      </c>
      <c r="C240">
        <v>1</v>
      </c>
      <c r="D240">
        <v>1</v>
      </c>
      <c r="E240" t="s">
        <v>229</v>
      </c>
    </row>
    <row r="241" spans="1:5" x14ac:dyDescent="0.25">
      <c r="A241">
        <v>114</v>
      </c>
      <c r="B241">
        <v>130</v>
      </c>
      <c r="C241">
        <v>4</v>
      </c>
      <c r="D241">
        <v>4</v>
      </c>
      <c r="E241" t="s">
        <v>229</v>
      </c>
    </row>
    <row r="242" spans="1:5" x14ac:dyDescent="0.25">
      <c r="A242">
        <v>114</v>
      </c>
      <c r="B242">
        <v>131</v>
      </c>
      <c r="C242">
        <v>4</v>
      </c>
      <c r="D242">
        <v>4</v>
      </c>
      <c r="E242" t="s">
        <v>229</v>
      </c>
    </row>
    <row r="243" spans="1:5" x14ac:dyDescent="0.25">
      <c r="A243">
        <v>114</v>
      </c>
      <c r="B243">
        <v>132</v>
      </c>
      <c r="C243">
        <v>3</v>
      </c>
      <c r="D243">
        <v>3</v>
      </c>
      <c r="E243" t="s">
        <v>229</v>
      </c>
    </row>
    <row r="244" spans="1:5" x14ac:dyDescent="0.25">
      <c r="A244">
        <v>114</v>
      </c>
      <c r="B244">
        <v>133</v>
      </c>
      <c r="C244">
        <v>1</v>
      </c>
      <c r="D244">
        <v>1</v>
      </c>
      <c r="E244" t="s">
        <v>229</v>
      </c>
    </row>
    <row r="245" spans="1:5" x14ac:dyDescent="0.25">
      <c r="A245">
        <v>114</v>
      </c>
      <c r="B245">
        <v>134</v>
      </c>
      <c r="C245">
        <v>5</v>
      </c>
      <c r="D245">
        <v>5</v>
      </c>
      <c r="E245" t="s">
        <v>229</v>
      </c>
    </row>
    <row r="246" spans="1:5" x14ac:dyDescent="0.25">
      <c r="A246">
        <v>114</v>
      </c>
      <c r="B246">
        <v>153</v>
      </c>
      <c r="C246">
        <v>2</v>
      </c>
      <c r="D246">
        <v>2</v>
      </c>
      <c r="E246" t="s">
        <v>229</v>
      </c>
    </row>
    <row r="247" spans="1:5" x14ac:dyDescent="0.25">
      <c r="A247">
        <v>114</v>
      </c>
      <c r="B247">
        <v>154</v>
      </c>
      <c r="C247">
        <v>5</v>
      </c>
      <c r="D247">
        <v>5</v>
      </c>
      <c r="E247" t="s">
        <v>229</v>
      </c>
    </row>
    <row r="248" spans="1:5" x14ac:dyDescent="0.25">
      <c r="A248">
        <v>114</v>
      </c>
      <c r="B248">
        <v>155</v>
      </c>
      <c r="C248">
        <v>1</v>
      </c>
      <c r="D248">
        <v>1</v>
      </c>
      <c r="E248" t="s">
        <v>229</v>
      </c>
    </row>
    <row r="249" spans="1:5" x14ac:dyDescent="0.25">
      <c r="A249">
        <v>114</v>
      </c>
      <c r="B249">
        <v>156</v>
      </c>
      <c r="C249">
        <v>2</v>
      </c>
      <c r="D249">
        <v>2</v>
      </c>
      <c r="E249" t="s">
        <v>229</v>
      </c>
    </row>
    <row r="250" spans="1:5" x14ac:dyDescent="0.25">
      <c r="A250">
        <v>114</v>
      </c>
      <c r="B250">
        <v>157</v>
      </c>
      <c r="C250">
        <v>2</v>
      </c>
      <c r="D250">
        <v>2</v>
      </c>
      <c r="E250" t="s">
        <v>229</v>
      </c>
    </row>
    <row r="251" spans="1:5" x14ac:dyDescent="0.25">
      <c r="A251">
        <v>114</v>
      </c>
      <c r="B251">
        <v>187</v>
      </c>
      <c r="C251">
        <v>1</v>
      </c>
      <c r="D251">
        <v>1</v>
      </c>
      <c r="E251" t="s">
        <v>229</v>
      </c>
    </row>
    <row r="252" spans="1:5" x14ac:dyDescent="0.25">
      <c r="A252">
        <v>114</v>
      </c>
      <c r="B252">
        <v>227</v>
      </c>
      <c r="C252">
        <v>3</v>
      </c>
      <c r="D252">
        <v>3</v>
      </c>
      <c r="E252" t="s">
        <v>229</v>
      </c>
    </row>
    <row r="253" spans="1:5" x14ac:dyDescent="0.25">
      <c r="A253">
        <v>114</v>
      </c>
      <c r="B253">
        <v>228</v>
      </c>
      <c r="C253">
        <v>1</v>
      </c>
      <c r="D253">
        <v>1</v>
      </c>
      <c r="E253" t="s">
        <v>229</v>
      </c>
    </row>
    <row r="254" spans="1:5" x14ac:dyDescent="0.25">
      <c r="A254">
        <v>114</v>
      </c>
      <c r="B254">
        <v>229</v>
      </c>
      <c r="C254">
        <v>2</v>
      </c>
      <c r="D254">
        <v>2</v>
      </c>
      <c r="E254" t="s">
        <v>229</v>
      </c>
    </row>
    <row r="255" spans="1:5" x14ac:dyDescent="0.25">
      <c r="A255">
        <v>114</v>
      </c>
      <c r="B255">
        <v>232</v>
      </c>
      <c r="C255">
        <v>1</v>
      </c>
      <c r="D255">
        <v>1</v>
      </c>
      <c r="E255" t="s">
        <v>229</v>
      </c>
    </row>
    <row r="256" spans="1:5" x14ac:dyDescent="0.25">
      <c r="A256">
        <v>114</v>
      </c>
      <c r="B256">
        <v>233</v>
      </c>
      <c r="C256">
        <v>1</v>
      </c>
      <c r="D256">
        <v>1</v>
      </c>
      <c r="E256" t="s">
        <v>229</v>
      </c>
    </row>
    <row r="257" spans="1:5" x14ac:dyDescent="0.25">
      <c r="A257">
        <v>114</v>
      </c>
      <c r="B257">
        <v>237</v>
      </c>
      <c r="C257">
        <v>2</v>
      </c>
      <c r="D257">
        <v>2</v>
      </c>
      <c r="E257" t="s">
        <v>229</v>
      </c>
    </row>
    <row r="258" spans="1:5" x14ac:dyDescent="0.25">
      <c r="A258">
        <v>114</v>
      </c>
      <c r="B258">
        <v>238</v>
      </c>
      <c r="C258">
        <v>1</v>
      </c>
      <c r="D258">
        <v>1</v>
      </c>
      <c r="E258" t="s">
        <v>229</v>
      </c>
    </row>
    <row r="259" spans="1:5" x14ac:dyDescent="0.25">
      <c r="A259">
        <v>114</v>
      </c>
      <c r="B259">
        <v>239</v>
      </c>
      <c r="C259">
        <v>3</v>
      </c>
      <c r="D259">
        <v>3</v>
      </c>
      <c r="E259" t="s">
        <v>229</v>
      </c>
    </row>
    <row r="260" spans="1:5" x14ac:dyDescent="0.25">
      <c r="A260">
        <v>114</v>
      </c>
      <c r="B260">
        <v>241</v>
      </c>
      <c r="C260">
        <v>1</v>
      </c>
      <c r="D260">
        <v>1</v>
      </c>
      <c r="E260" t="s">
        <v>229</v>
      </c>
    </row>
    <row r="261" spans="1:5" x14ac:dyDescent="0.25">
      <c r="A261">
        <v>114</v>
      </c>
      <c r="B261">
        <v>242</v>
      </c>
      <c r="C261">
        <v>1</v>
      </c>
      <c r="D261">
        <v>1</v>
      </c>
      <c r="E261" t="s">
        <v>229</v>
      </c>
    </row>
    <row r="262" spans="1:5" x14ac:dyDescent="0.25">
      <c r="A262">
        <v>114</v>
      </c>
      <c r="B262">
        <v>243</v>
      </c>
      <c r="C262">
        <v>2</v>
      </c>
      <c r="D262">
        <v>2</v>
      </c>
      <c r="E262" t="s">
        <v>229</v>
      </c>
    </row>
    <row r="263" spans="1:5" x14ac:dyDescent="0.25">
      <c r="A263">
        <v>114</v>
      </c>
      <c r="B263">
        <v>244</v>
      </c>
      <c r="C263">
        <v>3</v>
      </c>
      <c r="D263">
        <v>3</v>
      </c>
      <c r="E263" t="s">
        <v>229</v>
      </c>
    </row>
    <row r="264" spans="1:5" x14ac:dyDescent="0.25">
      <c r="A264">
        <v>114</v>
      </c>
      <c r="B264">
        <v>245</v>
      </c>
      <c r="C264">
        <v>1</v>
      </c>
      <c r="D264">
        <v>1</v>
      </c>
      <c r="E264" t="s">
        <v>229</v>
      </c>
    </row>
    <row r="265" spans="1:5" x14ac:dyDescent="0.25">
      <c r="A265">
        <v>114</v>
      </c>
      <c r="B265">
        <v>246</v>
      </c>
      <c r="C265">
        <v>1</v>
      </c>
      <c r="D265">
        <v>1</v>
      </c>
      <c r="E265" t="s">
        <v>229</v>
      </c>
    </row>
    <row r="266" spans="1:5" x14ac:dyDescent="0.25">
      <c r="A266">
        <v>114</v>
      </c>
      <c r="B266">
        <v>247</v>
      </c>
      <c r="C266">
        <v>5</v>
      </c>
      <c r="D266">
        <v>5</v>
      </c>
      <c r="E266" t="s">
        <v>229</v>
      </c>
    </row>
    <row r="267" spans="1:5" x14ac:dyDescent="0.25">
      <c r="A267">
        <v>114</v>
      </c>
      <c r="B267">
        <v>248</v>
      </c>
      <c r="C267">
        <v>1</v>
      </c>
      <c r="D267">
        <v>1</v>
      </c>
      <c r="E267" t="s">
        <v>229</v>
      </c>
    </row>
    <row r="268" spans="1:5" x14ac:dyDescent="0.25">
      <c r="A268">
        <v>114</v>
      </c>
      <c r="B268">
        <v>250</v>
      </c>
      <c r="C268">
        <v>2</v>
      </c>
      <c r="D268">
        <v>2</v>
      </c>
      <c r="E268" t="s">
        <v>229</v>
      </c>
    </row>
    <row r="269" spans="1:5" x14ac:dyDescent="0.25">
      <c r="A269">
        <v>114</v>
      </c>
      <c r="B269">
        <v>251</v>
      </c>
      <c r="C269">
        <v>2</v>
      </c>
      <c r="D269">
        <v>2</v>
      </c>
      <c r="E269" t="s">
        <v>229</v>
      </c>
    </row>
    <row r="270" spans="1:5" x14ac:dyDescent="0.25">
      <c r="A270">
        <v>114</v>
      </c>
      <c r="B270">
        <v>255</v>
      </c>
      <c r="C270">
        <v>2</v>
      </c>
      <c r="D270">
        <v>2</v>
      </c>
      <c r="E270" t="s">
        <v>229</v>
      </c>
    </row>
    <row r="271" spans="1:5" x14ac:dyDescent="0.25">
      <c r="A271">
        <v>114</v>
      </c>
      <c r="B271">
        <v>257</v>
      </c>
      <c r="C271">
        <v>10</v>
      </c>
      <c r="D271">
        <v>10</v>
      </c>
      <c r="E271" t="s">
        <v>229</v>
      </c>
    </row>
    <row r="272" spans="1:5" x14ac:dyDescent="0.25">
      <c r="A272">
        <v>114</v>
      </c>
      <c r="B272">
        <v>258</v>
      </c>
      <c r="C272">
        <v>1</v>
      </c>
      <c r="D272">
        <v>1</v>
      </c>
      <c r="E272" t="s">
        <v>229</v>
      </c>
    </row>
    <row r="273" spans="1:5" x14ac:dyDescent="0.25">
      <c r="A273">
        <v>114</v>
      </c>
      <c r="B273">
        <v>270</v>
      </c>
      <c r="C273">
        <v>1</v>
      </c>
      <c r="D273">
        <v>1</v>
      </c>
      <c r="E273" t="s">
        <v>229</v>
      </c>
    </row>
    <row r="274" spans="1:5" x14ac:dyDescent="0.25">
      <c r="A274">
        <v>114</v>
      </c>
      <c r="B274">
        <v>274</v>
      </c>
      <c r="C274">
        <v>3</v>
      </c>
      <c r="D274">
        <v>3</v>
      </c>
      <c r="E274" t="s">
        <v>229</v>
      </c>
    </row>
    <row r="275" spans="1:5" x14ac:dyDescent="0.25">
      <c r="A275">
        <v>114</v>
      </c>
      <c r="B275">
        <v>275</v>
      </c>
      <c r="C275">
        <v>3</v>
      </c>
      <c r="D275">
        <v>3</v>
      </c>
      <c r="E275" t="s">
        <v>229</v>
      </c>
    </row>
    <row r="276" spans="1:5" x14ac:dyDescent="0.25">
      <c r="A276">
        <v>114</v>
      </c>
      <c r="B276">
        <v>278</v>
      </c>
      <c r="C276">
        <v>3</v>
      </c>
      <c r="D276">
        <v>3</v>
      </c>
      <c r="E276" t="s">
        <v>229</v>
      </c>
    </row>
    <row r="277" spans="1:5" x14ac:dyDescent="0.25">
      <c r="A277">
        <v>114</v>
      </c>
      <c r="B277">
        <v>280</v>
      </c>
      <c r="C277">
        <v>3</v>
      </c>
      <c r="D277">
        <v>3</v>
      </c>
      <c r="E277" t="s">
        <v>229</v>
      </c>
    </row>
    <row r="278" spans="1:5" x14ac:dyDescent="0.25">
      <c r="A278">
        <v>114</v>
      </c>
      <c r="B278">
        <v>281</v>
      </c>
      <c r="C278">
        <v>5</v>
      </c>
      <c r="D278">
        <v>5</v>
      </c>
      <c r="E278" t="s">
        <v>229</v>
      </c>
    </row>
    <row r="279" spans="1:5" x14ac:dyDescent="0.25">
      <c r="A279">
        <v>114</v>
      </c>
      <c r="B279">
        <v>283</v>
      </c>
      <c r="C279">
        <v>2</v>
      </c>
      <c r="D279">
        <v>2</v>
      </c>
      <c r="E279" t="s">
        <v>229</v>
      </c>
    </row>
    <row r="280" spans="1:5" x14ac:dyDescent="0.25">
      <c r="A280">
        <v>114</v>
      </c>
      <c r="B280">
        <v>286</v>
      </c>
      <c r="C280">
        <v>1</v>
      </c>
      <c r="D280">
        <v>1</v>
      </c>
      <c r="E280" t="s">
        <v>229</v>
      </c>
    </row>
    <row r="281" spans="1:5" x14ac:dyDescent="0.25">
      <c r="A281">
        <v>114</v>
      </c>
      <c r="B281">
        <v>288</v>
      </c>
      <c r="C281">
        <v>2</v>
      </c>
      <c r="D281">
        <v>2</v>
      </c>
      <c r="E281" t="s">
        <v>229</v>
      </c>
    </row>
    <row r="282" spans="1:5" x14ac:dyDescent="0.25">
      <c r="A282">
        <v>114</v>
      </c>
      <c r="B282">
        <v>289</v>
      </c>
      <c r="C282">
        <v>2</v>
      </c>
      <c r="D282">
        <v>2</v>
      </c>
      <c r="E282" t="s">
        <v>229</v>
      </c>
    </row>
    <row r="283" spans="1:5" x14ac:dyDescent="0.25">
      <c r="A283">
        <v>114</v>
      </c>
      <c r="B283">
        <v>291</v>
      </c>
      <c r="C283">
        <v>1</v>
      </c>
      <c r="D283">
        <v>1</v>
      </c>
      <c r="E283" t="s">
        <v>229</v>
      </c>
    </row>
    <row r="284" spans="1:5" x14ac:dyDescent="0.25">
      <c r="A284">
        <v>114</v>
      </c>
      <c r="B284">
        <v>292</v>
      </c>
      <c r="C284">
        <v>8</v>
      </c>
      <c r="D284">
        <v>8</v>
      </c>
      <c r="E284" t="s">
        <v>229</v>
      </c>
    </row>
    <row r="285" spans="1:5" x14ac:dyDescent="0.25">
      <c r="A285">
        <v>114</v>
      </c>
      <c r="B285">
        <v>294</v>
      </c>
      <c r="C285">
        <v>2</v>
      </c>
      <c r="D285">
        <v>2</v>
      </c>
      <c r="E285" t="s">
        <v>229</v>
      </c>
    </row>
    <row r="286" spans="1:5" x14ac:dyDescent="0.25">
      <c r="A286">
        <v>114</v>
      </c>
      <c r="B286">
        <v>296</v>
      </c>
      <c r="C286">
        <v>2</v>
      </c>
      <c r="D286">
        <v>2</v>
      </c>
      <c r="E286" t="s">
        <v>229</v>
      </c>
    </row>
    <row r="287" spans="1:5" x14ac:dyDescent="0.25">
      <c r="A287">
        <v>114</v>
      </c>
      <c r="B287">
        <v>297</v>
      </c>
      <c r="C287">
        <v>4</v>
      </c>
      <c r="D287">
        <v>4</v>
      </c>
      <c r="E287" t="s">
        <v>229</v>
      </c>
    </row>
    <row r="288" spans="1:5" x14ac:dyDescent="0.25">
      <c r="A288">
        <v>114</v>
      </c>
      <c r="B288">
        <v>301</v>
      </c>
      <c r="C288">
        <v>2</v>
      </c>
      <c r="D288">
        <v>2</v>
      </c>
      <c r="E288" t="s">
        <v>229</v>
      </c>
    </row>
    <row r="289" spans="1:5" x14ac:dyDescent="0.25">
      <c r="A289">
        <v>114</v>
      </c>
      <c r="B289">
        <v>302</v>
      </c>
      <c r="C289">
        <v>6</v>
      </c>
      <c r="D289">
        <v>6</v>
      </c>
      <c r="E289" t="s">
        <v>229</v>
      </c>
    </row>
    <row r="290" spans="1:5" x14ac:dyDescent="0.25">
      <c r="A290">
        <v>114</v>
      </c>
      <c r="B290">
        <v>304</v>
      </c>
      <c r="C290">
        <v>4</v>
      </c>
      <c r="D290">
        <v>4</v>
      </c>
      <c r="E290" t="s">
        <v>229</v>
      </c>
    </row>
    <row r="291" spans="1:5" x14ac:dyDescent="0.25">
      <c r="A291">
        <v>114</v>
      </c>
      <c r="B291">
        <v>307</v>
      </c>
      <c r="C291">
        <v>1</v>
      </c>
      <c r="D291">
        <v>1</v>
      </c>
      <c r="E291" t="s">
        <v>229</v>
      </c>
    </row>
    <row r="292" spans="1:5" x14ac:dyDescent="0.25">
      <c r="A292">
        <v>114</v>
      </c>
      <c r="B292">
        <v>309</v>
      </c>
      <c r="C292">
        <v>7</v>
      </c>
      <c r="D292">
        <v>7</v>
      </c>
      <c r="E292" t="s">
        <v>229</v>
      </c>
    </row>
    <row r="293" spans="1:5" x14ac:dyDescent="0.25">
      <c r="A293">
        <v>114</v>
      </c>
      <c r="B293">
        <v>313</v>
      </c>
      <c r="C293">
        <v>2</v>
      </c>
      <c r="D293">
        <v>2</v>
      </c>
      <c r="E293" t="s">
        <v>229</v>
      </c>
    </row>
    <row r="294" spans="1:5" x14ac:dyDescent="0.25">
      <c r="A294">
        <v>114</v>
      </c>
      <c r="B294">
        <v>315</v>
      </c>
      <c r="C294">
        <v>4</v>
      </c>
      <c r="D294">
        <v>4</v>
      </c>
      <c r="E294" t="s">
        <v>229</v>
      </c>
    </row>
    <row r="295" spans="1:5" x14ac:dyDescent="0.25">
      <c r="A295">
        <v>114</v>
      </c>
      <c r="B295">
        <v>316</v>
      </c>
      <c r="C295">
        <v>8</v>
      </c>
      <c r="D295">
        <v>8</v>
      </c>
      <c r="E295" t="s">
        <v>229</v>
      </c>
    </row>
    <row r="296" spans="1:5" x14ac:dyDescent="0.25">
      <c r="A296">
        <v>114</v>
      </c>
      <c r="B296">
        <v>319</v>
      </c>
      <c r="C296">
        <v>1</v>
      </c>
      <c r="D296">
        <v>1</v>
      </c>
      <c r="E296" t="s">
        <v>229</v>
      </c>
    </row>
    <row r="297" spans="1:5" x14ac:dyDescent="0.25">
      <c r="A297">
        <v>114</v>
      </c>
      <c r="B297">
        <v>323</v>
      </c>
      <c r="C297">
        <v>1</v>
      </c>
      <c r="D297">
        <v>1</v>
      </c>
      <c r="E297" t="s">
        <v>229</v>
      </c>
    </row>
    <row r="298" spans="1:5" x14ac:dyDescent="0.25">
      <c r="A298">
        <v>114</v>
      </c>
      <c r="B298">
        <v>324</v>
      </c>
      <c r="C298">
        <v>5</v>
      </c>
      <c r="D298">
        <v>5</v>
      </c>
      <c r="E298" t="s">
        <v>229</v>
      </c>
    </row>
    <row r="299" spans="1:5" x14ac:dyDescent="0.25">
      <c r="A299">
        <v>114</v>
      </c>
      <c r="B299">
        <v>325</v>
      </c>
      <c r="C299">
        <v>3</v>
      </c>
      <c r="D299">
        <v>3</v>
      </c>
      <c r="E299" t="s">
        <v>229</v>
      </c>
    </row>
    <row r="300" spans="1:5" x14ac:dyDescent="0.25">
      <c r="A300">
        <v>114</v>
      </c>
      <c r="B300">
        <v>327</v>
      </c>
      <c r="C300">
        <v>1</v>
      </c>
      <c r="D300">
        <v>1</v>
      </c>
      <c r="E300" t="s">
        <v>229</v>
      </c>
    </row>
    <row r="301" spans="1:5" x14ac:dyDescent="0.25">
      <c r="A301">
        <v>114</v>
      </c>
      <c r="B301">
        <v>335</v>
      </c>
      <c r="C301">
        <v>3</v>
      </c>
      <c r="D301">
        <v>3</v>
      </c>
      <c r="E301" t="s">
        <v>229</v>
      </c>
    </row>
    <row r="302" spans="1:5" x14ac:dyDescent="0.25">
      <c r="A302">
        <v>114</v>
      </c>
      <c r="B302">
        <v>336</v>
      </c>
      <c r="C302">
        <v>1</v>
      </c>
      <c r="D302">
        <v>1</v>
      </c>
      <c r="E302" t="s">
        <v>229</v>
      </c>
    </row>
    <row r="303" spans="1:5" x14ac:dyDescent="0.25">
      <c r="A303">
        <v>114</v>
      </c>
      <c r="B303">
        <v>337</v>
      </c>
      <c r="C303">
        <v>3</v>
      </c>
      <c r="D303">
        <v>3</v>
      </c>
      <c r="E303" t="s">
        <v>229</v>
      </c>
    </row>
    <row r="304" spans="1:5" x14ac:dyDescent="0.25">
      <c r="A304">
        <v>114</v>
      </c>
      <c r="B304">
        <v>339</v>
      </c>
      <c r="C304">
        <v>1</v>
      </c>
      <c r="D304">
        <v>1</v>
      </c>
      <c r="E304" t="s">
        <v>229</v>
      </c>
    </row>
    <row r="305" spans="1:6" x14ac:dyDescent="0.25">
      <c r="A305">
        <v>114</v>
      </c>
      <c r="B305">
        <v>340</v>
      </c>
      <c r="C305">
        <v>1</v>
      </c>
      <c r="D305">
        <v>1</v>
      </c>
      <c r="E305" t="s">
        <v>229</v>
      </c>
    </row>
    <row r="306" spans="1:6" x14ac:dyDescent="0.25">
      <c r="A306">
        <v>114</v>
      </c>
      <c r="B306">
        <v>344</v>
      </c>
      <c r="C306">
        <v>3</v>
      </c>
      <c r="D306">
        <v>3</v>
      </c>
      <c r="E306" t="s">
        <v>229</v>
      </c>
    </row>
    <row r="307" spans="1:6" x14ac:dyDescent="0.25">
      <c r="A307">
        <v>114</v>
      </c>
      <c r="B307">
        <v>345</v>
      </c>
      <c r="C307">
        <v>6</v>
      </c>
      <c r="D307">
        <v>6</v>
      </c>
      <c r="E307" t="s">
        <v>229</v>
      </c>
    </row>
    <row r="308" spans="1:6" x14ac:dyDescent="0.25">
      <c r="A308">
        <v>114</v>
      </c>
      <c r="B308">
        <v>346</v>
      </c>
      <c r="C308">
        <v>1</v>
      </c>
      <c r="D308">
        <v>1</v>
      </c>
      <c r="E308" t="s">
        <v>229</v>
      </c>
    </row>
    <row r="309" spans="1:6" x14ac:dyDescent="0.25">
      <c r="A309">
        <v>114</v>
      </c>
      <c r="B309">
        <v>347</v>
      </c>
      <c r="C309">
        <v>2</v>
      </c>
      <c r="D309">
        <v>2</v>
      </c>
      <c r="E309" t="s">
        <v>229</v>
      </c>
    </row>
    <row r="310" spans="1:6" x14ac:dyDescent="0.25">
      <c r="A310">
        <v>114</v>
      </c>
      <c r="B310">
        <v>348</v>
      </c>
      <c r="C310">
        <v>2</v>
      </c>
      <c r="D310">
        <v>2</v>
      </c>
      <c r="E310" t="s">
        <v>229</v>
      </c>
    </row>
    <row r="311" spans="1:6" x14ac:dyDescent="0.25">
      <c r="A311">
        <v>114</v>
      </c>
      <c r="B311">
        <v>350</v>
      </c>
      <c r="C311">
        <v>4</v>
      </c>
      <c r="D311">
        <v>4</v>
      </c>
      <c r="E311" t="s">
        <v>229</v>
      </c>
    </row>
    <row r="312" spans="1:6" x14ac:dyDescent="0.25">
      <c r="A312">
        <v>114</v>
      </c>
      <c r="B312">
        <v>353</v>
      </c>
      <c r="C312">
        <v>1</v>
      </c>
      <c r="D312">
        <v>1</v>
      </c>
      <c r="E312" t="s">
        <v>229</v>
      </c>
    </row>
    <row r="313" spans="1:6" x14ac:dyDescent="0.25">
      <c r="A313">
        <v>114</v>
      </c>
      <c r="B313">
        <v>354</v>
      </c>
      <c r="C313">
        <v>3</v>
      </c>
      <c r="D313">
        <v>3</v>
      </c>
      <c r="E313" t="s">
        <v>229</v>
      </c>
    </row>
    <row r="314" spans="1:6" x14ac:dyDescent="0.25">
      <c r="A314">
        <v>114</v>
      </c>
      <c r="B314">
        <v>355</v>
      </c>
      <c r="C314">
        <v>2</v>
      </c>
      <c r="D314">
        <v>2</v>
      </c>
      <c r="E314" t="s">
        <v>229</v>
      </c>
    </row>
    <row r="315" spans="1:6" x14ac:dyDescent="0.25">
      <c r="A315">
        <v>114</v>
      </c>
      <c r="B315">
        <v>357</v>
      </c>
      <c r="C315">
        <v>2</v>
      </c>
      <c r="D315">
        <v>2</v>
      </c>
      <c r="E315" t="s">
        <v>229</v>
      </c>
    </row>
    <row r="316" spans="1:6" x14ac:dyDescent="0.25">
      <c r="A316">
        <v>114</v>
      </c>
      <c r="B316">
        <v>362</v>
      </c>
      <c r="C316">
        <v>2</v>
      </c>
      <c r="D316">
        <v>2</v>
      </c>
      <c r="E316" t="s">
        <v>229</v>
      </c>
      <c r="F316">
        <f>SUM(D211:D316)</f>
        <v>273</v>
      </c>
    </row>
    <row r="317" spans="1:6" x14ac:dyDescent="0.25">
      <c r="A317">
        <v>95</v>
      </c>
      <c r="B317">
        <v>83</v>
      </c>
      <c r="C317">
        <v>1</v>
      </c>
      <c r="D317">
        <v>1</v>
      </c>
      <c r="E317" t="s">
        <v>187</v>
      </c>
    </row>
    <row r="318" spans="1:6" x14ac:dyDescent="0.25">
      <c r="A318">
        <v>95</v>
      </c>
      <c r="B318">
        <v>84</v>
      </c>
      <c r="C318">
        <v>1</v>
      </c>
      <c r="D318">
        <v>1</v>
      </c>
      <c r="E318" t="s">
        <v>187</v>
      </c>
    </row>
    <row r="319" spans="1:6" x14ac:dyDescent="0.25">
      <c r="A319">
        <v>95</v>
      </c>
      <c r="B319">
        <v>86</v>
      </c>
      <c r="C319">
        <v>1</v>
      </c>
      <c r="D319">
        <v>1</v>
      </c>
      <c r="E319" t="s">
        <v>187</v>
      </c>
    </row>
    <row r="320" spans="1:6" x14ac:dyDescent="0.25">
      <c r="A320">
        <v>95</v>
      </c>
      <c r="B320">
        <v>87</v>
      </c>
      <c r="C320">
        <v>1</v>
      </c>
      <c r="D320">
        <v>1</v>
      </c>
      <c r="E320" t="s">
        <v>187</v>
      </c>
    </row>
    <row r="321" spans="1:5" x14ac:dyDescent="0.25">
      <c r="A321">
        <v>95</v>
      </c>
      <c r="B321">
        <v>90</v>
      </c>
      <c r="C321">
        <v>1</v>
      </c>
      <c r="D321">
        <v>1</v>
      </c>
      <c r="E321" t="s">
        <v>187</v>
      </c>
    </row>
    <row r="322" spans="1:5" x14ac:dyDescent="0.25">
      <c r="A322">
        <v>95</v>
      </c>
      <c r="B322">
        <v>92</v>
      </c>
      <c r="C322">
        <v>1</v>
      </c>
      <c r="D322">
        <v>1</v>
      </c>
      <c r="E322" t="s">
        <v>187</v>
      </c>
    </row>
    <row r="323" spans="1:5" x14ac:dyDescent="0.25">
      <c r="A323">
        <v>95</v>
      </c>
      <c r="B323">
        <v>94</v>
      </c>
      <c r="C323">
        <v>1</v>
      </c>
      <c r="D323">
        <v>1</v>
      </c>
      <c r="E323" t="s">
        <v>187</v>
      </c>
    </row>
    <row r="324" spans="1:5" x14ac:dyDescent="0.25">
      <c r="A324">
        <v>95</v>
      </c>
      <c r="B324">
        <v>155</v>
      </c>
      <c r="C324">
        <v>2</v>
      </c>
      <c r="D324">
        <v>2</v>
      </c>
      <c r="E324" t="s">
        <v>187</v>
      </c>
    </row>
    <row r="325" spans="1:5" x14ac:dyDescent="0.25">
      <c r="A325">
        <v>95</v>
      </c>
      <c r="B325">
        <v>251</v>
      </c>
      <c r="C325">
        <v>1</v>
      </c>
      <c r="D325">
        <v>1</v>
      </c>
      <c r="E325" t="s">
        <v>187</v>
      </c>
    </row>
    <row r="326" spans="1:5" x14ac:dyDescent="0.25">
      <c r="A326">
        <v>95</v>
      </c>
      <c r="B326">
        <v>254</v>
      </c>
      <c r="C326">
        <v>1</v>
      </c>
      <c r="D326">
        <v>1</v>
      </c>
      <c r="E326" t="s">
        <v>187</v>
      </c>
    </row>
    <row r="327" spans="1:5" x14ac:dyDescent="0.25">
      <c r="A327">
        <v>95</v>
      </c>
      <c r="B327">
        <v>257</v>
      </c>
      <c r="C327">
        <v>3</v>
      </c>
      <c r="D327">
        <v>3</v>
      </c>
      <c r="E327" t="s">
        <v>187</v>
      </c>
    </row>
    <row r="328" spans="1:5" x14ac:dyDescent="0.25">
      <c r="A328">
        <v>95</v>
      </c>
      <c r="B328">
        <v>258</v>
      </c>
      <c r="C328">
        <v>1</v>
      </c>
      <c r="D328">
        <v>1</v>
      </c>
      <c r="E328" t="s">
        <v>187</v>
      </c>
    </row>
    <row r="329" spans="1:5" x14ac:dyDescent="0.25">
      <c r="A329">
        <v>95</v>
      </c>
      <c r="B329">
        <v>259</v>
      </c>
      <c r="C329">
        <v>2</v>
      </c>
      <c r="D329">
        <v>2</v>
      </c>
      <c r="E329" t="s">
        <v>187</v>
      </c>
    </row>
    <row r="330" spans="1:5" x14ac:dyDescent="0.25">
      <c r="A330">
        <v>95</v>
      </c>
      <c r="B330">
        <v>260</v>
      </c>
      <c r="C330">
        <v>1</v>
      </c>
      <c r="D330">
        <v>1</v>
      </c>
      <c r="E330" t="s">
        <v>187</v>
      </c>
    </row>
    <row r="331" spans="1:5" x14ac:dyDescent="0.25">
      <c r="A331">
        <v>95</v>
      </c>
      <c r="B331">
        <v>262</v>
      </c>
      <c r="C331">
        <v>1</v>
      </c>
      <c r="D331">
        <v>1</v>
      </c>
      <c r="E331" t="s">
        <v>187</v>
      </c>
    </row>
    <row r="332" spans="1:5" x14ac:dyDescent="0.25">
      <c r="A332">
        <v>95</v>
      </c>
      <c r="B332">
        <v>263</v>
      </c>
      <c r="C332">
        <v>1</v>
      </c>
      <c r="D332">
        <v>1</v>
      </c>
      <c r="E332" t="s">
        <v>187</v>
      </c>
    </row>
    <row r="333" spans="1:5" x14ac:dyDescent="0.25">
      <c r="A333">
        <v>95</v>
      </c>
      <c r="B333">
        <v>271</v>
      </c>
      <c r="C333">
        <v>2</v>
      </c>
      <c r="D333">
        <v>2</v>
      </c>
      <c r="E333" t="s">
        <v>187</v>
      </c>
    </row>
    <row r="334" spans="1:5" x14ac:dyDescent="0.25">
      <c r="A334">
        <v>95</v>
      </c>
      <c r="B334">
        <v>272</v>
      </c>
      <c r="C334">
        <v>1</v>
      </c>
      <c r="D334">
        <v>1</v>
      </c>
      <c r="E334" t="s">
        <v>187</v>
      </c>
    </row>
    <row r="335" spans="1:5" x14ac:dyDescent="0.25">
      <c r="A335">
        <v>95</v>
      </c>
      <c r="B335">
        <v>274</v>
      </c>
      <c r="C335">
        <v>2</v>
      </c>
      <c r="D335">
        <v>2</v>
      </c>
      <c r="E335" t="s">
        <v>187</v>
      </c>
    </row>
    <row r="336" spans="1:5" x14ac:dyDescent="0.25">
      <c r="A336">
        <v>95</v>
      </c>
      <c r="B336">
        <v>276</v>
      </c>
      <c r="C336">
        <v>2</v>
      </c>
      <c r="D336">
        <v>2</v>
      </c>
      <c r="E336" t="s">
        <v>187</v>
      </c>
    </row>
    <row r="337" spans="1:6" x14ac:dyDescent="0.25">
      <c r="A337">
        <v>95</v>
      </c>
      <c r="B337">
        <v>322</v>
      </c>
      <c r="C337">
        <v>1</v>
      </c>
      <c r="D337">
        <v>1</v>
      </c>
      <c r="E337" t="s">
        <v>187</v>
      </c>
    </row>
    <row r="338" spans="1:6" x14ac:dyDescent="0.25">
      <c r="A338">
        <v>95</v>
      </c>
      <c r="B338">
        <v>323</v>
      </c>
      <c r="C338">
        <v>1</v>
      </c>
      <c r="D338">
        <v>1</v>
      </c>
      <c r="E338" t="s">
        <v>187</v>
      </c>
    </row>
    <row r="339" spans="1:6" x14ac:dyDescent="0.25">
      <c r="A339">
        <v>95</v>
      </c>
      <c r="B339">
        <v>324</v>
      </c>
      <c r="C339">
        <v>2</v>
      </c>
      <c r="D339">
        <v>2</v>
      </c>
      <c r="E339" t="s">
        <v>187</v>
      </c>
    </row>
    <row r="340" spans="1:6" x14ac:dyDescent="0.25">
      <c r="A340">
        <v>95</v>
      </c>
      <c r="B340">
        <v>326</v>
      </c>
      <c r="C340">
        <v>1</v>
      </c>
      <c r="D340">
        <v>1</v>
      </c>
      <c r="E340" t="s">
        <v>187</v>
      </c>
    </row>
    <row r="341" spans="1:6" x14ac:dyDescent="0.25">
      <c r="A341">
        <v>95</v>
      </c>
      <c r="B341">
        <v>327</v>
      </c>
      <c r="C341">
        <v>2</v>
      </c>
      <c r="D341">
        <v>2</v>
      </c>
      <c r="E341" t="s">
        <v>187</v>
      </c>
    </row>
    <row r="342" spans="1:6" x14ac:dyDescent="0.25">
      <c r="A342">
        <v>95</v>
      </c>
      <c r="B342">
        <v>330</v>
      </c>
      <c r="C342">
        <v>1</v>
      </c>
      <c r="D342">
        <v>1</v>
      </c>
      <c r="E342" t="s">
        <v>187</v>
      </c>
    </row>
    <row r="343" spans="1:6" x14ac:dyDescent="0.25">
      <c r="A343">
        <v>95</v>
      </c>
      <c r="B343">
        <v>338</v>
      </c>
      <c r="C343">
        <v>3</v>
      </c>
      <c r="D343">
        <v>3</v>
      </c>
      <c r="E343" t="s">
        <v>187</v>
      </c>
    </row>
    <row r="344" spans="1:6" x14ac:dyDescent="0.25">
      <c r="A344">
        <v>95</v>
      </c>
      <c r="B344">
        <v>359</v>
      </c>
      <c r="C344">
        <v>2</v>
      </c>
      <c r="D344">
        <v>2</v>
      </c>
      <c r="E344" t="s">
        <v>187</v>
      </c>
      <c r="F344">
        <f>SUM(D317:D344)</f>
        <v>40</v>
      </c>
    </row>
    <row r="345" spans="1:6" x14ac:dyDescent="0.25">
      <c r="A345">
        <v>83</v>
      </c>
      <c r="B345">
        <v>19</v>
      </c>
      <c r="C345">
        <v>3</v>
      </c>
      <c r="D345">
        <v>3</v>
      </c>
      <c r="E345" t="s">
        <v>172</v>
      </c>
    </row>
    <row r="346" spans="1:6" x14ac:dyDescent="0.25">
      <c r="A346">
        <v>83</v>
      </c>
      <c r="B346">
        <v>24</v>
      </c>
      <c r="C346">
        <v>1</v>
      </c>
      <c r="D346">
        <v>1</v>
      </c>
      <c r="E346" t="s">
        <v>172</v>
      </c>
    </row>
    <row r="347" spans="1:6" x14ac:dyDescent="0.25">
      <c r="A347">
        <v>83</v>
      </c>
      <c r="B347">
        <v>28</v>
      </c>
      <c r="C347">
        <v>2</v>
      </c>
      <c r="D347">
        <v>2</v>
      </c>
      <c r="E347" t="s">
        <v>172</v>
      </c>
    </row>
    <row r="348" spans="1:6" x14ac:dyDescent="0.25">
      <c r="A348">
        <v>83</v>
      </c>
      <c r="B348">
        <v>29</v>
      </c>
      <c r="C348">
        <v>1</v>
      </c>
      <c r="D348">
        <v>1</v>
      </c>
      <c r="E348" t="s">
        <v>172</v>
      </c>
    </row>
    <row r="349" spans="1:6" x14ac:dyDescent="0.25">
      <c r="A349">
        <v>83</v>
      </c>
      <c r="B349">
        <v>30</v>
      </c>
      <c r="C349">
        <v>1</v>
      </c>
      <c r="D349">
        <v>1</v>
      </c>
      <c r="E349" t="s">
        <v>172</v>
      </c>
    </row>
    <row r="350" spans="1:6" x14ac:dyDescent="0.25">
      <c r="A350">
        <v>83</v>
      </c>
      <c r="B350">
        <v>32</v>
      </c>
      <c r="C350">
        <v>1</v>
      </c>
      <c r="D350">
        <v>1</v>
      </c>
      <c r="E350" t="s">
        <v>172</v>
      </c>
    </row>
    <row r="351" spans="1:6" x14ac:dyDescent="0.25">
      <c r="A351">
        <v>83</v>
      </c>
      <c r="B351">
        <v>33</v>
      </c>
      <c r="C351">
        <v>1</v>
      </c>
      <c r="D351">
        <v>1</v>
      </c>
      <c r="E351" t="s">
        <v>172</v>
      </c>
    </row>
    <row r="352" spans="1:6" x14ac:dyDescent="0.25">
      <c r="A352">
        <v>83</v>
      </c>
      <c r="B352">
        <v>58</v>
      </c>
      <c r="C352">
        <v>4</v>
      </c>
      <c r="D352">
        <v>4</v>
      </c>
      <c r="E352" t="s">
        <v>172</v>
      </c>
    </row>
    <row r="353" spans="1:5" x14ac:dyDescent="0.25">
      <c r="A353">
        <v>83</v>
      </c>
      <c r="B353">
        <v>59</v>
      </c>
      <c r="C353">
        <v>5</v>
      </c>
      <c r="D353">
        <v>5</v>
      </c>
      <c r="E353" t="s">
        <v>172</v>
      </c>
    </row>
    <row r="354" spans="1:5" x14ac:dyDescent="0.25">
      <c r="A354">
        <v>83</v>
      </c>
      <c r="B354">
        <v>60</v>
      </c>
      <c r="C354">
        <v>1</v>
      </c>
      <c r="D354">
        <v>1</v>
      </c>
      <c r="E354" t="s">
        <v>172</v>
      </c>
    </row>
    <row r="355" spans="1:5" x14ac:dyDescent="0.25">
      <c r="A355">
        <v>83</v>
      </c>
      <c r="B355">
        <v>61</v>
      </c>
      <c r="C355">
        <v>2</v>
      </c>
      <c r="D355">
        <v>2</v>
      </c>
      <c r="E355" t="s">
        <v>172</v>
      </c>
    </row>
    <row r="356" spans="1:5" x14ac:dyDescent="0.25">
      <c r="A356">
        <v>83</v>
      </c>
      <c r="B356">
        <v>62</v>
      </c>
      <c r="C356">
        <v>2</v>
      </c>
      <c r="D356">
        <v>2</v>
      </c>
      <c r="E356" t="s">
        <v>172</v>
      </c>
    </row>
    <row r="357" spans="1:5" x14ac:dyDescent="0.25">
      <c r="A357">
        <v>83</v>
      </c>
      <c r="B357">
        <v>64</v>
      </c>
      <c r="C357">
        <v>2</v>
      </c>
      <c r="D357">
        <v>2</v>
      </c>
      <c r="E357" t="s">
        <v>172</v>
      </c>
    </row>
    <row r="358" spans="1:5" x14ac:dyDescent="0.25">
      <c r="A358">
        <v>83</v>
      </c>
      <c r="B358">
        <v>241</v>
      </c>
      <c r="C358">
        <v>1</v>
      </c>
      <c r="D358">
        <v>1</v>
      </c>
      <c r="E358" t="s">
        <v>172</v>
      </c>
    </row>
    <row r="359" spans="1:5" x14ac:dyDescent="0.25">
      <c r="A359">
        <v>83</v>
      </c>
      <c r="B359">
        <v>415</v>
      </c>
      <c r="C359">
        <v>2</v>
      </c>
      <c r="D359">
        <v>2</v>
      </c>
      <c r="E359" t="s">
        <v>172</v>
      </c>
    </row>
    <row r="360" spans="1:5" x14ac:dyDescent="0.25">
      <c r="A360">
        <v>83</v>
      </c>
      <c r="B360">
        <v>428</v>
      </c>
      <c r="C360">
        <v>1</v>
      </c>
      <c r="D360">
        <v>1</v>
      </c>
      <c r="E360" t="s">
        <v>172</v>
      </c>
    </row>
    <row r="361" spans="1:5" x14ac:dyDescent="0.25">
      <c r="A361">
        <v>83</v>
      </c>
      <c r="B361">
        <v>436</v>
      </c>
      <c r="C361">
        <v>1</v>
      </c>
      <c r="D361">
        <v>1</v>
      </c>
      <c r="E361" t="s">
        <v>172</v>
      </c>
    </row>
    <row r="362" spans="1:5" x14ac:dyDescent="0.25">
      <c r="A362">
        <v>83</v>
      </c>
      <c r="B362">
        <v>438</v>
      </c>
      <c r="C362">
        <v>1</v>
      </c>
      <c r="D362">
        <v>1</v>
      </c>
      <c r="E362" t="s">
        <v>172</v>
      </c>
    </row>
    <row r="363" spans="1:5" x14ac:dyDescent="0.25">
      <c r="A363">
        <v>83</v>
      </c>
      <c r="B363">
        <v>491</v>
      </c>
      <c r="C363">
        <v>1</v>
      </c>
      <c r="D363">
        <v>1</v>
      </c>
      <c r="E363" t="s">
        <v>172</v>
      </c>
    </row>
    <row r="364" spans="1:5" x14ac:dyDescent="0.25">
      <c r="A364">
        <v>83</v>
      </c>
      <c r="B364">
        <v>492</v>
      </c>
      <c r="C364">
        <v>1</v>
      </c>
      <c r="D364">
        <v>1</v>
      </c>
      <c r="E364" t="s">
        <v>172</v>
      </c>
    </row>
    <row r="365" spans="1:5" x14ac:dyDescent="0.25">
      <c r="A365">
        <v>83</v>
      </c>
      <c r="B365">
        <v>517</v>
      </c>
      <c r="C365">
        <v>1</v>
      </c>
      <c r="D365">
        <v>1</v>
      </c>
      <c r="E365" t="s">
        <v>172</v>
      </c>
    </row>
    <row r="366" spans="1:5" x14ac:dyDescent="0.25">
      <c r="A366">
        <v>83</v>
      </c>
      <c r="B366">
        <v>534</v>
      </c>
      <c r="C366">
        <v>1</v>
      </c>
      <c r="D366">
        <v>1</v>
      </c>
      <c r="E366" t="s">
        <v>172</v>
      </c>
    </row>
    <row r="367" spans="1:5" x14ac:dyDescent="0.25">
      <c r="A367">
        <v>83</v>
      </c>
      <c r="B367">
        <v>626</v>
      </c>
      <c r="C367">
        <v>1</v>
      </c>
      <c r="D367">
        <v>1</v>
      </c>
      <c r="E367" t="s">
        <v>172</v>
      </c>
    </row>
    <row r="368" spans="1:5" x14ac:dyDescent="0.25">
      <c r="A368">
        <v>83</v>
      </c>
      <c r="B368">
        <v>627</v>
      </c>
      <c r="C368">
        <v>1</v>
      </c>
      <c r="D368">
        <v>1</v>
      </c>
      <c r="E368" t="s">
        <v>172</v>
      </c>
    </row>
    <row r="369" spans="1:6" x14ac:dyDescent="0.25">
      <c r="A369">
        <v>83</v>
      </c>
      <c r="B369">
        <v>633</v>
      </c>
      <c r="C369">
        <v>1</v>
      </c>
      <c r="D369">
        <v>1</v>
      </c>
      <c r="E369" t="s">
        <v>172</v>
      </c>
    </row>
    <row r="370" spans="1:6" x14ac:dyDescent="0.25">
      <c r="A370">
        <v>83</v>
      </c>
      <c r="B370">
        <v>644</v>
      </c>
      <c r="C370">
        <v>2</v>
      </c>
      <c r="D370">
        <v>2</v>
      </c>
      <c r="E370" t="s">
        <v>172</v>
      </c>
    </row>
    <row r="371" spans="1:6" x14ac:dyDescent="0.25">
      <c r="A371">
        <v>83</v>
      </c>
      <c r="B371">
        <v>688</v>
      </c>
      <c r="C371">
        <v>2</v>
      </c>
      <c r="D371">
        <v>2</v>
      </c>
      <c r="E371" t="s">
        <v>172</v>
      </c>
    </row>
    <row r="372" spans="1:6" x14ac:dyDescent="0.25">
      <c r="A372">
        <v>83</v>
      </c>
      <c r="B372">
        <v>690</v>
      </c>
      <c r="C372">
        <v>1</v>
      </c>
      <c r="D372">
        <v>1</v>
      </c>
      <c r="E372" t="s">
        <v>172</v>
      </c>
    </row>
    <row r="373" spans="1:6" x14ac:dyDescent="0.25">
      <c r="A373">
        <v>83</v>
      </c>
      <c r="B373">
        <v>709</v>
      </c>
      <c r="C373">
        <v>1</v>
      </c>
      <c r="D373">
        <v>1</v>
      </c>
      <c r="E373" t="s">
        <v>172</v>
      </c>
    </row>
    <row r="374" spans="1:6" x14ac:dyDescent="0.25">
      <c r="A374">
        <v>83</v>
      </c>
      <c r="B374">
        <v>720</v>
      </c>
      <c r="C374">
        <v>4</v>
      </c>
      <c r="D374">
        <v>4</v>
      </c>
      <c r="E374" t="s">
        <v>172</v>
      </c>
    </row>
    <row r="375" spans="1:6" x14ac:dyDescent="0.25">
      <c r="A375">
        <v>83</v>
      </c>
      <c r="B375">
        <v>727</v>
      </c>
      <c r="C375">
        <v>1</v>
      </c>
      <c r="D375">
        <v>1</v>
      </c>
      <c r="E375" t="s">
        <v>172</v>
      </c>
    </row>
    <row r="376" spans="1:6" x14ac:dyDescent="0.25">
      <c r="A376">
        <v>83</v>
      </c>
      <c r="B376">
        <v>735</v>
      </c>
      <c r="C376">
        <v>1</v>
      </c>
      <c r="D376">
        <v>1</v>
      </c>
      <c r="E376" t="s">
        <v>172</v>
      </c>
    </row>
    <row r="377" spans="1:6" x14ac:dyDescent="0.25">
      <c r="A377">
        <v>83</v>
      </c>
      <c r="B377">
        <v>736</v>
      </c>
      <c r="C377">
        <v>2</v>
      </c>
      <c r="D377">
        <v>2</v>
      </c>
      <c r="E377" t="s">
        <v>172</v>
      </c>
    </row>
    <row r="378" spans="1:6" x14ac:dyDescent="0.25">
      <c r="A378">
        <v>83</v>
      </c>
      <c r="B378">
        <v>784</v>
      </c>
      <c r="C378">
        <v>1</v>
      </c>
      <c r="D378">
        <v>1</v>
      </c>
      <c r="E378" t="s">
        <v>172</v>
      </c>
      <c r="F378">
        <f>SUM(D345:D378)</f>
        <v>54</v>
      </c>
    </row>
    <row r="379" spans="1:6" x14ac:dyDescent="0.25">
      <c r="A379">
        <v>113</v>
      </c>
      <c r="B379">
        <v>3</v>
      </c>
      <c r="C379">
        <v>1</v>
      </c>
      <c r="D379">
        <v>1</v>
      </c>
      <c r="E379" t="s">
        <v>200</v>
      </c>
    </row>
    <row r="380" spans="1:6" x14ac:dyDescent="0.25">
      <c r="A380">
        <v>113</v>
      </c>
      <c r="B380">
        <v>6</v>
      </c>
      <c r="C380">
        <v>1</v>
      </c>
      <c r="D380">
        <v>1</v>
      </c>
      <c r="E380" t="s">
        <v>200</v>
      </c>
    </row>
    <row r="381" spans="1:6" x14ac:dyDescent="0.25">
      <c r="A381">
        <v>113</v>
      </c>
      <c r="B381">
        <v>8</v>
      </c>
      <c r="C381">
        <v>1</v>
      </c>
      <c r="D381">
        <v>1</v>
      </c>
      <c r="E381" t="s">
        <v>200</v>
      </c>
    </row>
    <row r="382" spans="1:6" x14ac:dyDescent="0.25">
      <c r="A382">
        <v>113</v>
      </c>
      <c r="B382">
        <v>19</v>
      </c>
      <c r="C382">
        <v>2</v>
      </c>
      <c r="D382">
        <v>2</v>
      </c>
      <c r="E382" t="s">
        <v>200</v>
      </c>
    </row>
    <row r="383" spans="1:6" x14ac:dyDescent="0.25">
      <c r="A383">
        <v>113</v>
      </c>
      <c r="B383">
        <v>20</v>
      </c>
      <c r="C383">
        <v>1</v>
      </c>
      <c r="D383">
        <v>1</v>
      </c>
      <c r="E383" t="s">
        <v>200</v>
      </c>
    </row>
    <row r="384" spans="1:6" x14ac:dyDescent="0.25">
      <c r="A384">
        <v>113</v>
      </c>
      <c r="B384">
        <v>21</v>
      </c>
      <c r="C384">
        <v>1</v>
      </c>
      <c r="D384">
        <v>1</v>
      </c>
      <c r="E384" t="s">
        <v>200</v>
      </c>
    </row>
    <row r="385" spans="1:5" x14ac:dyDescent="0.25">
      <c r="A385">
        <v>113</v>
      </c>
      <c r="B385">
        <v>24</v>
      </c>
      <c r="C385">
        <v>1</v>
      </c>
      <c r="D385">
        <v>1</v>
      </c>
      <c r="E385" t="s">
        <v>200</v>
      </c>
    </row>
    <row r="386" spans="1:5" x14ac:dyDescent="0.25">
      <c r="A386">
        <v>113</v>
      </c>
      <c r="B386">
        <v>25</v>
      </c>
      <c r="C386">
        <v>1</v>
      </c>
      <c r="D386">
        <v>1</v>
      </c>
      <c r="E386" t="s">
        <v>200</v>
      </c>
    </row>
    <row r="387" spans="1:5" x14ac:dyDescent="0.25">
      <c r="A387">
        <v>113</v>
      </c>
      <c r="B387">
        <v>26</v>
      </c>
      <c r="C387">
        <v>2</v>
      </c>
      <c r="D387">
        <v>2</v>
      </c>
      <c r="E387" t="s">
        <v>200</v>
      </c>
    </row>
    <row r="388" spans="1:5" x14ac:dyDescent="0.25">
      <c r="A388">
        <v>113</v>
      </c>
      <c r="B388">
        <v>27</v>
      </c>
      <c r="C388">
        <v>1</v>
      </c>
      <c r="D388">
        <v>1</v>
      </c>
      <c r="E388" t="s">
        <v>200</v>
      </c>
    </row>
    <row r="389" spans="1:5" x14ac:dyDescent="0.25">
      <c r="A389">
        <v>113</v>
      </c>
      <c r="B389">
        <v>28</v>
      </c>
      <c r="C389">
        <v>2</v>
      </c>
      <c r="D389">
        <v>2</v>
      </c>
      <c r="E389" t="s">
        <v>200</v>
      </c>
    </row>
    <row r="390" spans="1:5" x14ac:dyDescent="0.25">
      <c r="A390">
        <v>113</v>
      </c>
      <c r="B390">
        <v>107</v>
      </c>
      <c r="C390">
        <v>2</v>
      </c>
      <c r="D390">
        <v>2</v>
      </c>
      <c r="E390" t="s">
        <v>200</v>
      </c>
    </row>
    <row r="391" spans="1:5" x14ac:dyDescent="0.25">
      <c r="A391">
        <v>113</v>
      </c>
      <c r="B391">
        <v>109</v>
      </c>
      <c r="C391">
        <v>1</v>
      </c>
      <c r="D391">
        <v>1</v>
      </c>
      <c r="E391" t="s">
        <v>200</v>
      </c>
    </row>
    <row r="392" spans="1:5" x14ac:dyDescent="0.25">
      <c r="A392">
        <v>113</v>
      </c>
      <c r="B392">
        <v>110</v>
      </c>
      <c r="C392">
        <v>4</v>
      </c>
      <c r="D392">
        <v>4</v>
      </c>
      <c r="E392" t="s">
        <v>200</v>
      </c>
    </row>
    <row r="393" spans="1:5" x14ac:dyDescent="0.25">
      <c r="A393">
        <v>113</v>
      </c>
      <c r="B393">
        <v>111</v>
      </c>
      <c r="C393">
        <v>2</v>
      </c>
      <c r="D393">
        <v>2</v>
      </c>
      <c r="E393" t="s">
        <v>200</v>
      </c>
    </row>
    <row r="394" spans="1:5" x14ac:dyDescent="0.25">
      <c r="A394">
        <v>113</v>
      </c>
      <c r="B394">
        <v>112</v>
      </c>
      <c r="C394">
        <v>1</v>
      </c>
      <c r="D394">
        <v>1</v>
      </c>
      <c r="E394" t="s">
        <v>200</v>
      </c>
    </row>
    <row r="395" spans="1:5" x14ac:dyDescent="0.25">
      <c r="A395">
        <v>113</v>
      </c>
      <c r="B395">
        <v>114</v>
      </c>
      <c r="C395">
        <v>4</v>
      </c>
      <c r="D395">
        <v>4</v>
      </c>
      <c r="E395" t="s">
        <v>200</v>
      </c>
    </row>
    <row r="396" spans="1:5" x14ac:dyDescent="0.25">
      <c r="A396">
        <v>113</v>
      </c>
      <c r="B396">
        <v>115</v>
      </c>
      <c r="C396">
        <v>1</v>
      </c>
      <c r="D396">
        <v>1</v>
      </c>
      <c r="E396" t="s">
        <v>200</v>
      </c>
    </row>
    <row r="397" spans="1:5" x14ac:dyDescent="0.25">
      <c r="A397">
        <v>113</v>
      </c>
      <c r="B397">
        <v>116</v>
      </c>
      <c r="C397">
        <v>5</v>
      </c>
      <c r="D397">
        <v>5</v>
      </c>
      <c r="E397" t="s">
        <v>200</v>
      </c>
    </row>
    <row r="398" spans="1:5" x14ac:dyDescent="0.25">
      <c r="A398">
        <v>113</v>
      </c>
      <c r="B398">
        <v>127</v>
      </c>
      <c r="C398">
        <v>1</v>
      </c>
      <c r="D398">
        <v>1</v>
      </c>
      <c r="E398" t="s">
        <v>200</v>
      </c>
    </row>
    <row r="399" spans="1:5" x14ac:dyDescent="0.25">
      <c r="A399">
        <v>113</v>
      </c>
      <c r="B399">
        <v>129</v>
      </c>
      <c r="C399">
        <v>2</v>
      </c>
      <c r="D399">
        <v>2</v>
      </c>
      <c r="E399" t="s">
        <v>200</v>
      </c>
    </row>
    <row r="400" spans="1:5" x14ac:dyDescent="0.25">
      <c r="A400">
        <v>113</v>
      </c>
      <c r="B400">
        <v>130</v>
      </c>
      <c r="C400">
        <v>1</v>
      </c>
      <c r="D400">
        <v>1</v>
      </c>
      <c r="E400" t="s">
        <v>200</v>
      </c>
    </row>
    <row r="401" spans="1:6" x14ac:dyDescent="0.25">
      <c r="A401">
        <v>113</v>
      </c>
      <c r="B401">
        <v>174</v>
      </c>
      <c r="C401">
        <v>3</v>
      </c>
      <c r="D401">
        <v>3</v>
      </c>
      <c r="E401" t="s">
        <v>200</v>
      </c>
    </row>
    <row r="402" spans="1:6" x14ac:dyDescent="0.25">
      <c r="A402">
        <v>113</v>
      </c>
      <c r="B402">
        <v>175</v>
      </c>
      <c r="C402">
        <v>1</v>
      </c>
      <c r="D402">
        <v>1</v>
      </c>
      <c r="E402" t="s">
        <v>200</v>
      </c>
    </row>
    <row r="403" spans="1:6" x14ac:dyDescent="0.25">
      <c r="A403">
        <v>113</v>
      </c>
      <c r="B403">
        <v>191</v>
      </c>
      <c r="C403">
        <v>2</v>
      </c>
      <c r="D403">
        <v>2</v>
      </c>
      <c r="E403" t="s">
        <v>200</v>
      </c>
    </row>
    <row r="404" spans="1:6" x14ac:dyDescent="0.25">
      <c r="A404">
        <v>113</v>
      </c>
      <c r="B404">
        <v>192</v>
      </c>
      <c r="C404">
        <v>2</v>
      </c>
      <c r="D404">
        <v>2</v>
      </c>
      <c r="E404" t="s">
        <v>200</v>
      </c>
    </row>
    <row r="405" spans="1:6" x14ac:dyDescent="0.25">
      <c r="A405">
        <v>113</v>
      </c>
      <c r="B405">
        <v>294</v>
      </c>
      <c r="C405">
        <v>2</v>
      </c>
      <c r="D405">
        <v>2</v>
      </c>
      <c r="E405" t="s">
        <v>200</v>
      </c>
      <c r="F405">
        <f>SUM(D379:D405)</f>
        <v>48</v>
      </c>
    </row>
    <row r="406" spans="1:6" x14ac:dyDescent="0.25">
      <c r="A406">
        <v>118</v>
      </c>
      <c r="B406">
        <v>540</v>
      </c>
      <c r="C406">
        <v>8</v>
      </c>
      <c r="D406">
        <v>8</v>
      </c>
      <c r="E406" t="s">
        <v>230</v>
      </c>
    </row>
    <row r="407" spans="1:6" x14ac:dyDescent="0.25">
      <c r="A407">
        <v>118</v>
      </c>
      <c r="B407">
        <v>541</v>
      </c>
      <c r="C407">
        <v>3</v>
      </c>
      <c r="D407">
        <v>3</v>
      </c>
      <c r="E407" t="s">
        <v>230</v>
      </c>
    </row>
    <row r="408" spans="1:6" x14ac:dyDescent="0.25">
      <c r="A408">
        <v>118</v>
      </c>
      <c r="B408">
        <v>542</v>
      </c>
      <c r="C408">
        <v>5</v>
      </c>
      <c r="D408">
        <v>5</v>
      </c>
      <c r="E408" t="s">
        <v>230</v>
      </c>
    </row>
    <row r="409" spans="1:6" x14ac:dyDescent="0.25">
      <c r="A409">
        <v>118</v>
      </c>
      <c r="B409">
        <v>543</v>
      </c>
      <c r="C409">
        <v>3</v>
      </c>
      <c r="D409">
        <v>3</v>
      </c>
      <c r="E409" t="s">
        <v>230</v>
      </c>
    </row>
    <row r="410" spans="1:6" x14ac:dyDescent="0.25">
      <c r="A410">
        <v>118</v>
      </c>
      <c r="B410">
        <v>544</v>
      </c>
      <c r="C410">
        <v>2</v>
      </c>
      <c r="D410">
        <v>2</v>
      </c>
      <c r="E410" t="s">
        <v>230</v>
      </c>
    </row>
    <row r="411" spans="1:6" x14ac:dyDescent="0.25">
      <c r="A411">
        <v>118</v>
      </c>
      <c r="B411">
        <v>545</v>
      </c>
      <c r="C411">
        <v>2</v>
      </c>
      <c r="D411">
        <v>2</v>
      </c>
      <c r="E411" t="s">
        <v>230</v>
      </c>
    </row>
    <row r="412" spans="1:6" x14ac:dyDescent="0.25">
      <c r="A412">
        <v>118</v>
      </c>
      <c r="B412">
        <v>546</v>
      </c>
      <c r="C412">
        <v>4</v>
      </c>
      <c r="D412">
        <v>4</v>
      </c>
      <c r="E412" t="s">
        <v>230</v>
      </c>
    </row>
    <row r="413" spans="1:6" x14ac:dyDescent="0.25">
      <c r="A413">
        <v>118</v>
      </c>
      <c r="B413">
        <v>547</v>
      </c>
      <c r="C413">
        <v>4</v>
      </c>
      <c r="D413">
        <v>4</v>
      </c>
      <c r="E413" t="s">
        <v>230</v>
      </c>
    </row>
    <row r="414" spans="1:6" x14ac:dyDescent="0.25">
      <c r="A414">
        <v>118</v>
      </c>
      <c r="B414">
        <v>548</v>
      </c>
      <c r="C414">
        <v>3</v>
      </c>
      <c r="D414">
        <v>3</v>
      </c>
      <c r="E414" t="s">
        <v>230</v>
      </c>
    </row>
    <row r="415" spans="1:6" x14ac:dyDescent="0.25">
      <c r="A415">
        <v>118</v>
      </c>
      <c r="B415">
        <v>549</v>
      </c>
      <c r="C415">
        <v>3</v>
      </c>
      <c r="D415">
        <v>3</v>
      </c>
      <c r="E415" t="s">
        <v>230</v>
      </c>
    </row>
    <row r="416" spans="1:6" x14ac:dyDescent="0.25">
      <c r="A416">
        <v>118</v>
      </c>
      <c r="B416">
        <v>565</v>
      </c>
      <c r="C416">
        <v>11</v>
      </c>
      <c r="D416">
        <v>11</v>
      </c>
      <c r="E416" t="s">
        <v>230</v>
      </c>
    </row>
    <row r="417" spans="1:5" x14ac:dyDescent="0.25">
      <c r="A417">
        <v>118</v>
      </c>
      <c r="B417">
        <v>566</v>
      </c>
      <c r="C417">
        <v>4</v>
      </c>
      <c r="D417">
        <v>4</v>
      </c>
      <c r="E417" t="s">
        <v>230</v>
      </c>
    </row>
    <row r="418" spans="1:5" x14ac:dyDescent="0.25">
      <c r="A418">
        <v>118</v>
      </c>
      <c r="B418">
        <v>567</v>
      </c>
      <c r="C418">
        <v>5</v>
      </c>
      <c r="D418">
        <v>5</v>
      </c>
      <c r="E418" t="s">
        <v>230</v>
      </c>
    </row>
    <row r="419" spans="1:5" x14ac:dyDescent="0.25">
      <c r="A419">
        <v>118</v>
      </c>
      <c r="B419">
        <v>568</v>
      </c>
      <c r="C419">
        <v>3</v>
      </c>
      <c r="D419">
        <v>3</v>
      </c>
      <c r="E419" t="s">
        <v>230</v>
      </c>
    </row>
    <row r="420" spans="1:5" x14ac:dyDescent="0.25">
      <c r="A420">
        <v>118</v>
      </c>
      <c r="B420">
        <v>569</v>
      </c>
      <c r="C420">
        <v>4</v>
      </c>
      <c r="D420">
        <v>4</v>
      </c>
      <c r="E420" t="s">
        <v>230</v>
      </c>
    </row>
    <row r="421" spans="1:5" x14ac:dyDescent="0.25">
      <c r="A421">
        <v>118</v>
      </c>
      <c r="B421">
        <v>570</v>
      </c>
      <c r="C421">
        <v>4</v>
      </c>
      <c r="D421">
        <v>4</v>
      </c>
      <c r="E421" t="s">
        <v>230</v>
      </c>
    </row>
    <row r="422" spans="1:5" x14ac:dyDescent="0.25">
      <c r="A422">
        <v>118</v>
      </c>
      <c r="B422">
        <v>571</v>
      </c>
      <c r="C422">
        <v>2</v>
      </c>
      <c r="D422">
        <v>2</v>
      </c>
      <c r="E422" t="s">
        <v>230</v>
      </c>
    </row>
    <row r="423" spans="1:5" x14ac:dyDescent="0.25">
      <c r="A423">
        <v>118</v>
      </c>
      <c r="B423">
        <v>573</v>
      </c>
      <c r="C423">
        <v>5</v>
      </c>
      <c r="D423">
        <v>5</v>
      </c>
      <c r="E423" t="s">
        <v>230</v>
      </c>
    </row>
    <row r="424" spans="1:5" x14ac:dyDescent="0.25">
      <c r="A424">
        <v>118</v>
      </c>
      <c r="B424">
        <v>574</v>
      </c>
      <c r="C424">
        <v>5</v>
      </c>
      <c r="D424">
        <v>5</v>
      </c>
      <c r="E424" t="s">
        <v>230</v>
      </c>
    </row>
    <row r="425" spans="1:5" x14ac:dyDescent="0.25">
      <c r="A425">
        <v>118</v>
      </c>
      <c r="B425">
        <v>575</v>
      </c>
      <c r="C425">
        <v>3</v>
      </c>
      <c r="D425">
        <v>3</v>
      </c>
      <c r="E425" t="s">
        <v>230</v>
      </c>
    </row>
    <row r="426" spans="1:5" x14ac:dyDescent="0.25">
      <c r="A426">
        <v>118</v>
      </c>
      <c r="B426">
        <v>619</v>
      </c>
      <c r="C426">
        <v>2</v>
      </c>
      <c r="D426">
        <v>2</v>
      </c>
      <c r="E426" t="s">
        <v>230</v>
      </c>
    </row>
    <row r="427" spans="1:5" x14ac:dyDescent="0.25">
      <c r="A427">
        <v>118</v>
      </c>
      <c r="B427">
        <v>635</v>
      </c>
      <c r="C427">
        <v>4</v>
      </c>
      <c r="D427">
        <v>4</v>
      </c>
      <c r="E427" t="s">
        <v>230</v>
      </c>
    </row>
    <row r="428" spans="1:5" x14ac:dyDescent="0.25">
      <c r="A428">
        <v>118</v>
      </c>
      <c r="B428">
        <v>641</v>
      </c>
      <c r="C428">
        <v>7</v>
      </c>
      <c r="D428">
        <v>7</v>
      </c>
      <c r="E428" t="s">
        <v>230</v>
      </c>
    </row>
    <row r="429" spans="1:5" x14ac:dyDescent="0.25">
      <c r="A429">
        <v>118</v>
      </c>
      <c r="B429">
        <v>651</v>
      </c>
      <c r="C429">
        <v>2</v>
      </c>
      <c r="D429">
        <v>2</v>
      </c>
      <c r="E429" t="s">
        <v>230</v>
      </c>
    </row>
    <row r="430" spans="1:5" x14ac:dyDescent="0.25">
      <c r="A430">
        <v>118</v>
      </c>
      <c r="B430">
        <v>660</v>
      </c>
      <c r="C430">
        <v>5</v>
      </c>
      <c r="D430">
        <v>5</v>
      </c>
      <c r="E430" t="s">
        <v>230</v>
      </c>
    </row>
    <row r="431" spans="1:5" x14ac:dyDescent="0.25">
      <c r="A431">
        <v>118</v>
      </c>
      <c r="B431">
        <v>667</v>
      </c>
      <c r="C431">
        <v>1</v>
      </c>
      <c r="D431">
        <v>1</v>
      </c>
      <c r="E431" t="s">
        <v>230</v>
      </c>
    </row>
    <row r="432" spans="1:5" x14ac:dyDescent="0.25">
      <c r="A432">
        <v>118</v>
      </c>
      <c r="B432">
        <v>672</v>
      </c>
      <c r="C432">
        <v>13</v>
      </c>
      <c r="D432">
        <v>13</v>
      </c>
      <c r="E432" t="s">
        <v>230</v>
      </c>
    </row>
    <row r="433" spans="1:6" x14ac:dyDescent="0.25">
      <c r="A433">
        <v>118</v>
      </c>
      <c r="B433">
        <v>674</v>
      </c>
      <c r="C433">
        <v>3</v>
      </c>
      <c r="D433">
        <v>3</v>
      </c>
      <c r="E433" t="s">
        <v>230</v>
      </c>
      <c r="F433">
        <f>SUM(D406:D433)</f>
        <v>120</v>
      </c>
    </row>
    <row r="434" spans="1:6" x14ac:dyDescent="0.25">
      <c r="A434">
        <v>113</v>
      </c>
      <c r="B434">
        <v>131</v>
      </c>
      <c r="C434">
        <v>3</v>
      </c>
      <c r="D434">
        <v>3</v>
      </c>
      <c r="E434" t="s">
        <v>202</v>
      </c>
    </row>
    <row r="435" spans="1:6" x14ac:dyDescent="0.25">
      <c r="A435">
        <v>113</v>
      </c>
      <c r="B435">
        <v>132</v>
      </c>
      <c r="C435">
        <v>2</v>
      </c>
      <c r="D435">
        <v>2</v>
      </c>
      <c r="E435" t="s">
        <v>202</v>
      </c>
    </row>
    <row r="436" spans="1:6" x14ac:dyDescent="0.25">
      <c r="A436">
        <v>113</v>
      </c>
      <c r="B436">
        <v>133</v>
      </c>
      <c r="C436">
        <v>1</v>
      </c>
      <c r="D436">
        <v>1</v>
      </c>
      <c r="E436" t="s">
        <v>202</v>
      </c>
    </row>
    <row r="437" spans="1:6" x14ac:dyDescent="0.25">
      <c r="A437">
        <v>113</v>
      </c>
      <c r="B437">
        <v>134</v>
      </c>
      <c r="C437">
        <v>2</v>
      </c>
      <c r="D437">
        <v>2</v>
      </c>
      <c r="E437" t="s">
        <v>202</v>
      </c>
    </row>
    <row r="438" spans="1:6" x14ac:dyDescent="0.25">
      <c r="A438">
        <v>113</v>
      </c>
      <c r="B438">
        <v>135</v>
      </c>
      <c r="C438">
        <v>1</v>
      </c>
      <c r="D438">
        <v>1</v>
      </c>
      <c r="E438" t="s">
        <v>202</v>
      </c>
    </row>
    <row r="439" spans="1:6" x14ac:dyDescent="0.25">
      <c r="A439">
        <v>113</v>
      </c>
      <c r="B439">
        <v>136</v>
      </c>
      <c r="C439">
        <v>1</v>
      </c>
      <c r="D439">
        <v>1</v>
      </c>
      <c r="E439" t="s">
        <v>202</v>
      </c>
    </row>
    <row r="440" spans="1:6" x14ac:dyDescent="0.25">
      <c r="A440">
        <v>113</v>
      </c>
      <c r="B440">
        <v>151</v>
      </c>
      <c r="C440">
        <v>1</v>
      </c>
      <c r="D440">
        <v>1</v>
      </c>
      <c r="E440" t="s">
        <v>202</v>
      </c>
    </row>
    <row r="441" spans="1:6" x14ac:dyDescent="0.25">
      <c r="A441">
        <v>113</v>
      </c>
      <c r="B441">
        <v>153</v>
      </c>
      <c r="C441">
        <v>3</v>
      </c>
      <c r="D441">
        <v>3</v>
      </c>
      <c r="E441" t="s">
        <v>202</v>
      </c>
    </row>
    <row r="442" spans="1:6" x14ac:dyDescent="0.25">
      <c r="A442">
        <v>113</v>
      </c>
      <c r="B442">
        <v>155</v>
      </c>
      <c r="C442">
        <v>3</v>
      </c>
      <c r="D442">
        <v>3</v>
      </c>
      <c r="E442" t="s">
        <v>202</v>
      </c>
    </row>
    <row r="443" spans="1:6" x14ac:dyDescent="0.25">
      <c r="A443">
        <v>113</v>
      </c>
      <c r="B443">
        <v>157</v>
      </c>
      <c r="C443">
        <v>2</v>
      </c>
      <c r="D443">
        <v>2</v>
      </c>
      <c r="E443" t="s">
        <v>202</v>
      </c>
    </row>
    <row r="444" spans="1:6" x14ac:dyDescent="0.25">
      <c r="A444">
        <v>113</v>
      </c>
      <c r="B444">
        <v>158</v>
      </c>
      <c r="C444">
        <v>2</v>
      </c>
      <c r="D444">
        <v>2</v>
      </c>
      <c r="E444" t="s">
        <v>202</v>
      </c>
    </row>
    <row r="445" spans="1:6" x14ac:dyDescent="0.25">
      <c r="A445">
        <v>113</v>
      </c>
      <c r="B445">
        <v>159</v>
      </c>
      <c r="C445">
        <v>2</v>
      </c>
      <c r="D445">
        <v>2</v>
      </c>
      <c r="E445" t="s">
        <v>202</v>
      </c>
    </row>
    <row r="446" spans="1:6" x14ac:dyDescent="0.25">
      <c r="A446">
        <v>113</v>
      </c>
      <c r="B446">
        <v>160</v>
      </c>
      <c r="C446">
        <v>1</v>
      </c>
      <c r="D446">
        <v>1</v>
      </c>
      <c r="E446" t="s">
        <v>202</v>
      </c>
    </row>
    <row r="447" spans="1:6" x14ac:dyDescent="0.25">
      <c r="A447">
        <v>113</v>
      </c>
      <c r="B447">
        <v>165</v>
      </c>
      <c r="C447">
        <v>2</v>
      </c>
      <c r="D447">
        <v>2</v>
      </c>
      <c r="E447" t="s">
        <v>202</v>
      </c>
    </row>
    <row r="448" spans="1:6" x14ac:dyDescent="0.25">
      <c r="A448">
        <v>113</v>
      </c>
      <c r="B448">
        <v>166</v>
      </c>
      <c r="C448">
        <v>1</v>
      </c>
      <c r="D448">
        <v>1</v>
      </c>
      <c r="E448" t="s">
        <v>202</v>
      </c>
    </row>
    <row r="449" spans="1:6" x14ac:dyDescent="0.25">
      <c r="A449">
        <v>113</v>
      </c>
      <c r="B449">
        <v>167</v>
      </c>
      <c r="C449">
        <v>1</v>
      </c>
      <c r="D449">
        <v>1</v>
      </c>
      <c r="E449" t="s">
        <v>202</v>
      </c>
    </row>
    <row r="450" spans="1:6" x14ac:dyDescent="0.25">
      <c r="A450">
        <v>113</v>
      </c>
      <c r="B450">
        <v>168</v>
      </c>
      <c r="C450">
        <v>2</v>
      </c>
      <c r="D450">
        <v>2</v>
      </c>
      <c r="E450" t="s">
        <v>202</v>
      </c>
    </row>
    <row r="451" spans="1:6" x14ac:dyDescent="0.25">
      <c r="A451">
        <v>113</v>
      </c>
      <c r="B451">
        <v>169</v>
      </c>
      <c r="C451">
        <v>1</v>
      </c>
      <c r="D451">
        <v>1</v>
      </c>
      <c r="E451" t="s">
        <v>202</v>
      </c>
    </row>
    <row r="452" spans="1:6" x14ac:dyDescent="0.25">
      <c r="A452">
        <v>113</v>
      </c>
      <c r="B452">
        <v>170</v>
      </c>
      <c r="C452">
        <v>3</v>
      </c>
      <c r="D452">
        <v>3</v>
      </c>
      <c r="E452" t="s">
        <v>202</v>
      </c>
    </row>
    <row r="453" spans="1:6" x14ac:dyDescent="0.25">
      <c r="A453">
        <v>113</v>
      </c>
      <c r="B453">
        <v>171</v>
      </c>
      <c r="C453">
        <v>1</v>
      </c>
      <c r="D453">
        <v>1</v>
      </c>
      <c r="E453" t="s">
        <v>202</v>
      </c>
    </row>
    <row r="454" spans="1:6" x14ac:dyDescent="0.25">
      <c r="A454">
        <v>113</v>
      </c>
      <c r="B454">
        <v>281</v>
      </c>
      <c r="C454">
        <v>3</v>
      </c>
      <c r="D454">
        <v>3</v>
      </c>
      <c r="E454" t="s">
        <v>202</v>
      </c>
    </row>
    <row r="455" spans="1:6" x14ac:dyDescent="0.25">
      <c r="A455">
        <v>113</v>
      </c>
      <c r="B455">
        <v>297</v>
      </c>
      <c r="C455">
        <v>1</v>
      </c>
      <c r="D455">
        <v>1</v>
      </c>
      <c r="E455" t="s">
        <v>202</v>
      </c>
    </row>
    <row r="456" spans="1:6" x14ac:dyDescent="0.25">
      <c r="A456">
        <v>113</v>
      </c>
      <c r="B456">
        <v>304</v>
      </c>
      <c r="C456">
        <v>3</v>
      </c>
      <c r="D456">
        <v>3</v>
      </c>
      <c r="E456" t="s">
        <v>202</v>
      </c>
    </row>
    <row r="457" spans="1:6" x14ac:dyDescent="0.25">
      <c r="A457">
        <v>113</v>
      </c>
      <c r="B457">
        <v>307</v>
      </c>
      <c r="C457">
        <v>2</v>
      </c>
      <c r="D457">
        <v>2</v>
      </c>
      <c r="E457" t="s">
        <v>202</v>
      </c>
    </row>
    <row r="458" spans="1:6" x14ac:dyDescent="0.25">
      <c r="A458">
        <v>113</v>
      </c>
      <c r="B458">
        <v>309</v>
      </c>
      <c r="C458">
        <v>1</v>
      </c>
      <c r="D458">
        <v>1</v>
      </c>
      <c r="E458" t="s">
        <v>202</v>
      </c>
    </row>
    <row r="459" spans="1:6" x14ac:dyDescent="0.25">
      <c r="A459">
        <v>113</v>
      </c>
      <c r="B459">
        <v>313</v>
      </c>
      <c r="C459">
        <v>1</v>
      </c>
      <c r="D459">
        <v>1</v>
      </c>
      <c r="E459" t="s">
        <v>202</v>
      </c>
    </row>
    <row r="460" spans="1:6" x14ac:dyDescent="0.25">
      <c r="A460">
        <v>113</v>
      </c>
      <c r="B460">
        <v>323</v>
      </c>
      <c r="C460">
        <v>2</v>
      </c>
      <c r="D460">
        <v>2</v>
      </c>
      <c r="E460" t="s">
        <v>202</v>
      </c>
    </row>
    <row r="461" spans="1:6" x14ac:dyDescent="0.25">
      <c r="A461">
        <v>113</v>
      </c>
      <c r="B461">
        <v>437</v>
      </c>
      <c r="C461">
        <v>3</v>
      </c>
      <c r="D461">
        <v>3</v>
      </c>
      <c r="E461" t="s">
        <v>202</v>
      </c>
    </row>
    <row r="462" spans="1:6" x14ac:dyDescent="0.25">
      <c r="A462">
        <v>113</v>
      </c>
      <c r="B462">
        <v>438</v>
      </c>
      <c r="C462">
        <v>2</v>
      </c>
      <c r="D462">
        <v>2</v>
      </c>
      <c r="E462" t="s">
        <v>202</v>
      </c>
    </row>
    <row r="463" spans="1:6" x14ac:dyDescent="0.25">
      <c r="A463">
        <v>113</v>
      </c>
      <c r="B463">
        <v>439</v>
      </c>
      <c r="C463">
        <v>3</v>
      </c>
      <c r="D463">
        <v>3</v>
      </c>
      <c r="E463" t="s">
        <v>202</v>
      </c>
    </row>
    <row r="464" spans="1:6" x14ac:dyDescent="0.25">
      <c r="A464">
        <v>113</v>
      </c>
      <c r="B464">
        <v>441</v>
      </c>
      <c r="C464">
        <v>2</v>
      </c>
      <c r="D464">
        <v>2</v>
      </c>
      <c r="E464" t="s">
        <v>202</v>
      </c>
      <c r="F464">
        <f>SUM(D434:D464)</f>
        <v>58</v>
      </c>
    </row>
    <row r="465" spans="1:5" x14ac:dyDescent="0.25">
      <c r="A465">
        <v>116</v>
      </c>
      <c r="B465">
        <v>30</v>
      </c>
      <c r="C465">
        <v>17</v>
      </c>
      <c r="D465">
        <v>17</v>
      </c>
      <c r="E465" t="s">
        <v>216</v>
      </c>
    </row>
    <row r="466" spans="1:5" x14ac:dyDescent="0.25">
      <c r="A466">
        <v>116</v>
      </c>
      <c r="B466">
        <v>43</v>
      </c>
      <c r="C466">
        <v>11</v>
      </c>
      <c r="D466">
        <v>11</v>
      </c>
      <c r="E466" t="s">
        <v>216</v>
      </c>
    </row>
    <row r="467" spans="1:5" x14ac:dyDescent="0.25">
      <c r="A467">
        <v>116</v>
      </c>
      <c r="B467">
        <v>44</v>
      </c>
      <c r="C467">
        <v>13</v>
      </c>
      <c r="D467">
        <v>13</v>
      </c>
      <c r="E467" t="s">
        <v>216</v>
      </c>
    </row>
    <row r="468" spans="1:5" x14ac:dyDescent="0.25">
      <c r="A468">
        <v>116</v>
      </c>
      <c r="B468">
        <v>45</v>
      </c>
      <c r="C468">
        <v>11</v>
      </c>
      <c r="D468">
        <v>11</v>
      </c>
      <c r="E468" t="s">
        <v>216</v>
      </c>
    </row>
    <row r="469" spans="1:5" x14ac:dyDescent="0.25">
      <c r="A469">
        <v>116</v>
      </c>
      <c r="B469">
        <v>46</v>
      </c>
      <c r="C469">
        <v>11</v>
      </c>
      <c r="D469">
        <v>11</v>
      </c>
      <c r="E469" t="s">
        <v>216</v>
      </c>
    </row>
    <row r="470" spans="1:5" x14ac:dyDescent="0.25">
      <c r="A470">
        <v>116</v>
      </c>
      <c r="B470">
        <v>47</v>
      </c>
      <c r="C470">
        <v>13</v>
      </c>
      <c r="D470">
        <v>13</v>
      </c>
      <c r="E470" t="s">
        <v>216</v>
      </c>
    </row>
    <row r="471" spans="1:5" x14ac:dyDescent="0.25">
      <c r="A471">
        <v>116</v>
      </c>
      <c r="B471">
        <v>48</v>
      </c>
      <c r="C471">
        <v>12</v>
      </c>
      <c r="D471">
        <v>12</v>
      </c>
      <c r="E471" t="s">
        <v>216</v>
      </c>
    </row>
    <row r="472" spans="1:5" x14ac:dyDescent="0.25">
      <c r="A472">
        <v>116</v>
      </c>
      <c r="B472">
        <v>49</v>
      </c>
      <c r="C472">
        <v>8</v>
      </c>
      <c r="D472">
        <v>8</v>
      </c>
      <c r="E472" t="s">
        <v>216</v>
      </c>
    </row>
    <row r="473" spans="1:5" x14ac:dyDescent="0.25">
      <c r="A473">
        <v>116</v>
      </c>
      <c r="B473">
        <v>50</v>
      </c>
      <c r="C473">
        <v>10</v>
      </c>
      <c r="D473">
        <v>10</v>
      </c>
      <c r="E473" t="s">
        <v>216</v>
      </c>
    </row>
    <row r="474" spans="1:5" x14ac:dyDescent="0.25">
      <c r="A474">
        <v>116</v>
      </c>
      <c r="B474">
        <v>51</v>
      </c>
      <c r="C474">
        <v>12</v>
      </c>
      <c r="D474">
        <v>12</v>
      </c>
      <c r="E474" t="s">
        <v>216</v>
      </c>
    </row>
    <row r="475" spans="1:5" x14ac:dyDescent="0.25">
      <c r="A475">
        <v>116</v>
      </c>
      <c r="B475">
        <v>52</v>
      </c>
      <c r="C475">
        <v>11</v>
      </c>
      <c r="D475">
        <v>11</v>
      </c>
      <c r="E475" t="s">
        <v>216</v>
      </c>
    </row>
    <row r="476" spans="1:5" x14ac:dyDescent="0.25">
      <c r="A476">
        <v>116</v>
      </c>
      <c r="B476">
        <v>53</v>
      </c>
      <c r="C476">
        <v>13</v>
      </c>
      <c r="D476">
        <v>13</v>
      </c>
      <c r="E476" t="s">
        <v>216</v>
      </c>
    </row>
    <row r="477" spans="1:5" x14ac:dyDescent="0.25">
      <c r="A477">
        <v>116</v>
      </c>
      <c r="B477">
        <v>54</v>
      </c>
      <c r="C477">
        <v>8</v>
      </c>
      <c r="D477">
        <v>8</v>
      </c>
      <c r="E477" t="s">
        <v>216</v>
      </c>
    </row>
    <row r="478" spans="1:5" x14ac:dyDescent="0.25">
      <c r="A478">
        <v>116</v>
      </c>
      <c r="B478">
        <v>55</v>
      </c>
      <c r="C478">
        <v>9</v>
      </c>
      <c r="D478">
        <v>9</v>
      </c>
      <c r="E478" t="s">
        <v>216</v>
      </c>
    </row>
    <row r="479" spans="1:5" x14ac:dyDescent="0.25">
      <c r="A479">
        <v>116</v>
      </c>
      <c r="B479">
        <v>56</v>
      </c>
      <c r="C479">
        <v>5</v>
      </c>
      <c r="D479">
        <v>5</v>
      </c>
      <c r="E479" t="s">
        <v>216</v>
      </c>
    </row>
    <row r="480" spans="1:5" x14ac:dyDescent="0.25">
      <c r="A480">
        <v>116</v>
      </c>
      <c r="B480">
        <v>57</v>
      </c>
      <c r="C480">
        <v>11</v>
      </c>
      <c r="D480">
        <v>11</v>
      </c>
      <c r="E480" t="s">
        <v>216</v>
      </c>
    </row>
    <row r="481" spans="1:5" x14ac:dyDescent="0.25">
      <c r="A481">
        <v>116</v>
      </c>
      <c r="B481">
        <v>58</v>
      </c>
      <c r="C481">
        <v>13</v>
      </c>
      <c r="D481">
        <v>13</v>
      </c>
      <c r="E481" t="s">
        <v>216</v>
      </c>
    </row>
    <row r="482" spans="1:5" x14ac:dyDescent="0.25">
      <c r="A482">
        <v>116</v>
      </c>
      <c r="B482">
        <v>59</v>
      </c>
      <c r="C482">
        <v>19</v>
      </c>
      <c r="D482">
        <v>19</v>
      </c>
      <c r="E482" t="s">
        <v>216</v>
      </c>
    </row>
    <row r="483" spans="1:5" x14ac:dyDescent="0.25">
      <c r="A483">
        <v>116</v>
      </c>
      <c r="B483">
        <v>60</v>
      </c>
      <c r="C483">
        <v>11</v>
      </c>
      <c r="D483">
        <v>11</v>
      </c>
      <c r="E483" t="s">
        <v>216</v>
      </c>
    </row>
    <row r="484" spans="1:5" x14ac:dyDescent="0.25">
      <c r="A484">
        <v>116</v>
      </c>
      <c r="B484">
        <v>61</v>
      </c>
      <c r="C484">
        <v>11</v>
      </c>
      <c r="D484">
        <v>11</v>
      </c>
      <c r="E484" t="s">
        <v>216</v>
      </c>
    </row>
    <row r="485" spans="1:5" x14ac:dyDescent="0.25">
      <c r="A485">
        <v>116</v>
      </c>
      <c r="B485">
        <v>62</v>
      </c>
      <c r="C485">
        <v>15</v>
      </c>
      <c r="D485">
        <v>15</v>
      </c>
      <c r="E485" t="s">
        <v>216</v>
      </c>
    </row>
    <row r="486" spans="1:5" x14ac:dyDescent="0.25">
      <c r="A486">
        <v>116</v>
      </c>
      <c r="B486">
        <v>63</v>
      </c>
      <c r="C486">
        <v>14</v>
      </c>
      <c r="D486">
        <v>14</v>
      </c>
      <c r="E486" t="s">
        <v>216</v>
      </c>
    </row>
    <row r="487" spans="1:5" x14ac:dyDescent="0.25">
      <c r="A487">
        <v>116</v>
      </c>
      <c r="B487">
        <v>152</v>
      </c>
      <c r="C487">
        <v>19</v>
      </c>
      <c r="D487">
        <v>19</v>
      </c>
      <c r="E487" t="s">
        <v>216</v>
      </c>
    </row>
    <row r="488" spans="1:5" x14ac:dyDescent="0.25">
      <c r="A488">
        <v>116</v>
      </c>
      <c r="B488">
        <v>153</v>
      </c>
      <c r="C488">
        <v>22</v>
      </c>
      <c r="D488">
        <v>22</v>
      </c>
      <c r="E488" t="s">
        <v>216</v>
      </c>
    </row>
    <row r="489" spans="1:5" x14ac:dyDescent="0.25">
      <c r="A489">
        <v>116</v>
      </c>
      <c r="B489">
        <v>154</v>
      </c>
      <c r="C489">
        <v>28</v>
      </c>
      <c r="D489">
        <v>28</v>
      </c>
      <c r="E489" t="s">
        <v>216</v>
      </c>
    </row>
    <row r="490" spans="1:5" x14ac:dyDescent="0.25">
      <c r="A490">
        <v>116</v>
      </c>
      <c r="B490">
        <v>155</v>
      </c>
      <c r="C490">
        <v>24</v>
      </c>
      <c r="D490">
        <v>24</v>
      </c>
      <c r="E490" t="s">
        <v>216</v>
      </c>
    </row>
    <row r="491" spans="1:5" x14ac:dyDescent="0.25">
      <c r="A491">
        <v>116</v>
      </c>
      <c r="B491">
        <v>156</v>
      </c>
      <c r="C491">
        <v>18</v>
      </c>
      <c r="D491">
        <v>18</v>
      </c>
      <c r="E491" t="s">
        <v>216</v>
      </c>
    </row>
    <row r="492" spans="1:5" x14ac:dyDescent="0.25">
      <c r="A492">
        <v>116</v>
      </c>
      <c r="B492">
        <v>157</v>
      </c>
      <c r="C492">
        <v>23</v>
      </c>
      <c r="D492">
        <v>23</v>
      </c>
      <c r="E492" t="s">
        <v>216</v>
      </c>
    </row>
    <row r="493" spans="1:5" x14ac:dyDescent="0.25">
      <c r="A493">
        <v>116</v>
      </c>
      <c r="B493">
        <v>158</v>
      </c>
      <c r="C493">
        <v>14</v>
      </c>
      <c r="D493">
        <v>14</v>
      </c>
      <c r="E493" t="s">
        <v>216</v>
      </c>
    </row>
    <row r="494" spans="1:5" x14ac:dyDescent="0.25">
      <c r="A494">
        <v>116</v>
      </c>
      <c r="B494">
        <v>159</v>
      </c>
      <c r="C494">
        <v>19</v>
      </c>
      <c r="D494">
        <v>19</v>
      </c>
      <c r="E494" t="s">
        <v>216</v>
      </c>
    </row>
    <row r="495" spans="1:5" x14ac:dyDescent="0.25">
      <c r="A495">
        <v>116</v>
      </c>
      <c r="B495">
        <v>160</v>
      </c>
      <c r="C495">
        <v>18</v>
      </c>
      <c r="D495">
        <v>18</v>
      </c>
      <c r="E495" t="s">
        <v>216</v>
      </c>
    </row>
    <row r="496" spans="1:5" x14ac:dyDescent="0.25">
      <c r="A496">
        <v>116</v>
      </c>
      <c r="B496">
        <v>161</v>
      </c>
      <c r="C496">
        <v>27</v>
      </c>
      <c r="D496">
        <v>27</v>
      </c>
      <c r="E496" t="s">
        <v>216</v>
      </c>
    </row>
    <row r="497" spans="1:5" x14ac:dyDescent="0.25">
      <c r="A497">
        <v>116</v>
      </c>
      <c r="B497">
        <v>162</v>
      </c>
      <c r="C497">
        <v>20</v>
      </c>
      <c r="D497">
        <v>20</v>
      </c>
      <c r="E497" t="s">
        <v>216</v>
      </c>
    </row>
    <row r="498" spans="1:5" x14ac:dyDescent="0.25">
      <c r="A498">
        <v>116</v>
      </c>
      <c r="B498">
        <v>163</v>
      </c>
      <c r="C498">
        <v>24</v>
      </c>
      <c r="D498">
        <v>24</v>
      </c>
      <c r="E498" t="s">
        <v>216</v>
      </c>
    </row>
    <row r="499" spans="1:5" x14ac:dyDescent="0.25">
      <c r="A499">
        <v>116</v>
      </c>
      <c r="B499">
        <v>190</v>
      </c>
      <c r="C499">
        <v>18</v>
      </c>
      <c r="D499">
        <v>18</v>
      </c>
      <c r="E499" t="s">
        <v>216</v>
      </c>
    </row>
    <row r="500" spans="1:5" x14ac:dyDescent="0.25">
      <c r="A500">
        <v>116</v>
      </c>
      <c r="B500">
        <v>205</v>
      </c>
      <c r="C500">
        <v>25</v>
      </c>
      <c r="D500">
        <v>25</v>
      </c>
      <c r="E500" t="s">
        <v>216</v>
      </c>
    </row>
    <row r="501" spans="1:5" x14ac:dyDescent="0.25">
      <c r="A501">
        <v>116</v>
      </c>
      <c r="B501">
        <v>206</v>
      </c>
      <c r="C501">
        <v>19</v>
      </c>
      <c r="D501">
        <v>19</v>
      </c>
      <c r="E501" t="s">
        <v>216</v>
      </c>
    </row>
    <row r="502" spans="1:5" x14ac:dyDescent="0.25">
      <c r="A502">
        <v>116</v>
      </c>
      <c r="B502">
        <v>276</v>
      </c>
      <c r="C502">
        <v>3</v>
      </c>
      <c r="D502">
        <v>3</v>
      </c>
      <c r="E502" t="s">
        <v>216</v>
      </c>
    </row>
    <row r="503" spans="1:5" x14ac:dyDescent="0.25">
      <c r="A503">
        <v>116</v>
      </c>
      <c r="B503">
        <v>290</v>
      </c>
      <c r="C503">
        <v>24</v>
      </c>
      <c r="D503">
        <v>24</v>
      </c>
      <c r="E503" t="s">
        <v>216</v>
      </c>
    </row>
    <row r="504" spans="1:5" x14ac:dyDescent="0.25">
      <c r="A504">
        <v>116</v>
      </c>
      <c r="B504">
        <v>302</v>
      </c>
      <c r="C504">
        <v>15</v>
      </c>
      <c r="D504">
        <v>15</v>
      </c>
      <c r="E504" t="s">
        <v>216</v>
      </c>
    </row>
    <row r="505" spans="1:5" x14ac:dyDescent="0.25">
      <c r="A505">
        <v>116</v>
      </c>
      <c r="B505">
        <v>304</v>
      </c>
      <c r="C505">
        <v>28</v>
      </c>
      <c r="D505">
        <v>28</v>
      </c>
      <c r="E505" t="s">
        <v>216</v>
      </c>
    </row>
    <row r="506" spans="1:5" x14ac:dyDescent="0.25">
      <c r="A506">
        <v>116</v>
      </c>
      <c r="B506">
        <v>312</v>
      </c>
      <c r="C506">
        <v>14</v>
      </c>
      <c r="D506">
        <v>14</v>
      </c>
      <c r="E506" t="s">
        <v>216</v>
      </c>
    </row>
    <row r="507" spans="1:5" x14ac:dyDescent="0.25">
      <c r="A507">
        <v>116</v>
      </c>
      <c r="B507">
        <v>321</v>
      </c>
      <c r="C507">
        <v>19</v>
      </c>
      <c r="D507">
        <v>19</v>
      </c>
      <c r="E507" t="s">
        <v>216</v>
      </c>
    </row>
    <row r="508" spans="1:5" x14ac:dyDescent="0.25">
      <c r="A508">
        <v>116</v>
      </c>
      <c r="B508">
        <v>329</v>
      </c>
      <c r="C508">
        <v>7</v>
      </c>
      <c r="D508">
        <v>7</v>
      </c>
      <c r="E508" t="s">
        <v>216</v>
      </c>
    </row>
    <row r="509" spans="1:5" x14ac:dyDescent="0.25">
      <c r="A509">
        <v>116</v>
      </c>
      <c r="B509">
        <v>339</v>
      </c>
      <c r="C509">
        <v>7</v>
      </c>
      <c r="D509">
        <v>7</v>
      </c>
      <c r="E509" t="s">
        <v>216</v>
      </c>
    </row>
    <row r="510" spans="1:5" x14ac:dyDescent="0.25">
      <c r="A510">
        <v>116</v>
      </c>
      <c r="B510">
        <v>347</v>
      </c>
      <c r="C510">
        <v>13</v>
      </c>
      <c r="D510">
        <v>13</v>
      </c>
      <c r="E510" t="s">
        <v>216</v>
      </c>
    </row>
    <row r="511" spans="1:5" x14ac:dyDescent="0.25">
      <c r="A511">
        <v>116</v>
      </c>
      <c r="B511">
        <v>369</v>
      </c>
      <c r="C511">
        <v>11</v>
      </c>
      <c r="D511">
        <v>11</v>
      </c>
      <c r="E511" t="s">
        <v>216</v>
      </c>
    </row>
    <row r="512" spans="1:5" x14ac:dyDescent="0.25">
      <c r="A512">
        <v>116</v>
      </c>
      <c r="B512">
        <v>370</v>
      </c>
      <c r="C512">
        <v>2</v>
      </c>
      <c r="D512">
        <v>2</v>
      </c>
      <c r="E512" t="s">
        <v>216</v>
      </c>
    </row>
    <row r="513" spans="1:5" x14ac:dyDescent="0.25">
      <c r="A513">
        <v>116</v>
      </c>
      <c r="B513">
        <v>424</v>
      </c>
      <c r="C513">
        <v>8</v>
      </c>
      <c r="D513">
        <v>8</v>
      </c>
      <c r="E513" t="s">
        <v>216</v>
      </c>
    </row>
    <row r="514" spans="1:5" x14ac:dyDescent="0.25">
      <c r="A514">
        <v>116</v>
      </c>
      <c r="B514">
        <v>425</v>
      </c>
      <c r="C514">
        <v>9</v>
      </c>
      <c r="D514">
        <v>9</v>
      </c>
      <c r="E514" t="s">
        <v>216</v>
      </c>
    </row>
    <row r="515" spans="1:5" x14ac:dyDescent="0.25">
      <c r="A515">
        <v>116</v>
      </c>
      <c r="B515">
        <v>426</v>
      </c>
      <c r="C515">
        <v>11</v>
      </c>
      <c r="D515">
        <v>11</v>
      </c>
      <c r="E515" t="s">
        <v>216</v>
      </c>
    </row>
    <row r="516" spans="1:5" x14ac:dyDescent="0.25">
      <c r="A516">
        <v>116</v>
      </c>
      <c r="B516">
        <v>465</v>
      </c>
      <c r="C516">
        <v>5</v>
      </c>
      <c r="D516">
        <v>5</v>
      </c>
      <c r="E516" t="s">
        <v>216</v>
      </c>
    </row>
    <row r="517" spans="1:5" x14ac:dyDescent="0.25">
      <c r="A517">
        <v>116</v>
      </c>
      <c r="B517">
        <v>474</v>
      </c>
      <c r="C517">
        <v>6</v>
      </c>
      <c r="D517">
        <v>6</v>
      </c>
      <c r="E517" t="s">
        <v>216</v>
      </c>
    </row>
    <row r="518" spans="1:5" x14ac:dyDescent="0.25">
      <c r="A518">
        <v>116</v>
      </c>
      <c r="B518">
        <v>476</v>
      </c>
      <c r="C518">
        <v>18</v>
      </c>
      <c r="D518">
        <v>18</v>
      </c>
      <c r="E518" t="s">
        <v>216</v>
      </c>
    </row>
    <row r="519" spans="1:5" x14ac:dyDescent="0.25">
      <c r="A519">
        <v>116</v>
      </c>
      <c r="B519">
        <v>484</v>
      </c>
      <c r="C519">
        <v>9</v>
      </c>
      <c r="D519">
        <v>9</v>
      </c>
      <c r="E519" t="s">
        <v>216</v>
      </c>
    </row>
    <row r="520" spans="1:5" x14ac:dyDescent="0.25">
      <c r="A520">
        <v>116</v>
      </c>
      <c r="B520">
        <v>486</v>
      </c>
      <c r="C520">
        <v>10</v>
      </c>
      <c r="D520">
        <v>10</v>
      </c>
      <c r="E520" t="s">
        <v>216</v>
      </c>
    </row>
    <row r="521" spans="1:5" x14ac:dyDescent="0.25">
      <c r="A521">
        <v>116</v>
      </c>
      <c r="B521">
        <v>497</v>
      </c>
      <c r="C521">
        <v>16</v>
      </c>
      <c r="D521">
        <v>16</v>
      </c>
      <c r="E521" t="s">
        <v>216</v>
      </c>
    </row>
    <row r="522" spans="1:5" x14ac:dyDescent="0.25">
      <c r="A522">
        <v>116</v>
      </c>
      <c r="B522">
        <v>498</v>
      </c>
      <c r="C522">
        <v>4</v>
      </c>
      <c r="D522">
        <v>4</v>
      </c>
      <c r="E522" t="s">
        <v>216</v>
      </c>
    </row>
    <row r="523" spans="1:5" x14ac:dyDescent="0.25">
      <c r="A523">
        <v>116</v>
      </c>
      <c r="B523">
        <v>499</v>
      </c>
      <c r="C523">
        <v>9</v>
      </c>
      <c r="D523">
        <v>9</v>
      </c>
      <c r="E523" t="s">
        <v>216</v>
      </c>
    </row>
    <row r="524" spans="1:5" x14ac:dyDescent="0.25">
      <c r="A524">
        <v>116</v>
      </c>
      <c r="B524">
        <v>502</v>
      </c>
      <c r="C524">
        <v>6</v>
      </c>
      <c r="D524">
        <v>6</v>
      </c>
      <c r="E524" t="s">
        <v>216</v>
      </c>
    </row>
    <row r="525" spans="1:5" x14ac:dyDescent="0.25">
      <c r="A525">
        <v>117</v>
      </c>
      <c r="B525">
        <v>163</v>
      </c>
      <c r="C525">
        <v>9</v>
      </c>
      <c r="D525">
        <v>9</v>
      </c>
      <c r="E525" t="s">
        <v>216</v>
      </c>
    </row>
    <row r="526" spans="1:5" x14ac:dyDescent="0.25">
      <c r="A526">
        <v>117</v>
      </c>
      <c r="B526">
        <v>164</v>
      </c>
      <c r="C526">
        <v>9</v>
      </c>
      <c r="D526">
        <v>9</v>
      </c>
      <c r="E526" t="s">
        <v>216</v>
      </c>
    </row>
    <row r="527" spans="1:5" x14ac:dyDescent="0.25">
      <c r="A527">
        <v>117</v>
      </c>
      <c r="B527">
        <v>165</v>
      </c>
      <c r="C527">
        <v>10</v>
      </c>
      <c r="D527">
        <v>10</v>
      </c>
      <c r="E527" t="s">
        <v>216</v>
      </c>
    </row>
    <row r="528" spans="1:5" x14ac:dyDescent="0.25">
      <c r="A528">
        <v>117</v>
      </c>
      <c r="B528">
        <v>166</v>
      </c>
      <c r="C528">
        <v>8</v>
      </c>
      <c r="D528">
        <v>8</v>
      </c>
      <c r="E528" t="s">
        <v>216</v>
      </c>
    </row>
    <row r="529" spans="1:5" x14ac:dyDescent="0.25">
      <c r="A529">
        <v>117</v>
      </c>
      <c r="B529">
        <v>167</v>
      </c>
      <c r="C529">
        <v>7</v>
      </c>
      <c r="D529">
        <v>7</v>
      </c>
      <c r="E529" t="s">
        <v>216</v>
      </c>
    </row>
    <row r="530" spans="1:5" x14ac:dyDescent="0.25">
      <c r="A530">
        <v>117</v>
      </c>
      <c r="B530">
        <v>168</v>
      </c>
      <c r="C530">
        <v>8</v>
      </c>
      <c r="D530">
        <v>8</v>
      </c>
      <c r="E530" t="s">
        <v>216</v>
      </c>
    </row>
    <row r="531" spans="1:5" x14ac:dyDescent="0.25">
      <c r="A531">
        <v>117</v>
      </c>
      <c r="B531">
        <v>169</v>
      </c>
      <c r="C531">
        <v>11</v>
      </c>
      <c r="D531">
        <v>11</v>
      </c>
      <c r="E531" t="s">
        <v>216</v>
      </c>
    </row>
    <row r="532" spans="1:5" x14ac:dyDescent="0.25">
      <c r="A532">
        <v>117</v>
      </c>
      <c r="B532">
        <v>170</v>
      </c>
      <c r="C532">
        <v>13</v>
      </c>
      <c r="D532">
        <v>13</v>
      </c>
      <c r="E532" t="s">
        <v>216</v>
      </c>
    </row>
    <row r="533" spans="1:5" x14ac:dyDescent="0.25">
      <c r="A533">
        <v>117</v>
      </c>
      <c r="B533">
        <v>171</v>
      </c>
      <c r="C533">
        <v>11</v>
      </c>
      <c r="D533">
        <v>11</v>
      </c>
      <c r="E533" t="s">
        <v>216</v>
      </c>
    </row>
    <row r="534" spans="1:5" x14ac:dyDescent="0.25">
      <c r="A534">
        <v>117</v>
      </c>
      <c r="B534">
        <v>172</v>
      </c>
      <c r="C534">
        <v>8</v>
      </c>
      <c r="D534">
        <v>8</v>
      </c>
      <c r="E534" t="s">
        <v>216</v>
      </c>
    </row>
    <row r="535" spans="1:5" x14ac:dyDescent="0.25">
      <c r="A535">
        <v>117</v>
      </c>
      <c r="B535">
        <v>173</v>
      </c>
      <c r="C535">
        <v>8</v>
      </c>
      <c r="D535">
        <v>8</v>
      </c>
      <c r="E535" t="s">
        <v>216</v>
      </c>
    </row>
    <row r="536" spans="1:5" x14ac:dyDescent="0.25">
      <c r="A536">
        <v>117</v>
      </c>
      <c r="B536">
        <v>174</v>
      </c>
      <c r="C536">
        <v>5</v>
      </c>
      <c r="D536">
        <v>5</v>
      </c>
      <c r="E536" t="s">
        <v>216</v>
      </c>
    </row>
    <row r="537" spans="1:5" x14ac:dyDescent="0.25">
      <c r="A537">
        <v>117</v>
      </c>
      <c r="B537">
        <v>175</v>
      </c>
      <c r="C537">
        <v>4</v>
      </c>
      <c r="D537">
        <v>4</v>
      </c>
      <c r="E537" t="s">
        <v>216</v>
      </c>
    </row>
    <row r="538" spans="1:5" x14ac:dyDescent="0.25">
      <c r="A538">
        <v>117</v>
      </c>
      <c r="B538">
        <v>176</v>
      </c>
      <c r="C538">
        <v>5</v>
      </c>
      <c r="D538">
        <v>5</v>
      </c>
      <c r="E538" t="s">
        <v>216</v>
      </c>
    </row>
    <row r="539" spans="1:5" x14ac:dyDescent="0.25">
      <c r="A539">
        <v>117</v>
      </c>
      <c r="B539">
        <v>177</v>
      </c>
      <c r="C539">
        <v>5</v>
      </c>
      <c r="D539">
        <v>5</v>
      </c>
      <c r="E539" t="s">
        <v>216</v>
      </c>
    </row>
    <row r="540" spans="1:5" x14ac:dyDescent="0.25">
      <c r="A540">
        <v>117</v>
      </c>
      <c r="B540">
        <v>178</v>
      </c>
      <c r="C540">
        <v>3</v>
      </c>
      <c r="D540">
        <v>3</v>
      </c>
      <c r="E540" t="s">
        <v>216</v>
      </c>
    </row>
    <row r="541" spans="1:5" x14ac:dyDescent="0.25">
      <c r="A541">
        <v>117</v>
      </c>
      <c r="B541">
        <v>180</v>
      </c>
      <c r="C541">
        <v>8</v>
      </c>
      <c r="D541">
        <v>8</v>
      </c>
      <c r="E541" t="s">
        <v>216</v>
      </c>
    </row>
    <row r="542" spans="1:5" x14ac:dyDescent="0.25">
      <c r="A542">
        <v>117</v>
      </c>
      <c r="B542">
        <v>181</v>
      </c>
      <c r="C542">
        <v>7</v>
      </c>
      <c r="D542">
        <v>7</v>
      </c>
      <c r="E542" t="s">
        <v>216</v>
      </c>
    </row>
    <row r="543" spans="1:5" x14ac:dyDescent="0.25">
      <c r="A543">
        <v>117</v>
      </c>
      <c r="B543">
        <v>234</v>
      </c>
      <c r="C543">
        <v>6</v>
      </c>
      <c r="D543">
        <v>6</v>
      </c>
      <c r="E543" t="s">
        <v>216</v>
      </c>
    </row>
    <row r="544" spans="1:5" x14ac:dyDescent="0.25">
      <c r="A544">
        <v>117</v>
      </c>
      <c r="B544">
        <v>239</v>
      </c>
      <c r="C544">
        <v>10</v>
      </c>
      <c r="D544">
        <v>10</v>
      </c>
      <c r="E544" t="s">
        <v>216</v>
      </c>
    </row>
    <row r="545" spans="1:5" x14ac:dyDescent="0.25">
      <c r="A545">
        <v>117</v>
      </c>
      <c r="B545">
        <v>269</v>
      </c>
      <c r="C545">
        <v>7</v>
      </c>
      <c r="D545">
        <v>7</v>
      </c>
      <c r="E545" t="s">
        <v>216</v>
      </c>
    </row>
    <row r="546" spans="1:5" x14ac:dyDescent="0.25">
      <c r="A546">
        <v>117</v>
      </c>
      <c r="B546">
        <v>270</v>
      </c>
      <c r="C546">
        <v>12</v>
      </c>
      <c r="D546">
        <v>12</v>
      </c>
      <c r="E546" t="s">
        <v>216</v>
      </c>
    </row>
    <row r="547" spans="1:5" x14ac:dyDescent="0.25">
      <c r="A547">
        <v>117</v>
      </c>
      <c r="B547">
        <v>274</v>
      </c>
      <c r="C547">
        <v>6</v>
      </c>
      <c r="D547">
        <v>6</v>
      </c>
      <c r="E547" t="s">
        <v>216</v>
      </c>
    </row>
    <row r="548" spans="1:5" x14ac:dyDescent="0.25">
      <c r="A548">
        <v>117</v>
      </c>
      <c r="B548">
        <v>294</v>
      </c>
      <c r="C548">
        <v>15</v>
      </c>
      <c r="D548">
        <v>15</v>
      </c>
      <c r="E548" t="s">
        <v>216</v>
      </c>
    </row>
    <row r="549" spans="1:5" x14ac:dyDescent="0.25">
      <c r="A549">
        <v>117</v>
      </c>
      <c r="B549">
        <v>300</v>
      </c>
      <c r="C549">
        <v>11</v>
      </c>
      <c r="D549">
        <v>11</v>
      </c>
      <c r="E549" t="s">
        <v>216</v>
      </c>
    </row>
    <row r="550" spans="1:5" x14ac:dyDescent="0.25">
      <c r="A550">
        <v>117</v>
      </c>
      <c r="B550">
        <v>314</v>
      </c>
      <c r="C550">
        <v>5</v>
      </c>
      <c r="D550">
        <v>5</v>
      </c>
      <c r="E550" t="s">
        <v>216</v>
      </c>
    </row>
    <row r="551" spans="1:5" x14ac:dyDescent="0.25">
      <c r="A551">
        <v>117</v>
      </c>
      <c r="B551">
        <v>329</v>
      </c>
      <c r="C551">
        <v>14</v>
      </c>
      <c r="D551">
        <v>14</v>
      </c>
      <c r="E551" t="s">
        <v>216</v>
      </c>
    </row>
    <row r="552" spans="1:5" x14ac:dyDescent="0.25">
      <c r="A552">
        <v>117</v>
      </c>
      <c r="B552">
        <v>330</v>
      </c>
      <c r="C552">
        <v>14</v>
      </c>
      <c r="D552">
        <v>14</v>
      </c>
      <c r="E552" t="s">
        <v>216</v>
      </c>
    </row>
    <row r="553" spans="1:5" x14ac:dyDescent="0.25">
      <c r="A553">
        <v>117</v>
      </c>
      <c r="B553">
        <v>339</v>
      </c>
      <c r="C553">
        <v>7</v>
      </c>
      <c r="D553">
        <v>7</v>
      </c>
      <c r="E553" t="s">
        <v>216</v>
      </c>
    </row>
    <row r="554" spans="1:5" x14ac:dyDescent="0.25">
      <c r="A554">
        <v>117</v>
      </c>
      <c r="B554">
        <v>350</v>
      </c>
      <c r="C554">
        <v>12</v>
      </c>
      <c r="D554">
        <v>12</v>
      </c>
      <c r="E554" t="s">
        <v>216</v>
      </c>
    </row>
    <row r="555" spans="1:5" x14ac:dyDescent="0.25">
      <c r="A555">
        <v>117</v>
      </c>
      <c r="B555">
        <v>360</v>
      </c>
      <c r="C555">
        <v>10</v>
      </c>
      <c r="D555">
        <v>10</v>
      </c>
      <c r="E555" t="s">
        <v>216</v>
      </c>
    </row>
    <row r="556" spans="1:5" x14ac:dyDescent="0.25">
      <c r="A556">
        <v>117</v>
      </c>
      <c r="B556">
        <v>363</v>
      </c>
      <c r="C556">
        <v>4</v>
      </c>
      <c r="D556">
        <v>4</v>
      </c>
      <c r="E556" t="s">
        <v>216</v>
      </c>
    </row>
    <row r="557" spans="1:5" x14ac:dyDescent="0.25">
      <c r="A557">
        <v>117</v>
      </c>
      <c r="B557">
        <v>375</v>
      </c>
      <c r="C557">
        <v>10</v>
      </c>
      <c r="D557">
        <v>10</v>
      </c>
      <c r="E557" t="s">
        <v>216</v>
      </c>
    </row>
    <row r="558" spans="1:5" x14ac:dyDescent="0.25">
      <c r="A558">
        <v>117</v>
      </c>
      <c r="B558">
        <v>381</v>
      </c>
      <c r="C558">
        <v>12</v>
      </c>
      <c r="D558">
        <v>12</v>
      </c>
      <c r="E558" t="s">
        <v>216</v>
      </c>
    </row>
    <row r="559" spans="1:5" x14ac:dyDescent="0.25">
      <c r="A559">
        <v>117</v>
      </c>
      <c r="B559">
        <v>382</v>
      </c>
      <c r="C559">
        <v>2</v>
      </c>
      <c r="D559">
        <v>2</v>
      </c>
      <c r="E559" t="s">
        <v>216</v>
      </c>
    </row>
    <row r="560" spans="1:5" x14ac:dyDescent="0.25">
      <c r="A560">
        <v>117</v>
      </c>
      <c r="B560">
        <v>396</v>
      </c>
      <c r="C560">
        <v>8</v>
      </c>
      <c r="D560">
        <v>8</v>
      </c>
      <c r="E560" t="s">
        <v>216</v>
      </c>
    </row>
    <row r="561" spans="1:6" x14ac:dyDescent="0.25">
      <c r="A561">
        <v>117</v>
      </c>
      <c r="B561">
        <v>408</v>
      </c>
      <c r="C561">
        <v>10</v>
      </c>
      <c r="D561">
        <v>10</v>
      </c>
      <c r="E561" t="s">
        <v>216</v>
      </c>
    </row>
    <row r="562" spans="1:6" x14ac:dyDescent="0.25">
      <c r="A562">
        <v>117</v>
      </c>
      <c r="B562">
        <v>413</v>
      </c>
      <c r="C562">
        <v>12</v>
      </c>
      <c r="D562">
        <v>12</v>
      </c>
      <c r="E562" t="s">
        <v>216</v>
      </c>
    </row>
    <row r="563" spans="1:6" x14ac:dyDescent="0.25">
      <c r="A563">
        <v>117</v>
      </c>
      <c r="B563">
        <v>424</v>
      </c>
      <c r="C563">
        <v>9</v>
      </c>
      <c r="D563">
        <v>9</v>
      </c>
      <c r="E563" t="s">
        <v>216</v>
      </c>
    </row>
    <row r="564" spans="1:6" x14ac:dyDescent="0.25">
      <c r="A564">
        <v>117</v>
      </c>
      <c r="B564">
        <v>427</v>
      </c>
      <c r="C564">
        <v>11</v>
      </c>
      <c r="D564">
        <v>11</v>
      </c>
      <c r="E564" t="s">
        <v>216</v>
      </c>
    </row>
    <row r="565" spans="1:6" x14ac:dyDescent="0.25">
      <c r="A565">
        <v>117</v>
      </c>
      <c r="B565">
        <v>430</v>
      </c>
      <c r="C565">
        <v>11</v>
      </c>
      <c r="D565">
        <v>11</v>
      </c>
      <c r="E565" t="s">
        <v>216</v>
      </c>
    </row>
    <row r="566" spans="1:6" x14ac:dyDescent="0.25">
      <c r="A566">
        <v>117</v>
      </c>
      <c r="B566">
        <v>432</v>
      </c>
      <c r="C566">
        <v>12</v>
      </c>
      <c r="D566">
        <v>12</v>
      </c>
      <c r="E566" t="s">
        <v>216</v>
      </c>
    </row>
    <row r="567" spans="1:6" x14ac:dyDescent="0.25">
      <c r="A567">
        <v>117</v>
      </c>
      <c r="B567">
        <v>433</v>
      </c>
      <c r="C567">
        <v>36</v>
      </c>
      <c r="D567">
        <v>36</v>
      </c>
      <c r="E567" t="s">
        <v>216</v>
      </c>
    </row>
    <row r="568" spans="1:6" x14ac:dyDescent="0.25">
      <c r="A568">
        <v>117</v>
      </c>
      <c r="B568">
        <v>434</v>
      </c>
      <c r="C568">
        <v>25</v>
      </c>
      <c r="D568">
        <v>25</v>
      </c>
      <c r="E568" t="s">
        <v>216</v>
      </c>
    </row>
    <row r="569" spans="1:6" x14ac:dyDescent="0.25">
      <c r="A569">
        <v>117</v>
      </c>
      <c r="B569">
        <v>435</v>
      </c>
      <c r="C569">
        <v>28</v>
      </c>
      <c r="D569">
        <v>28</v>
      </c>
      <c r="E569" t="s">
        <v>216</v>
      </c>
    </row>
    <row r="570" spans="1:6" x14ac:dyDescent="0.25">
      <c r="A570">
        <v>117</v>
      </c>
      <c r="B570">
        <v>436</v>
      </c>
      <c r="C570">
        <v>19</v>
      </c>
      <c r="D570">
        <v>19</v>
      </c>
      <c r="E570" t="s">
        <v>216</v>
      </c>
    </row>
    <row r="571" spans="1:6" x14ac:dyDescent="0.25">
      <c r="A571">
        <v>117</v>
      </c>
      <c r="B571">
        <v>437</v>
      </c>
      <c r="C571">
        <v>21</v>
      </c>
      <c r="D571">
        <v>21</v>
      </c>
      <c r="E571" t="s">
        <v>216</v>
      </c>
    </row>
    <row r="572" spans="1:6" x14ac:dyDescent="0.25">
      <c r="A572">
        <v>117</v>
      </c>
      <c r="B572">
        <v>438</v>
      </c>
      <c r="C572">
        <v>27</v>
      </c>
      <c r="D572">
        <v>27</v>
      </c>
      <c r="E572" t="s">
        <v>216</v>
      </c>
    </row>
    <row r="573" spans="1:6" x14ac:dyDescent="0.25">
      <c r="A573">
        <v>117</v>
      </c>
      <c r="B573">
        <v>439</v>
      </c>
      <c r="C573">
        <v>23</v>
      </c>
      <c r="D573">
        <v>23</v>
      </c>
      <c r="E573" t="s">
        <v>216</v>
      </c>
    </row>
    <row r="574" spans="1:6" x14ac:dyDescent="0.25">
      <c r="A574">
        <v>117</v>
      </c>
      <c r="B574">
        <v>440</v>
      </c>
      <c r="C574">
        <v>23</v>
      </c>
      <c r="D574">
        <v>23</v>
      </c>
      <c r="E574" t="s">
        <v>216</v>
      </c>
    </row>
    <row r="575" spans="1:6" x14ac:dyDescent="0.25">
      <c r="A575">
        <v>117</v>
      </c>
      <c r="B575">
        <v>454</v>
      </c>
      <c r="C575">
        <v>6</v>
      </c>
      <c r="D575">
        <v>6</v>
      </c>
      <c r="E575" t="s">
        <v>216</v>
      </c>
    </row>
    <row r="576" spans="1:6" x14ac:dyDescent="0.25">
      <c r="A576">
        <v>117</v>
      </c>
      <c r="B576">
        <v>470</v>
      </c>
      <c r="C576">
        <v>14</v>
      </c>
      <c r="D576">
        <v>14</v>
      </c>
      <c r="E576" t="s">
        <v>216</v>
      </c>
      <c r="F576">
        <f>SUM(D465:D576)</f>
        <v>1421</v>
      </c>
    </row>
    <row r="577" spans="1:5" x14ac:dyDescent="0.25">
      <c r="A577">
        <v>116</v>
      </c>
      <c r="B577">
        <v>382</v>
      </c>
      <c r="C577">
        <v>3</v>
      </c>
      <c r="D577">
        <v>3</v>
      </c>
      <c r="E577" t="s">
        <v>217</v>
      </c>
    </row>
    <row r="578" spans="1:5" x14ac:dyDescent="0.25">
      <c r="A578">
        <v>116</v>
      </c>
      <c r="B578">
        <v>383</v>
      </c>
      <c r="C578">
        <v>2</v>
      </c>
      <c r="D578">
        <v>2</v>
      </c>
      <c r="E578" t="s">
        <v>217</v>
      </c>
    </row>
    <row r="579" spans="1:5" x14ac:dyDescent="0.25">
      <c r="A579">
        <v>116</v>
      </c>
      <c r="B579">
        <v>384</v>
      </c>
      <c r="C579">
        <v>3</v>
      </c>
      <c r="D579">
        <v>3</v>
      </c>
      <c r="E579" t="s">
        <v>217</v>
      </c>
    </row>
    <row r="580" spans="1:5" x14ac:dyDescent="0.25">
      <c r="A580">
        <v>116</v>
      </c>
      <c r="B580">
        <v>385</v>
      </c>
      <c r="C580">
        <v>2</v>
      </c>
      <c r="D580">
        <v>2</v>
      </c>
      <c r="E580" t="s">
        <v>217</v>
      </c>
    </row>
    <row r="581" spans="1:5" x14ac:dyDescent="0.25">
      <c r="A581">
        <v>116</v>
      </c>
      <c r="B581">
        <v>386</v>
      </c>
      <c r="C581">
        <v>6</v>
      </c>
      <c r="D581">
        <v>6</v>
      </c>
      <c r="E581" t="s">
        <v>217</v>
      </c>
    </row>
    <row r="582" spans="1:5" x14ac:dyDescent="0.25">
      <c r="A582">
        <v>116</v>
      </c>
      <c r="B582">
        <v>387</v>
      </c>
      <c r="C582">
        <v>4</v>
      </c>
      <c r="D582">
        <v>4</v>
      </c>
      <c r="E582" t="s">
        <v>217</v>
      </c>
    </row>
    <row r="583" spans="1:5" x14ac:dyDescent="0.25">
      <c r="A583">
        <v>116</v>
      </c>
      <c r="B583">
        <v>388</v>
      </c>
      <c r="C583">
        <v>4</v>
      </c>
      <c r="D583">
        <v>4</v>
      </c>
      <c r="E583" t="s">
        <v>217</v>
      </c>
    </row>
    <row r="584" spans="1:5" x14ac:dyDescent="0.25">
      <c r="A584">
        <v>116</v>
      </c>
      <c r="B584">
        <v>389</v>
      </c>
      <c r="C584">
        <v>3</v>
      </c>
      <c r="D584">
        <v>3</v>
      </c>
      <c r="E584" t="s">
        <v>217</v>
      </c>
    </row>
    <row r="585" spans="1:5" x14ac:dyDescent="0.25">
      <c r="A585">
        <v>116</v>
      </c>
      <c r="B585">
        <v>390</v>
      </c>
      <c r="C585">
        <v>2</v>
      </c>
      <c r="D585">
        <v>2</v>
      </c>
      <c r="E585" t="s">
        <v>217</v>
      </c>
    </row>
    <row r="586" spans="1:5" x14ac:dyDescent="0.25">
      <c r="A586">
        <v>116</v>
      </c>
      <c r="B586">
        <v>391</v>
      </c>
      <c r="C586">
        <v>4</v>
      </c>
      <c r="D586">
        <v>4</v>
      </c>
      <c r="E586" t="s">
        <v>217</v>
      </c>
    </row>
    <row r="587" spans="1:5" x14ac:dyDescent="0.25">
      <c r="A587">
        <v>116</v>
      </c>
      <c r="B587">
        <v>393</v>
      </c>
      <c r="C587">
        <v>2</v>
      </c>
      <c r="D587">
        <v>2</v>
      </c>
      <c r="E587" t="s">
        <v>217</v>
      </c>
    </row>
    <row r="588" spans="1:5" x14ac:dyDescent="0.25">
      <c r="A588">
        <v>116</v>
      </c>
      <c r="B588">
        <v>394</v>
      </c>
      <c r="C588">
        <v>3</v>
      </c>
      <c r="D588">
        <v>3</v>
      </c>
      <c r="E588" t="s">
        <v>217</v>
      </c>
    </row>
    <row r="589" spans="1:5" x14ac:dyDescent="0.25">
      <c r="A589">
        <v>116</v>
      </c>
      <c r="B589">
        <v>395</v>
      </c>
      <c r="C589">
        <v>8</v>
      </c>
      <c r="D589">
        <v>8</v>
      </c>
      <c r="E589" t="s">
        <v>217</v>
      </c>
    </row>
    <row r="590" spans="1:5" x14ac:dyDescent="0.25">
      <c r="A590">
        <v>116</v>
      </c>
      <c r="B590">
        <v>396</v>
      </c>
      <c r="C590">
        <v>2</v>
      </c>
      <c r="D590">
        <v>2</v>
      </c>
      <c r="E590" t="s">
        <v>217</v>
      </c>
    </row>
    <row r="591" spans="1:5" x14ac:dyDescent="0.25">
      <c r="A591">
        <v>116</v>
      </c>
      <c r="B591">
        <v>400</v>
      </c>
      <c r="C591">
        <v>3</v>
      </c>
      <c r="D591">
        <v>3</v>
      </c>
      <c r="E591" t="s">
        <v>217</v>
      </c>
    </row>
    <row r="592" spans="1:5" x14ac:dyDescent="0.25">
      <c r="A592">
        <v>116</v>
      </c>
      <c r="B592">
        <v>401</v>
      </c>
      <c r="C592">
        <v>2</v>
      </c>
      <c r="D592">
        <v>2</v>
      </c>
      <c r="E592" t="s">
        <v>217</v>
      </c>
    </row>
    <row r="593" spans="1:5" x14ac:dyDescent="0.25">
      <c r="A593">
        <v>116</v>
      </c>
      <c r="B593">
        <v>402</v>
      </c>
      <c r="C593">
        <v>1</v>
      </c>
      <c r="D593">
        <v>1</v>
      </c>
      <c r="E593" t="s">
        <v>217</v>
      </c>
    </row>
    <row r="594" spans="1:5" x14ac:dyDescent="0.25">
      <c r="A594">
        <v>116</v>
      </c>
      <c r="B594">
        <v>404</v>
      </c>
      <c r="C594">
        <v>8</v>
      </c>
      <c r="D594">
        <v>8</v>
      </c>
      <c r="E594" t="s">
        <v>217</v>
      </c>
    </row>
    <row r="595" spans="1:5" x14ac:dyDescent="0.25">
      <c r="A595">
        <v>116</v>
      </c>
      <c r="B595">
        <v>405</v>
      </c>
      <c r="C595">
        <v>1</v>
      </c>
      <c r="D595">
        <v>1</v>
      </c>
      <c r="E595" t="s">
        <v>217</v>
      </c>
    </row>
    <row r="596" spans="1:5" x14ac:dyDescent="0.25">
      <c r="A596">
        <v>116</v>
      </c>
      <c r="B596">
        <v>406</v>
      </c>
      <c r="C596">
        <v>4</v>
      </c>
      <c r="D596">
        <v>4</v>
      </c>
      <c r="E596" t="s">
        <v>217</v>
      </c>
    </row>
    <row r="597" spans="1:5" x14ac:dyDescent="0.25">
      <c r="A597">
        <v>116</v>
      </c>
      <c r="B597">
        <v>407</v>
      </c>
      <c r="C597">
        <v>7</v>
      </c>
      <c r="D597">
        <v>7</v>
      </c>
      <c r="E597" t="s">
        <v>217</v>
      </c>
    </row>
    <row r="598" spans="1:5" x14ac:dyDescent="0.25">
      <c r="A598">
        <v>116</v>
      </c>
      <c r="B598">
        <v>409</v>
      </c>
      <c r="C598">
        <v>4</v>
      </c>
      <c r="D598">
        <v>4</v>
      </c>
      <c r="E598" t="s">
        <v>217</v>
      </c>
    </row>
    <row r="599" spans="1:5" x14ac:dyDescent="0.25">
      <c r="A599">
        <v>116</v>
      </c>
      <c r="B599">
        <v>410</v>
      </c>
      <c r="C599">
        <v>2</v>
      </c>
      <c r="D599">
        <v>2</v>
      </c>
      <c r="E599" t="s">
        <v>217</v>
      </c>
    </row>
    <row r="600" spans="1:5" x14ac:dyDescent="0.25">
      <c r="A600">
        <v>116</v>
      </c>
      <c r="B600">
        <v>411</v>
      </c>
      <c r="C600">
        <v>4</v>
      </c>
      <c r="D600">
        <v>4</v>
      </c>
      <c r="E600" t="s">
        <v>217</v>
      </c>
    </row>
    <row r="601" spans="1:5" x14ac:dyDescent="0.25">
      <c r="A601">
        <v>116</v>
      </c>
      <c r="B601">
        <v>412</v>
      </c>
      <c r="C601">
        <v>2</v>
      </c>
      <c r="D601">
        <v>2</v>
      </c>
      <c r="E601" t="s">
        <v>217</v>
      </c>
    </row>
    <row r="602" spans="1:5" x14ac:dyDescent="0.25">
      <c r="A602">
        <v>116</v>
      </c>
      <c r="B602">
        <v>413</v>
      </c>
      <c r="C602">
        <v>4</v>
      </c>
      <c r="D602">
        <v>4</v>
      </c>
      <c r="E602" t="s">
        <v>217</v>
      </c>
    </row>
    <row r="603" spans="1:5" x14ac:dyDescent="0.25">
      <c r="A603">
        <v>116</v>
      </c>
      <c r="B603">
        <v>414</v>
      </c>
      <c r="C603">
        <v>1</v>
      </c>
      <c r="D603">
        <v>1</v>
      </c>
      <c r="E603" t="s">
        <v>217</v>
      </c>
    </row>
    <row r="604" spans="1:5" x14ac:dyDescent="0.25">
      <c r="A604">
        <v>116</v>
      </c>
      <c r="B604">
        <v>415</v>
      </c>
      <c r="C604">
        <v>1</v>
      </c>
      <c r="D604">
        <v>1</v>
      </c>
      <c r="E604" t="s">
        <v>217</v>
      </c>
    </row>
    <row r="605" spans="1:5" x14ac:dyDescent="0.25">
      <c r="A605">
        <v>116</v>
      </c>
      <c r="B605">
        <v>416</v>
      </c>
      <c r="C605">
        <v>1</v>
      </c>
      <c r="D605">
        <v>1</v>
      </c>
      <c r="E605" t="s">
        <v>217</v>
      </c>
    </row>
    <row r="606" spans="1:5" x14ac:dyDescent="0.25">
      <c r="A606">
        <v>116</v>
      </c>
      <c r="B606">
        <v>418</v>
      </c>
      <c r="C606">
        <v>3</v>
      </c>
      <c r="D606">
        <v>3</v>
      </c>
      <c r="E606" t="s">
        <v>217</v>
      </c>
    </row>
    <row r="607" spans="1:5" x14ac:dyDescent="0.25">
      <c r="A607">
        <v>116</v>
      </c>
      <c r="B607">
        <v>419</v>
      </c>
      <c r="C607">
        <v>1</v>
      </c>
      <c r="D607">
        <v>1</v>
      </c>
      <c r="E607" t="s">
        <v>217</v>
      </c>
    </row>
    <row r="608" spans="1:5" x14ac:dyDescent="0.25">
      <c r="A608">
        <v>116</v>
      </c>
      <c r="B608">
        <v>420</v>
      </c>
      <c r="C608">
        <v>1</v>
      </c>
      <c r="D608">
        <v>1</v>
      </c>
      <c r="E608" t="s">
        <v>217</v>
      </c>
    </row>
    <row r="609" spans="1:5" x14ac:dyDescent="0.25">
      <c r="A609">
        <v>116</v>
      </c>
      <c r="B609">
        <v>421</v>
      </c>
      <c r="C609">
        <v>2</v>
      </c>
      <c r="D609">
        <v>2</v>
      </c>
      <c r="E609" t="s">
        <v>217</v>
      </c>
    </row>
    <row r="610" spans="1:5" x14ac:dyDescent="0.25">
      <c r="A610">
        <v>116</v>
      </c>
      <c r="B610">
        <v>427</v>
      </c>
      <c r="C610">
        <v>7</v>
      </c>
      <c r="D610">
        <v>7</v>
      </c>
      <c r="E610" t="s">
        <v>217</v>
      </c>
    </row>
    <row r="611" spans="1:5" x14ac:dyDescent="0.25">
      <c r="A611">
        <v>116</v>
      </c>
      <c r="B611">
        <v>428</v>
      </c>
      <c r="C611">
        <v>4</v>
      </c>
      <c r="D611">
        <v>4</v>
      </c>
      <c r="E611" t="s">
        <v>217</v>
      </c>
    </row>
    <row r="612" spans="1:5" x14ac:dyDescent="0.25">
      <c r="A612">
        <v>116</v>
      </c>
      <c r="B612">
        <v>429</v>
      </c>
      <c r="C612">
        <v>6</v>
      </c>
      <c r="D612">
        <v>6</v>
      </c>
      <c r="E612" t="s">
        <v>217</v>
      </c>
    </row>
    <row r="613" spans="1:5" x14ac:dyDescent="0.25">
      <c r="A613">
        <v>116</v>
      </c>
      <c r="B613">
        <v>430</v>
      </c>
      <c r="C613">
        <v>9</v>
      </c>
      <c r="D613">
        <v>9</v>
      </c>
      <c r="E613" t="s">
        <v>217</v>
      </c>
    </row>
    <row r="614" spans="1:5" x14ac:dyDescent="0.25">
      <c r="A614">
        <v>116</v>
      </c>
      <c r="B614">
        <v>434</v>
      </c>
      <c r="C614">
        <v>1</v>
      </c>
      <c r="D614">
        <v>1</v>
      </c>
      <c r="E614" t="s">
        <v>217</v>
      </c>
    </row>
    <row r="615" spans="1:5" x14ac:dyDescent="0.25">
      <c r="A615">
        <v>116</v>
      </c>
      <c r="B615">
        <v>435</v>
      </c>
      <c r="C615">
        <v>1</v>
      </c>
      <c r="D615">
        <v>1</v>
      </c>
      <c r="E615" t="s">
        <v>217</v>
      </c>
    </row>
    <row r="616" spans="1:5" x14ac:dyDescent="0.25">
      <c r="A616">
        <v>116</v>
      </c>
      <c r="B616">
        <v>437</v>
      </c>
      <c r="C616">
        <v>3</v>
      </c>
      <c r="D616">
        <v>3</v>
      </c>
      <c r="E616" t="s">
        <v>217</v>
      </c>
    </row>
    <row r="617" spans="1:5" x14ac:dyDescent="0.25">
      <c r="A617">
        <v>116</v>
      </c>
      <c r="B617">
        <v>438</v>
      </c>
      <c r="C617">
        <v>2</v>
      </c>
      <c r="D617">
        <v>2</v>
      </c>
      <c r="E617" t="s">
        <v>217</v>
      </c>
    </row>
    <row r="618" spans="1:5" x14ac:dyDescent="0.25">
      <c r="A618">
        <v>116</v>
      </c>
      <c r="B618">
        <v>439</v>
      </c>
      <c r="C618">
        <v>3</v>
      </c>
      <c r="D618">
        <v>3</v>
      </c>
      <c r="E618" t="s">
        <v>217</v>
      </c>
    </row>
    <row r="619" spans="1:5" x14ac:dyDescent="0.25">
      <c r="A619">
        <v>116</v>
      </c>
      <c r="B619">
        <v>441</v>
      </c>
      <c r="C619">
        <v>2</v>
      </c>
      <c r="D619">
        <v>2</v>
      </c>
      <c r="E619" t="s">
        <v>217</v>
      </c>
    </row>
    <row r="620" spans="1:5" x14ac:dyDescent="0.25">
      <c r="A620">
        <v>116</v>
      </c>
      <c r="B620">
        <v>442</v>
      </c>
      <c r="C620">
        <v>5</v>
      </c>
      <c r="D620">
        <v>5</v>
      </c>
      <c r="E620" t="s">
        <v>217</v>
      </c>
    </row>
    <row r="621" spans="1:5" x14ac:dyDescent="0.25">
      <c r="A621">
        <v>116</v>
      </c>
      <c r="B621">
        <v>443</v>
      </c>
      <c r="C621">
        <v>6</v>
      </c>
      <c r="D621">
        <v>6</v>
      </c>
      <c r="E621" t="s">
        <v>217</v>
      </c>
    </row>
    <row r="622" spans="1:5" x14ac:dyDescent="0.25">
      <c r="A622">
        <v>116</v>
      </c>
      <c r="B622">
        <v>444</v>
      </c>
      <c r="C622">
        <v>3</v>
      </c>
      <c r="D622">
        <v>3</v>
      </c>
      <c r="E622" t="s">
        <v>217</v>
      </c>
    </row>
    <row r="623" spans="1:5" x14ac:dyDescent="0.25">
      <c r="A623">
        <v>116</v>
      </c>
      <c r="B623">
        <v>445</v>
      </c>
      <c r="C623">
        <v>2</v>
      </c>
      <c r="D623">
        <v>2</v>
      </c>
      <c r="E623" t="s">
        <v>217</v>
      </c>
    </row>
    <row r="624" spans="1:5" x14ac:dyDescent="0.25">
      <c r="A624">
        <v>116</v>
      </c>
      <c r="B624">
        <v>446</v>
      </c>
      <c r="C624">
        <v>6</v>
      </c>
      <c r="D624">
        <v>6</v>
      </c>
      <c r="E624" t="s">
        <v>217</v>
      </c>
    </row>
    <row r="625" spans="1:6" x14ac:dyDescent="0.25">
      <c r="A625">
        <v>116</v>
      </c>
      <c r="B625">
        <v>447</v>
      </c>
      <c r="C625">
        <v>4</v>
      </c>
      <c r="D625">
        <v>4</v>
      </c>
      <c r="E625" t="s">
        <v>217</v>
      </c>
    </row>
    <row r="626" spans="1:6" x14ac:dyDescent="0.25">
      <c r="A626">
        <v>116</v>
      </c>
      <c r="B626">
        <v>448</v>
      </c>
      <c r="C626">
        <v>2</v>
      </c>
      <c r="D626">
        <v>2</v>
      </c>
      <c r="E626" t="s">
        <v>217</v>
      </c>
    </row>
    <row r="627" spans="1:6" x14ac:dyDescent="0.25">
      <c r="A627">
        <v>116</v>
      </c>
      <c r="B627">
        <v>449</v>
      </c>
      <c r="C627">
        <v>2</v>
      </c>
      <c r="D627">
        <v>2</v>
      </c>
      <c r="E627" t="s">
        <v>217</v>
      </c>
    </row>
    <row r="628" spans="1:6" x14ac:dyDescent="0.25">
      <c r="A628">
        <v>116</v>
      </c>
      <c r="B628">
        <v>451</v>
      </c>
      <c r="C628">
        <v>1</v>
      </c>
      <c r="D628">
        <v>1</v>
      </c>
      <c r="E628" t="s">
        <v>217</v>
      </c>
    </row>
    <row r="629" spans="1:6" x14ac:dyDescent="0.25">
      <c r="A629">
        <v>116</v>
      </c>
      <c r="B629">
        <v>452</v>
      </c>
      <c r="C629">
        <v>2</v>
      </c>
      <c r="D629">
        <v>2</v>
      </c>
      <c r="E629" t="s">
        <v>217</v>
      </c>
    </row>
    <row r="630" spans="1:6" x14ac:dyDescent="0.25">
      <c r="A630">
        <v>116</v>
      </c>
      <c r="B630">
        <v>453</v>
      </c>
      <c r="C630">
        <v>3</v>
      </c>
      <c r="D630">
        <v>3</v>
      </c>
      <c r="E630" t="s">
        <v>217</v>
      </c>
    </row>
    <row r="631" spans="1:6" x14ac:dyDescent="0.25">
      <c r="A631">
        <v>116</v>
      </c>
      <c r="B631">
        <v>454</v>
      </c>
      <c r="C631">
        <v>2</v>
      </c>
      <c r="D631">
        <v>2</v>
      </c>
      <c r="E631" t="s">
        <v>217</v>
      </c>
    </row>
    <row r="632" spans="1:6" x14ac:dyDescent="0.25">
      <c r="A632">
        <v>116</v>
      </c>
      <c r="B632">
        <v>455</v>
      </c>
      <c r="C632">
        <v>1</v>
      </c>
      <c r="D632">
        <v>1</v>
      </c>
      <c r="E632" t="s">
        <v>217</v>
      </c>
    </row>
    <row r="633" spans="1:6" x14ac:dyDescent="0.25">
      <c r="A633">
        <v>116</v>
      </c>
      <c r="B633">
        <v>456</v>
      </c>
      <c r="C633">
        <v>1</v>
      </c>
      <c r="D633">
        <v>1</v>
      </c>
      <c r="E633" t="s">
        <v>217</v>
      </c>
    </row>
    <row r="634" spans="1:6" x14ac:dyDescent="0.25">
      <c r="A634">
        <v>116</v>
      </c>
      <c r="B634">
        <v>470</v>
      </c>
      <c r="C634">
        <v>1</v>
      </c>
      <c r="D634">
        <v>1</v>
      </c>
      <c r="E634" t="s">
        <v>217</v>
      </c>
    </row>
    <row r="635" spans="1:6" x14ac:dyDescent="0.25">
      <c r="A635">
        <v>116</v>
      </c>
      <c r="B635">
        <v>473</v>
      </c>
      <c r="C635">
        <v>5</v>
      </c>
      <c r="D635">
        <v>5</v>
      </c>
      <c r="E635" t="s">
        <v>217</v>
      </c>
    </row>
    <row r="636" spans="1:6" x14ac:dyDescent="0.25">
      <c r="A636">
        <v>116</v>
      </c>
      <c r="B636">
        <v>480</v>
      </c>
      <c r="C636">
        <v>11</v>
      </c>
      <c r="D636">
        <v>11</v>
      </c>
      <c r="E636" t="s">
        <v>217</v>
      </c>
    </row>
    <row r="637" spans="1:6" x14ac:dyDescent="0.25">
      <c r="A637">
        <v>116</v>
      </c>
      <c r="B637">
        <v>485</v>
      </c>
      <c r="C637">
        <v>1</v>
      </c>
      <c r="D637">
        <v>1</v>
      </c>
      <c r="E637" t="s">
        <v>217</v>
      </c>
    </row>
    <row r="638" spans="1:6" x14ac:dyDescent="0.25">
      <c r="A638">
        <v>116</v>
      </c>
      <c r="B638">
        <v>493</v>
      </c>
      <c r="C638">
        <v>5</v>
      </c>
      <c r="D638">
        <v>5</v>
      </c>
      <c r="E638" t="s">
        <v>217</v>
      </c>
      <c r="F638">
        <f>SUM(D577:D638)</f>
        <v>201</v>
      </c>
    </row>
    <row r="639" spans="1:6" x14ac:dyDescent="0.25">
      <c r="A639">
        <v>1</v>
      </c>
      <c r="B639">
        <v>338</v>
      </c>
      <c r="C639">
        <v>1</v>
      </c>
      <c r="D639">
        <v>1</v>
      </c>
      <c r="E639" t="s">
        <v>147</v>
      </c>
    </row>
    <row r="640" spans="1:6" x14ac:dyDescent="0.25">
      <c r="A640">
        <v>1</v>
      </c>
      <c r="B640">
        <v>342</v>
      </c>
      <c r="C640">
        <v>1</v>
      </c>
      <c r="D640">
        <v>1</v>
      </c>
      <c r="E640" t="s">
        <v>147</v>
      </c>
    </row>
    <row r="641" spans="1:6" x14ac:dyDescent="0.25">
      <c r="A641">
        <v>1</v>
      </c>
      <c r="B641">
        <v>360</v>
      </c>
      <c r="C641">
        <v>1</v>
      </c>
      <c r="D641">
        <v>1</v>
      </c>
      <c r="E641" t="s">
        <v>147</v>
      </c>
    </row>
    <row r="642" spans="1:6" x14ac:dyDescent="0.25">
      <c r="A642">
        <v>1</v>
      </c>
      <c r="B642">
        <v>488</v>
      </c>
      <c r="C642">
        <v>1</v>
      </c>
      <c r="D642">
        <v>1</v>
      </c>
      <c r="E642" t="s">
        <v>147</v>
      </c>
    </row>
    <row r="643" spans="1:6" x14ac:dyDescent="0.25">
      <c r="A643">
        <v>1</v>
      </c>
      <c r="B643">
        <v>489</v>
      </c>
      <c r="C643">
        <v>1</v>
      </c>
      <c r="D643">
        <v>1</v>
      </c>
      <c r="E643" t="s">
        <v>147</v>
      </c>
    </row>
    <row r="644" spans="1:6" x14ac:dyDescent="0.25">
      <c r="A644">
        <v>1</v>
      </c>
      <c r="B644">
        <v>752</v>
      </c>
      <c r="C644">
        <v>1</v>
      </c>
      <c r="D644">
        <v>1</v>
      </c>
      <c r="E644" t="s">
        <v>147</v>
      </c>
    </row>
    <row r="645" spans="1:6" x14ac:dyDescent="0.25">
      <c r="A645">
        <v>1</v>
      </c>
      <c r="B645">
        <v>753</v>
      </c>
      <c r="C645">
        <v>1</v>
      </c>
      <c r="D645">
        <v>1</v>
      </c>
      <c r="E645" t="s">
        <v>147</v>
      </c>
    </row>
    <row r="646" spans="1:6" x14ac:dyDescent="0.25">
      <c r="A646">
        <v>1</v>
      </c>
      <c r="B646">
        <v>797</v>
      </c>
      <c r="C646">
        <v>1</v>
      </c>
      <c r="D646">
        <v>1</v>
      </c>
      <c r="E646" t="s">
        <v>147</v>
      </c>
    </row>
    <row r="647" spans="1:6" x14ac:dyDescent="0.25">
      <c r="A647">
        <v>1</v>
      </c>
      <c r="B647">
        <v>870</v>
      </c>
      <c r="C647">
        <v>2</v>
      </c>
      <c r="D647">
        <v>2</v>
      </c>
      <c r="E647" t="s">
        <v>147</v>
      </c>
    </row>
    <row r="648" spans="1:6" x14ac:dyDescent="0.25">
      <c r="A648">
        <v>1</v>
      </c>
      <c r="B648">
        <v>921</v>
      </c>
      <c r="C648">
        <v>1</v>
      </c>
      <c r="D648">
        <v>1</v>
      </c>
      <c r="E648" t="s">
        <v>147</v>
      </c>
    </row>
    <row r="649" spans="1:6" x14ac:dyDescent="0.25">
      <c r="A649">
        <v>1</v>
      </c>
      <c r="B649">
        <v>923</v>
      </c>
      <c r="C649">
        <v>1</v>
      </c>
      <c r="D649">
        <v>1</v>
      </c>
      <c r="E649" t="s">
        <v>147</v>
      </c>
      <c r="F649">
        <f>SUM(D639:D649)</f>
        <v>12</v>
      </c>
    </row>
    <row r="650" spans="1:6" x14ac:dyDescent="0.25">
      <c r="A650">
        <v>95</v>
      </c>
      <c r="B650">
        <v>179</v>
      </c>
      <c r="C650">
        <v>2</v>
      </c>
      <c r="D650">
        <v>2</v>
      </c>
      <c r="E650" t="s">
        <v>191</v>
      </c>
    </row>
    <row r="651" spans="1:6" x14ac:dyDescent="0.25">
      <c r="A651">
        <v>95</v>
      </c>
      <c r="B651">
        <v>180</v>
      </c>
      <c r="C651">
        <v>2</v>
      </c>
      <c r="D651">
        <v>2</v>
      </c>
      <c r="E651" t="s">
        <v>191</v>
      </c>
    </row>
    <row r="652" spans="1:6" x14ac:dyDescent="0.25">
      <c r="A652">
        <v>95</v>
      </c>
      <c r="B652">
        <v>182</v>
      </c>
      <c r="C652">
        <v>1</v>
      </c>
      <c r="D652">
        <v>1</v>
      </c>
      <c r="E652" t="s">
        <v>191</v>
      </c>
    </row>
    <row r="653" spans="1:6" x14ac:dyDescent="0.25">
      <c r="A653">
        <v>95</v>
      </c>
      <c r="B653">
        <v>183</v>
      </c>
      <c r="C653">
        <v>1</v>
      </c>
      <c r="D653">
        <v>1</v>
      </c>
      <c r="E653" t="s">
        <v>191</v>
      </c>
    </row>
    <row r="654" spans="1:6" x14ac:dyDescent="0.25">
      <c r="A654">
        <v>95</v>
      </c>
      <c r="B654">
        <v>184</v>
      </c>
      <c r="C654">
        <v>1</v>
      </c>
      <c r="D654">
        <v>1</v>
      </c>
      <c r="E654" t="s">
        <v>191</v>
      </c>
    </row>
    <row r="655" spans="1:6" x14ac:dyDescent="0.25">
      <c r="A655">
        <v>95</v>
      </c>
      <c r="B655">
        <v>185</v>
      </c>
      <c r="C655">
        <v>3</v>
      </c>
      <c r="D655">
        <v>3</v>
      </c>
      <c r="E655" t="s">
        <v>191</v>
      </c>
    </row>
    <row r="656" spans="1:6" x14ac:dyDescent="0.25">
      <c r="A656">
        <v>95</v>
      </c>
      <c r="B656">
        <v>186</v>
      </c>
      <c r="C656">
        <v>3</v>
      </c>
      <c r="D656">
        <v>3</v>
      </c>
      <c r="E656" t="s">
        <v>191</v>
      </c>
    </row>
    <row r="657" spans="1:6" x14ac:dyDescent="0.25">
      <c r="A657">
        <v>95</v>
      </c>
      <c r="B657">
        <v>187</v>
      </c>
      <c r="C657">
        <v>2</v>
      </c>
      <c r="D657">
        <v>2</v>
      </c>
      <c r="E657" t="s">
        <v>191</v>
      </c>
    </row>
    <row r="658" spans="1:6" x14ac:dyDescent="0.25">
      <c r="A658">
        <v>95</v>
      </c>
      <c r="B658">
        <v>190</v>
      </c>
      <c r="C658">
        <v>1</v>
      </c>
      <c r="D658">
        <v>1</v>
      </c>
      <c r="E658" t="s">
        <v>191</v>
      </c>
    </row>
    <row r="659" spans="1:6" x14ac:dyDescent="0.25">
      <c r="A659">
        <v>95</v>
      </c>
      <c r="B659">
        <v>265</v>
      </c>
      <c r="C659">
        <v>2</v>
      </c>
      <c r="D659">
        <v>2</v>
      </c>
      <c r="E659" t="s">
        <v>191</v>
      </c>
    </row>
    <row r="660" spans="1:6" x14ac:dyDescent="0.25">
      <c r="A660">
        <v>95</v>
      </c>
      <c r="B660">
        <v>267</v>
      </c>
      <c r="C660">
        <v>1</v>
      </c>
      <c r="D660">
        <v>1</v>
      </c>
      <c r="E660" t="s">
        <v>191</v>
      </c>
    </row>
    <row r="661" spans="1:6" x14ac:dyDescent="0.25">
      <c r="A661">
        <v>95</v>
      </c>
      <c r="B661">
        <v>268</v>
      </c>
      <c r="C661">
        <v>4</v>
      </c>
      <c r="D661">
        <v>4</v>
      </c>
      <c r="E661" t="s">
        <v>191</v>
      </c>
    </row>
    <row r="662" spans="1:6" x14ac:dyDescent="0.25">
      <c r="A662">
        <v>95</v>
      </c>
      <c r="B662">
        <v>308</v>
      </c>
      <c r="C662">
        <v>1</v>
      </c>
      <c r="D662">
        <v>1</v>
      </c>
      <c r="E662" t="s">
        <v>191</v>
      </c>
    </row>
    <row r="663" spans="1:6" x14ac:dyDescent="0.25">
      <c r="A663">
        <v>95</v>
      </c>
      <c r="B663">
        <v>346</v>
      </c>
      <c r="C663">
        <v>2</v>
      </c>
      <c r="D663">
        <v>2</v>
      </c>
      <c r="E663" t="s">
        <v>191</v>
      </c>
    </row>
    <row r="664" spans="1:6" x14ac:dyDescent="0.25">
      <c r="A664">
        <v>95</v>
      </c>
      <c r="B664">
        <v>354</v>
      </c>
      <c r="C664">
        <v>2</v>
      </c>
      <c r="D664">
        <v>2</v>
      </c>
      <c r="E664" t="s">
        <v>191</v>
      </c>
      <c r="F664">
        <f>SUM(D650:D664)</f>
        <v>28</v>
      </c>
    </row>
    <row r="665" spans="1:6" x14ac:dyDescent="0.25">
      <c r="A665">
        <v>2</v>
      </c>
      <c r="B665">
        <v>183</v>
      </c>
      <c r="C665">
        <v>1</v>
      </c>
      <c r="D665">
        <v>1</v>
      </c>
      <c r="E665" t="s">
        <v>158</v>
      </c>
    </row>
    <row r="666" spans="1:6" x14ac:dyDescent="0.25">
      <c r="A666">
        <v>2</v>
      </c>
      <c r="B666">
        <v>184</v>
      </c>
      <c r="C666">
        <v>2</v>
      </c>
      <c r="D666">
        <v>2</v>
      </c>
      <c r="E666" t="s">
        <v>158</v>
      </c>
    </row>
    <row r="667" spans="1:6" x14ac:dyDescent="0.25">
      <c r="A667">
        <v>2</v>
      </c>
      <c r="B667">
        <v>659</v>
      </c>
      <c r="C667">
        <v>1</v>
      </c>
      <c r="D667">
        <v>1</v>
      </c>
      <c r="E667" t="s">
        <v>158</v>
      </c>
    </row>
    <row r="668" spans="1:6" x14ac:dyDescent="0.25">
      <c r="A668">
        <v>2</v>
      </c>
      <c r="B668">
        <v>696</v>
      </c>
      <c r="C668">
        <v>1</v>
      </c>
      <c r="D668">
        <v>1</v>
      </c>
      <c r="E668" t="s">
        <v>158</v>
      </c>
    </row>
    <row r="669" spans="1:6" x14ac:dyDescent="0.25">
      <c r="A669">
        <v>2</v>
      </c>
      <c r="B669">
        <v>751</v>
      </c>
      <c r="C669">
        <v>2</v>
      </c>
      <c r="D669">
        <v>2</v>
      </c>
      <c r="E669" t="s">
        <v>158</v>
      </c>
    </row>
    <row r="670" spans="1:6" x14ac:dyDescent="0.25">
      <c r="A670">
        <v>2</v>
      </c>
      <c r="B670">
        <v>759</v>
      </c>
      <c r="C670">
        <v>2</v>
      </c>
      <c r="D670">
        <v>2</v>
      </c>
      <c r="E670" t="s">
        <v>158</v>
      </c>
    </row>
    <row r="671" spans="1:6" x14ac:dyDescent="0.25">
      <c r="A671">
        <v>2</v>
      </c>
      <c r="B671">
        <v>824</v>
      </c>
      <c r="C671">
        <v>1</v>
      </c>
      <c r="D671">
        <v>1</v>
      </c>
      <c r="E671" t="s">
        <v>158</v>
      </c>
    </row>
    <row r="672" spans="1:6" x14ac:dyDescent="0.25">
      <c r="A672">
        <v>112</v>
      </c>
      <c r="B672">
        <v>526</v>
      </c>
      <c r="C672">
        <v>1</v>
      </c>
      <c r="D672">
        <v>1</v>
      </c>
      <c r="E672" t="s">
        <v>158</v>
      </c>
    </row>
    <row r="673" spans="1:6" x14ac:dyDescent="0.25">
      <c r="A673">
        <v>112</v>
      </c>
      <c r="B673">
        <v>545</v>
      </c>
      <c r="C673">
        <v>1</v>
      </c>
      <c r="D673">
        <v>1</v>
      </c>
      <c r="E673" t="s">
        <v>158</v>
      </c>
      <c r="F673">
        <f>SUM(D665:D673)</f>
        <v>12</v>
      </c>
    </row>
    <row r="674" spans="1:6" x14ac:dyDescent="0.25">
      <c r="A674">
        <v>117</v>
      </c>
      <c r="B674">
        <v>235</v>
      </c>
      <c r="C674">
        <v>2</v>
      </c>
      <c r="D674">
        <v>2</v>
      </c>
      <c r="E674" t="s">
        <v>221</v>
      </c>
    </row>
    <row r="675" spans="1:6" x14ac:dyDescent="0.25">
      <c r="A675">
        <v>117</v>
      </c>
      <c r="B675">
        <v>236</v>
      </c>
      <c r="C675">
        <v>1</v>
      </c>
      <c r="D675">
        <v>1</v>
      </c>
      <c r="E675" t="s">
        <v>221</v>
      </c>
    </row>
    <row r="676" spans="1:6" x14ac:dyDescent="0.25">
      <c r="A676">
        <v>117</v>
      </c>
      <c r="B676">
        <v>254</v>
      </c>
      <c r="C676">
        <v>6</v>
      </c>
      <c r="D676">
        <v>6</v>
      </c>
      <c r="E676" t="s">
        <v>221</v>
      </c>
    </row>
    <row r="677" spans="1:6" x14ac:dyDescent="0.25">
      <c r="A677">
        <v>117</v>
      </c>
      <c r="B677">
        <v>255</v>
      </c>
      <c r="C677">
        <v>2</v>
      </c>
      <c r="D677">
        <v>2</v>
      </c>
      <c r="E677" t="s">
        <v>221</v>
      </c>
    </row>
    <row r="678" spans="1:6" x14ac:dyDescent="0.25">
      <c r="A678">
        <v>117</v>
      </c>
      <c r="B678">
        <v>268</v>
      </c>
      <c r="C678">
        <v>3</v>
      </c>
      <c r="D678">
        <v>3</v>
      </c>
      <c r="E678" t="s">
        <v>221</v>
      </c>
    </row>
    <row r="679" spans="1:6" x14ac:dyDescent="0.25">
      <c r="A679">
        <v>117</v>
      </c>
      <c r="B679">
        <v>271</v>
      </c>
      <c r="C679">
        <v>2</v>
      </c>
      <c r="D679">
        <v>2</v>
      </c>
      <c r="E679" t="s">
        <v>221</v>
      </c>
    </row>
    <row r="680" spans="1:6" x14ac:dyDescent="0.25">
      <c r="A680">
        <v>117</v>
      </c>
      <c r="B680">
        <v>289</v>
      </c>
      <c r="C680">
        <v>3</v>
      </c>
      <c r="D680">
        <v>3</v>
      </c>
      <c r="E680" t="s">
        <v>221</v>
      </c>
    </row>
    <row r="681" spans="1:6" x14ac:dyDescent="0.25">
      <c r="A681">
        <v>117</v>
      </c>
      <c r="B681">
        <v>293</v>
      </c>
      <c r="C681">
        <v>3</v>
      </c>
      <c r="D681">
        <v>3</v>
      </c>
      <c r="E681" t="s">
        <v>221</v>
      </c>
    </row>
    <row r="682" spans="1:6" x14ac:dyDescent="0.25">
      <c r="A682">
        <v>117</v>
      </c>
      <c r="B682">
        <v>313</v>
      </c>
      <c r="C682">
        <v>2</v>
      </c>
      <c r="D682">
        <v>2</v>
      </c>
      <c r="E682" t="s">
        <v>221</v>
      </c>
    </row>
    <row r="683" spans="1:6" x14ac:dyDescent="0.25">
      <c r="A683">
        <v>117</v>
      </c>
      <c r="B683">
        <v>328</v>
      </c>
      <c r="C683">
        <v>2</v>
      </c>
      <c r="D683">
        <v>2</v>
      </c>
      <c r="E683" t="s">
        <v>221</v>
      </c>
    </row>
    <row r="684" spans="1:6" x14ac:dyDescent="0.25">
      <c r="A684">
        <v>117</v>
      </c>
      <c r="B684">
        <v>333</v>
      </c>
      <c r="C684">
        <v>4</v>
      </c>
      <c r="D684">
        <v>4</v>
      </c>
      <c r="E684" t="s">
        <v>221</v>
      </c>
    </row>
    <row r="685" spans="1:6" x14ac:dyDescent="0.25">
      <c r="A685">
        <v>117</v>
      </c>
      <c r="B685">
        <v>343</v>
      </c>
      <c r="C685">
        <v>4</v>
      </c>
      <c r="D685">
        <v>4</v>
      </c>
      <c r="E685" t="s">
        <v>221</v>
      </c>
    </row>
    <row r="686" spans="1:6" x14ac:dyDescent="0.25">
      <c r="A686">
        <v>117</v>
      </c>
      <c r="B686">
        <v>348</v>
      </c>
      <c r="C686">
        <v>1</v>
      </c>
      <c r="D686">
        <v>1</v>
      </c>
      <c r="E686" t="s">
        <v>221</v>
      </c>
    </row>
    <row r="687" spans="1:6" x14ac:dyDescent="0.25">
      <c r="A687">
        <v>117</v>
      </c>
      <c r="B687">
        <v>361</v>
      </c>
      <c r="C687">
        <v>4</v>
      </c>
      <c r="D687">
        <v>4</v>
      </c>
      <c r="E687" t="s">
        <v>221</v>
      </c>
    </row>
    <row r="688" spans="1:6" x14ac:dyDescent="0.25">
      <c r="A688">
        <v>117</v>
      </c>
      <c r="B688">
        <v>366</v>
      </c>
      <c r="C688">
        <v>4</v>
      </c>
      <c r="D688">
        <v>4</v>
      </c>
      <c r="E688" t="s">
        <v>221</v>
      </c>
    </row>
    <row r="689" spans="1:5" x14ac:dyDescent="0.25">
      <c r="A689">
        <v>117</v>
      </c>
      <c r="B689">
        <v>371</v>
      </c>
      <c r="C689">
        <v>3</v>
      </c>
      <c r="D689">
        <v>3</v>
      </c>
      <c r="E689" t="s">
        <v>221</v>
      </c>
    </row>
    <row r="690" spans="1:5" x14ac:dyDescent="0.25">
      <c r="A690">
        <v>117</v>
      </c>
      <c r="B690">
        <v>380</v>
      </c>
      <c r="C690">
        <v>2</v>
      </c>
      <c r="D690">
        <v>2</v>
      </c>
      <c r="E690" t="s">
        <v>221</v>
      </c>
    </row>
    <row r="691" spans="1:5" x14ac:dyDescent="0.25">
      <c r="A691">
        <v>117</v>
      </c>
      <c r="B691">
        <v>383</v>
      </c>
      <c r="C691">
        <v>2</v>
      </c>
      <c r="D691">
        <v>2</v>
      </c>
      <c r="E691" t="s">
        <v>221</v>
      </c>
    </row>
    <row r="692" spans="1:5" x14ac:dyDescent="0.25">
      <c r="A692">
        <v>117</v>
      </c>
      <c r="B692">
        <v>387</v>
      </c>
      <c r="C692">
        <v>3</v>
      </c>
      <c r="D692">
        <v>3</v>
      </c>
      <c r="E692" t="s">
        <v>221</v>
      </c>
    </row>
    <row r="693" spans="1:5" x14ac:dyDescent="0.25">
      <c r="A693">
        <v>117</v>
      </c>
      <c r="B693">
        <v>394</v>
      </c>
      <c r="C693">
        <v>2</v>
      </c>
      <c r="D693">
        <v>2</v>
      </c>
      <c r="E693" t="s">
        <v>221</v>
      </c>
    </row>
    <row r="694" spans="1:5" x14ac:dyDescent="0.25">
      <c r="A694">
        <v>117</v>
      </c>
      <c r="B694">
        <v>406</v>
      </c>
      <c r="C694">
        <v>3</v>
      </c>
      <c r="D694">
        <v>3</v>
      </c>
      <c r="E694" t="s">
        <v>221</v>
      </c>
    </row>
    <row r="695" spans="1:5" x14ac:dyDescent="0.25">
      <c r="A695">
        <v>117</v>
      </c>
      <c r="B695">
        <v>410</v>
      </c>
      <c r="C695">
        <v>3</v>
      </c>
      <c r="D695">
        <v>3</v>
      </c>
      <c r="E695" t="s">
        <v>221</v>
      </c>
    </row>
    <row r="696" spans="1:5" x14ac:dyDescent="0.25">
      <c r="A696">
        <v>117</v>
      </c>
      <c r="B696">
        <v>411</v>
      </c>
      <c r="C696">
        <v>2</v>
      </c>
      <c r="D696">
        <v>2</v>
      </c>
      <c r="E696" t="s">
        <v>221</v>
      </c>
    </row>
    <row r="697" spans="1:5" x14ac:dyDescent="0.25">
      <c r="A697">
        <v>117</v>
      </c>
      <c r="B697">
        <v>416</v>
      </c>
      <c r="C697">
        <v>1</v>
      </c>
      <c r="D697">
        <v>1</v>
      </c>
      <c r="E697" t="s">
        <v>221</v>
      </c>
    </row>
    <row r="698" spans="1:5" x14ac:dyDescent="0.25">
      <c r="A698">
        <v>117</v>
      </c>
      <c r="B698">
        <v>425</v>
      </c>
      <c r="C698">
        <v>1</v>
      </c>
      <c r="D698">
        <v>1</v>
      </c>
      <c r="E698" t="s">
        <v>221</v>
      </c>
    </row>
    <row r="699" spans="1:5" x14ac:dyDescent="0.25">
      <c r="A699">
        <v>117</v>
      </c>
      <c r="B699">
        <v>441</v>
      </c>
      <c r="C699">
        <v>3</v>
      </c>
      <c r="D699">
        <v>3</v>
      </c>
      <c r="E699" t="s">
        <v>221</v>
      </c>
    </row>
    <row r="700" spans="1:5" x14ac:dyDescent="0.25">
      <c r="A700">
        <v>117</v>
      </c>
      <c r="B700">
        <v>443</v>
      </c>
      <c r="C700">
        <v>6</v>
      </c>
      <c r="D700">
        <v>6</v>
      </c>
      <c r="E700" t="s">
        <v>221</v>
      </c>
    </row>
    <row r="701" spans="1:5" x14ac:dyDescent="0.25">
      <c r="A701">
        <v>117</v>
      </c>
      <c r="B701">
        <v>444</v>
      </c>
      <c r="C701">
        <v>1</v>
      </c>
      <c r="D701">
        <v>1</v>
      </c>
      <c r="E701" t="s">
        <v>221</v>
      </c>
    </row>
    <row r="702" spans="1:5" x14ac:dyDescent="0.25">
      <c r="A702">
        <v>117</v>
      </c>
      <c r="B702">
        <v>448</v>
      </c>
      <c r="C702">
        <v>3</v>
      </c>
      <c r="D702">
        <v>3</v>
      </c>
      <c r="E702" t="s">
        <v>221</v>
      </c>
    </row>
    <row r="703" spans="1:5" x14ac:dyDescent="0.25">
      <c r="A703">
        <v>117</v>
      </c>
      <c r="B703">
        <v>451</v>
      </c>
      <c r="C703">
        <v>6</v>
      </c>
      <c r="D703">
        <v>6</v>
      </c>
      <c r="E703" t="s">
        <v>221</v>
      </c>
    </row>
    <row r="704" spans="1:5" x14ac:dyDescent="0.25">
      <c r="A704">
        <v>117</v>
      </c>
      <c r="B704">
        <v>456</v>
      </c>
      <c r="C704">
        <v>4</v>
      </c>
      <c r="D704">
        <v>4</v>
      </c>
      <c r="E704" t="s">
        <v>221</v>
      </c>
    </row>
    <row r="705" spans="1:6" x14ac:dyDescent="0.25">
      <c r="A705">
        <v>117</v>
      </c>
      <c r="B705">
        <v>459</v>
      </c>
      <c r="C705">
        <v>1</v>
      </c>
      <c r="D705">
        <v>1</v>
      </c>
      <c r="E705" t="s">
        <v>221</v>
      </c>
    </row>
    <row r="706" spans="1:6" x14ac:dyDescent="0.25">
      <c r="A706">
        <v>117</v>
      </c>
      <c r="B706">
        <v>464</v>
      </c>
      <c r="C706">
        <v>1</v>
      </c>
      <c r="D706">
        <v>1</v>
      </c>
      <c r="E706" t="s">
        <v>221</v>
      </c>
    </row>
    <row r="707" spans="1:6" x14ac:dyDescent="0.25">
      <c r="A707">
        <v>117</v>
      </c>
      <c r="B707">
        <v>466</v>
      </c>
      <c r="C707">
        <v>1</v>
      </c>
      <c r="D707">
        <v>1</v>
      </c>
      <c r="E707" t="s">
        <v>221</v>
      </c>
    </row>
    <row r="708" spans="1:6" x14ac:dyDescent="0.25">
      <c r="A708">
        <v>117</v>
      </c>
      <c r="B708">
        <v>472</v>
      </c>
      <c r="C708">
        <v>3</v>
      </c>
      <c r="D708">
        <v>3</v>
      </c>
      <c r="E708" t="s">
        <v>221</v>
      </c>
    </row>
    <row r="709" spans="1:6" x14ac:dyDescent="0.25">
      <c r="A709">
        <v>117</v>
      </c>
      <c r="B709">
        <v>478</v>
      </c>
      <c r="C709">
        <v>3</v>
      </c>
      <c r="D709">
        <v>3</v>
      </c>
      <c r="E709" t="s">
        <v>221</v>
      </c>
    </row>
    <row r="710" spans="1:6" x14ac:dyDescent="0.25">
      <c r="A710">
        <v>117</v>
      </c>
      <c r="B710">
        <v>481</v>
      </c>
      <c r="C710">
        <v>1</v>
      </c>
      <c r="D710">
        <v>1</v>
      </c>
      <c r="E710" t="s">
        <v>221</v>
      </c>
    </row>
    <row r="711" spans="1:6" x14ac:dyDescent="0.25">
      <c r="A711">
        <v>117</v>
      </c>
      <c r="B711">
        <v>483</v>
      </c>
      <c r="C711">
        <v>1</v>
      </c>
      <c r="D711">
        <v>1</v>
      </c>
      <c r="E711" t="s">
        <v>221</v>
      </c>
      <c r="F711">
        <f>SUM(D674:D711)</f>
        <v>99</v>
      </c>
    </row>
    <row r="712" spans="1:6" x14ac:dyDescent="0.25">
      <c r="A712">
        <v>82</v>
      </c>
      <c r="B712">
        <v>64</v>
      </c>
      <c r="C712">
        <v>1</v>
      </c>
      <c r="D712">
        <v>1</v>
      </c>
      <c r="E712" t="s">
        <v>167</v>
      </c>
    </row>
    <row r="713" spans="1:6" x14ac:dyDescent="0.25">
      <c r="A713">
        <v>82</v>
      </c>
      <c r="B713">
        <v>68</v>
      </c>
      <c r="C713">
        <v>1</v>
      </c>
      <c r="D713">
        <v>1</v>
      </c>
      <c r="E713" t="s">
        <v>167</v>
      </c>
    </row>
    <row r="714" spans="1:6" x14ac:dyDescent="0.25">
      <c r="A714">
        <v>82</v>
      </c>
      <c r="B714">
        <v>70</v>
      </c>
      <c r="C714">
        <v>3</v>
      </c>
      <c r="D714">
        <v>3</v>
      </c>
      <c r="E714" t="s">
        <v>167</v>
      </c>
    </row>
    <row r="715" spans="1:6" x14ac:dyDescent="0.25">
      <c r="A715">
        <v>82</v>
      </c>
      <c r="B715">
        <v>73</v>
      </c>
      <c r="C715">
        <v>4</v>
      </c>
      <c r="D715">
        <v>4</v>
      </c>
      <c r="E715" t="s">
        <v>167</v>
      </c>
    </row>
    <row r="716" spans="1:6" x14ac:dyDescent="0.25">
      <c r="A716">
        <v>82</v>
      </c>
      <c r="B716">
        <v>74</v>
      </c>
      <c r="C716">
        <v>1</v>
      </c>
      <c r="D716">
        <v>1</v>
      </c>
      <c r="E716" t="s">
        <v>167</v>
      </c>
    </row>
    <row r="717" spans="1:6" x14ac:dyDescent="0.25">
      <c r="A717">
        <v>82</v>
      </c>
      <c r="B717">
        <v>75</v>
      </c>
      <c r="C717">
        <v>2</v>
      </c>
      <c r="D717">
        <v>2</v>
      </c>
      <c r="E717" t="s">
        <v>167</v>
      </c>
    </row>
    <row r="718" spans="1:6" x14ac:dyDescent="0.25">
      <c r="A718">
        <v>82</v>
      </c>
      <c r="B718">
        <v>76</v>
      </c>
      <c r="C718">
        <v>3</v>
      </c>
      <c r="D718">
        <v>3</v>
      </c>
      <c r="E718" t="s">
        <v>167</v>
      </c>
    </row>
    <row r="719" spans="1:6" x14ac:dyDescent="0.25">
      <c r="A719">
        <v>82</v>
      </c>
      <c r="B719">
        <v>83</v>
      </c>
      <c r="C719">
        <v>2</v>
      </c>
      <c r="D719">
        <v>2</v>
      </c>
      <c r="E719" t="s">
        <v>167</v>
      </c>
    </row>
    <row r="720" spans="1:6" x14ac:dyDescent="0.25">
      <c r="A720">
        <v>82</v>
      </c>
      <c r="B720">
        <v>84</v>
      </c>
      <c r="C720">
        <v>1</v>
      </c>
      <c r="D720">
        <v>1</v>
      </c>
      <c r="E720" t="s">
        <v>167</v>
      </c>
    </row>
    <row r="721" spans="1:5" x14ac:dyDescent="0.25">
      <c r="A721">
        <v>82</v>
      </c>
      <c r="B721">
        <v>90</v>
      </c>
      <c r="C721">
        <v>4</v>
      </c>
      <c r="D721">
        <v>4</v>
      </c>
      <c r="E721" t="s">
        <v>167</v>
      </c>
    </row>
    <row r="722" spans="1:5" x14ac:dyDescent="0.25">
      <c r="A722">
        <v>82</v>
      </c>
      <c r="B722">
        <v>228</v>
      </c>
      <c r="C722">
        <v>2</v>
      </c>
      <c r="D722">
        <v>2</v>
      </c>
      <c r="E722" t="s">
        <v>167</v>
      </c>
    </row>
    <row r="723" spans="1:5" x14ac:dyDescent="0.25">
      <c r="A723">
        <v>82</v>
      </c>
      <c r="B723">
        <v>229</v>
      </c>
      <c r="C723">
        <v>4</v>
      </c>
      <c r="D723">
        <v>4</v>
      </c>
      <c r="E723" t="s">
        <v>167</v>
      </c>
    </row>
    <row r="724" spans="1:5" x14ac:dyDescent="0.25">
      <c r="A724">
        <v>82</v>
      </c>
      <c r="B724">
        <v>380</v>
      </c>
      <c r="C724">
        <v>2</v>
      </c>
      <c r="D724">
        <v>2</v>
      </c>
      <c r="E724" t="s">
        <v>167</v>
      </c>
    </row>
    <row r="725" spans="1:5" x14ac:dyDescent="0.25">
      <c r="A725">
        <v>82</v>
      </c>
      <c r="B725">
        <v>381</v>
      </c>
      <c r="C725">
        <v>1</v>
      </c>
      <c r="D725">
        <v>1</v>
      </c>
      <c r="E725" t="s">
        <v>167</v>
      </c>
    </row>
    <row r="726" spans="1:5" x14ac:dyDescent="0.25">
      <c r="A726">
        <v>82</v>
      </c>
      <c r="B726">
        <v>382</v>
      </c>
      <c r="C726">
        <v>1</v>
      </c>
      <c r="D726">
        <v>1</v>
      </c>
      <c r="E726" t="s">
        <v>167</v>
      </c>
    </row>
    <row r="727" spans="1:5" x14ac:dyDescent="0.25">
      <c r="A727">
        <v>82</v>
      </c>
      <c r="B727">
        <v>383</v>
      </c>
      <c r="C727">
        <v>2</v>
      </c>
      <c r="D727">
        <v>2</v>
      </c>
      <c r="E727" t="s">
        <v>167</v>
      </c>
    </row>
    <row r="728" spans="1:5" x14ac:dyDescent="0.25">
      <c r="A728">
        <v>82</v>
      </c>
      <c r="B728">
        <v>384</v>
      </c>
      <c r="C728">
        <v>1</v>
      </c>
      <c r="D728">
        <v>1</v>
      </c>
      <c r="E728" t="s">
        <v>167</v>
      </c>
    </row>
    <row r="729" spans="1:5" x14ac:dyDescent="0.25">
      <c r="A729">
        <v>82</v>
      </c>
      <c r="B729">
        <v>395</v>
      </c>
      <c r="C729">
        <v>4</v>
      </c>
      <c r="D729">
        <v>4</v>
      </c>
      <c r="E729" t="s">
        <v>167</v>
      </c>
    </row>
    <row r="730" spans="1:5" x14ac:dyDescent="0.25">
      <c r="A730">
        <v>82</v>
      </c>
      <c r="B730">
        <v>410</v>
      </c>
      <c r="C730">
        <v>3</v>
      </c>
      <c r="D730">
        <v>3</v>
      </c>
      <c r="E730" t="s">
        <v>167</v>
      </c>
    </row>
    <row r="731" spans="1:5" x14ac:dyDescent="0.25">
      <c r="A731">
        <v>82</v>
      </c>
      <c r="B731">
        <v>416</v>
      </c>
      <c r="C731">
        <v>2</v>
      </c>
      <c r="D731">
        <v>2</v>
      </c>
      <c r="E731" t="s">
        <v>167</v>
      </c>
    </row>
    <row r="732" spans="1:5" x14ac:dyDescent="0.25">
      <c r="A732">
        <v>82</v>
      </c>
      <c r="B732">
        <v>450</v>
      </c>
      <c r="C732">
        <v>1</v>
      </c>
      <c r="D732">
        <v>1</v>
      </c>
      <c r="E732" t="s">
        <v>167</v>
      </c>
    </row>
    <row r="733" spans="1:5" x14ac:dyDescent="0.25">
      <c r="A733">
        <v>82</v>
      </c>
      <c r="B733">
        <v>474</v>
      </c>
      <c r="C733">
        <v>2</v>
      </c>
      <c r="D733">
        <v>2</v>
      </c>
      <c r="E733" t="s">
        <v>167</v>
      </c>
    </row>
    <row r="734" spans="1:5" x14ac:dyDescent="0.25">
      <c r="A734">
        <v>82</v>
      </c>
      <c r="B734">
        <v>639</v>
      </c>
      <c r="C734">
        <v>1</v>
      </c>
      <c r="D734">
        <v>1</v>
      </c>
      <c r="E734" t="s">
        <v>167</v>
      </c>
    </row>
    <row r="735" spans="1:5" x14ac:dyDescent="0.25">
      <c r="A735">
        <v>82</v>
      </c>
      <c r="B735">
        <v>654</v>
      </c>
      <c r="C735">
        <v>1</v>
      </c>
      <c r="D735">
        <v>1</v>
      </c>
      <c r="E735" t="s">
        <v>167</v>
      </c>
    </row>
    <row r="736" spans="1:5" x14ac:dyDescent="0.25">
      <c r="A736">
        <v>82</v>
      </c>
      <c r="B736">
        <v>660</v>
      </c>
      <c r="C736">
        <v>1</v>
      </c>
      <c r="D736">
        <v>1</v>
      </c>
      <c r="E736" t="s">
        <v>167</v>
      </c>
    </row>
    <row r="737" spans="1:6" x14ac:dyDescent="0.25">
      <c r="A737">
        <v>82</v>
      </c>
      <c r="B737">
        <v>663</v>
      </c>
      <c r="C737">
        <v>1</v>
      </c>
      <c r="D737">
        <v>1</v>
      </c>
      <c r="E737" t="s">
        <v>167</v>
      </c>
    </row>
    <row r="738" spans="1:6" x14ac:dyDescent="0.25">
      <c r="A738">
        <v>82</v>
      </c>
      <c r="B738">
        <v>666</v>
      </c>
      <c r="C738">
        <v>3</v>
      </c>
      <c r="D738">
        <v>3</v>
      </c>
      <c r="E738" t="s">
        <v>167</v>
      </c>
    </row>
    <row r="739" spans="1:6" x14ac:dyDescent="0.25">
      <c r="A739">
        <v>82</v>
      </c>
      <c r="B739">
        <v>678</v>
      </c>
      <c r="C739">
        <v>1</v>
      </c>
      <c r="D739">
        <v>1</v>
      </c>
      <c r="E739" t="s">
        <v>167</v>
      </c>
    </row>
    <row r="740" spans="1:6" x14ac:dyDescent="0.25">
      <c r="A740">
        <v>82</v>
      </c>
      <c r="B740">
        <v>680</v>
      </c>
      <c r="C740">
        <v>6</v>
      </c>
      <c r="D740">
        <v>6</v>
      </c>
      <c r="E740" t="s">
        <v>167</v>
      </c>
    </row>
    <row r="741" spans="1:6" x14ac:dyDescent="0.25">
      <c r="A741">
        <v>82</v>
      </c>
      <c r="B741">
        <v>681</v>
      </c>
      <c r="C741">
        <v>5</v>
      </c>
      <c r="D741">
        <v>5</v>
      </c>
      <c r="E741" t="s">
        <v>167</v>
      </c>
    </row>
    <row r="742" spans="1:6" x14ac:dyDescent="0.25">
      <c r="A742">
        <v>82</v>
      </c>
      <c r="B742">
        <v>683</v>
      </c>
      <c r="C742">
        <v>1</v>
      </c>
      <c r="D742">
        <v>1</v>
      </c>
      <c r="E742" t="s">
        <v>167</v>
      </c>
    </row>
    <row r="743" spans="1:6" x14ac:dyDescent="0.25">
      <c r="A743">
        <v>82</v>
      </c>
      <c r="B743">
        <v>684</v>
      </c>
      <c r="C743">
        <v>1</v>
      </c>
      <c r="D743">
        <v>1</v>
      </c>
      <c r="E743" t="s">
        <v>167</v>
      </c>
    </row>
    <row r="744" spans="1:6" x14ac:dyDescent="0.25">
      <c r="A744">
        <v>82</v>
      </c>
      <c r="B744">
        <v>685</v>
      </c>
      <c r="C744">
        <v>1</v>
      </c>
      <c r="D744">
        <v>1</v>
      </c>
      <c r="E744" t="s">
        <v>167</v>
      </c>
    </row>
    <row r="745" spans="1:6" x14ac:dyDescent="0.25">
      <c r="A745">
        <v>82</v>
      </c>
      <c r="B745">
        <v>687</v>
      </c>
      <c r="C745">
        <v>1</v>
      </c>
      <c r="D745">
        <v>1</v>
      </c>
      <c r="E745" t="s">
        <v>167</v>
      </c>
    </row>
    <row r="746" spans="1:6" x14ac:dyDescent="0.25">
      <c r="A746">
        <v>82</v>
      </c>
      <c r="B746">
        <v>689</v>
      </c>
      <c r="C746">
        <v>1</v>
      </c>
      <c r="D746">
        <v>1</v>
      </c>
      <c r="E746" t="s">
        <v>167</v>
      </c>
    </row>
    <row r="747" spans="1:6" x14ac:dyDescent="0.25">
      <c r="A747">
        <v>82</v>
      </c>
      <c r="B747">
        <v>701</v>
      </c>
      <c r="C747">
        <v>1</v>
      </c>
      <c r="D747">
        <v>1</v>
      </c>
      <c r="E747" t="s">
        <v>167</v>
      </c>
      <c r="F747">
        <f>SUM(D712:D747)</f>
        <v>72</v>
      </c>
    </row>
    <row r="748" spans="1:6" x14ac:dyDescent="0.25">
      <c r="A748">
        <v>3</v>
      </c>
      <c r="B748">
        <v>2</v>
      </c>
      <c r="C748">
        <v>2</v>
      </c>
      <c r="D748">
        <v>2</v>
      </c>
      <c r="E748" t="s">
        <v>160</v>
      </c>
    </row>
    <row r="749" spans="1:6" x14ac:dyDescent="0.25">
      <c r="A749">
        <v>3</v>
      </c>
      <c r="B749">
        <v>9</v>
      </c>
      <c r="C749">
        <v>1</v>
      </c>
      <c r="D749">
        <v>1</v>
      </c>
      <c r="E749" t="s">
        <v>160</v>
      </c>
    </row>
    <row r="750" spans="1:6" x14ac:dyDescent="0.25">
      <c r="A750">
        <v>3</v>
      </c>
      <c r="B750">
        <v>10</v>
      </c>
      <c r="C750">
        <v>2</v>
      </c>
      <c r="D750">
        <v>2</v>
      </c>
      <c r="E750" t="s">
        <v>160</v>
      </c>
    </row>
    <row r="751" spans="1:6" x14ac:dyDescent="0.25">
      <c r="A751">
        <v>3</v>
      </c>
      <c r="B751">
        <v>12</v>
      </c>
      <c r="C751">
        <v>2</v>
      </c>
      <c r="D751">
        <v>2</v>
      </c>
      <c r="E751" t="s">
        <v>160</v>
      </c>
    </row>
    <row r="752" spans="1:6" x14ac:dyDescent="0.25">
      <c r="A752">
        <v>3</v>
      </c>
      <c r="B752">
        <v>13</v>
      </c>
      <c r="C752">
        <v>1</v>
      </c>
      <c r="D752">
        <v>1</v>
      </c>
      <c r="E752" t="s">
        <v>160</v>
      </c>
    </row>
    <row r="753" spans="1:5" x14ac:dyDescent="0.25">
      <c r="A753">
        <v>3</v>
      </c>
      <c r="B753">
        <v>17</v>
      </c>
      <c r="C753">
        <v>1</v>
      </c>
      <c r="D753">
        <v>1</v>
      </c>
      <c r="E753" t="s">
        <v>160</v>
      </c>
    </row>
    <row r="754" spans="1:5" x14ac:dyDescent="0.25">
      <c r="A754">
        <v>3</v>
      </c>
      <c r="B754">
        <v>21</v>
      </c>
      <c r="C754">
        <v>1</v>
      </c>
      <c r="D754">
        <v>1</v>
      </c>
      <c r="E754" t="s">
        <v>160</v>
      </c>
    </row>
    <row r="755" spans="1:5" x14ac:dyDescent="0.25">
      <c r="A755">
        <v>3</v>
      </c>
      <c r="B755">
        <v>30</v>
      </c>
      <c r="C755">
        <v>2</v>
      </c>
      <c r="D755">
        <v>2</v>
      </c>
      <c r="E755" t="s">
        <v>160</v>
      </c>
    </row>
    <row r="756" spans="1:5" x14ac:dyDescent="0.25">
      <c r="A756">
        <v>3</v>
      </c>
      <c r="B756">
        <v>33</v>
      </c>
      <c r="C756">
        <v>1</v>
      </c>
      <c r="D756">
        <v>1</v>
      </c>
      <c r="E756" t="s">
        <v>160</v>
      </c>
    </row>
    <row r="757" spans="1:5" x14ac:dyDescent="0.25">
      <c r="A757">
        <v>3</v>
      </c>
      <c r="B757">
        <v>36</v>
      </c>
      <c r="C757">
        <v>1</v>
      </c>
      <c r="D757">
        <v>1</v>
      </c>
      <c r="E757" t="s">
        <v>160</v>
      </c>
    </row>
    <row r="758" spans="1:5" x14ac:dyDescent="0.25">
      <c r="A758">
        <v>3</v>
      </c>
      <c r="B758">
        <v>176</v>
      </c>
      <c r="C758">
        <v>1</v>
      </c>
      <c r="D758">
        <v>1</v>
      </c>
      <c r="E758" t="s">
        <v>160</v>
      </c>
    </row>
    <row r="759" spans="1:5" x14ac:dyDescent="0.25">
      <c r="A759">
        <v>3</v>
      </c>
      <c r="B759">
        <v>177</v>
      </c>
      <c r="C759">
        <v>1</v>
      </c>
      <c r="D759">
        <v>1</v>
      </c>
      <c r="E759" t="s">
        <v>160</v>
      </c>
    </row>
    <row r="760" spans="1:5" x14ac:dyDescent="0.25">
      <c r="A760">
        <v>3</v>
      </c>
      <c r="B760">
        <v>183</v>
      </c>
      <c r="C760">
        <v>2</v>
      </c>
      <c r="D760">
        <v>2</v>
      </c>
      <c r="E760" t="s">
        <v>160</v>
      </c>
    </row>
    <row r="761" spans="1:5" x14ac:dyDescent="0.25">
      <c r="A761">
        <v>3</v>
      </c>
      <c r="B761">
        <v>191</v>
      </c>
      <c r="C761">
        <v>1</v>
      </c>
      <c r="D761">
        <v>1</v>
      </c>
      <c r="E761" t="s">
        <v>160</v>
      </c>
    </row>
    <row r="762" spans="1:5" x14ac:dyDescent="0.25">
      <c r="A762">
        <v>3</v>
      </c>
      <c r="B762">
        <v>206</v>
      </c>
      <c r="C762">
        <v>3</v>
      </c>
      <c r="D762">
        <v>3</v>
      </c>
      <c r="E762" t="s">
        <v>160</v>
      </c>
    </row>
    <row r="763" spans="1:5" x14ac:dyDescent="0.25">
      <c r="A763">
        <v>3</v>
      </c>
      <c r="B763">
        <v>207</v>
      </c>
      <c r="C763">
        <v>2</v>
      </c>
      <c r="D763">
        <v>2</v>
      </c>
      <c r="E763" t="s">
        <v>160</v>
      </c>
    </row>
    <row r="764" spans="1:5" x14ac:dyDescent="0.25">
      <c r="A764">
        <v>3</v>
      </c>
      <c r="B764">
        <v>210</v>
      </c>
      <c r="C764">
        <v>1</v>
      </c>
      <c r="D764">
        <v>1</v>
      </c>
      <c r="E764" t="s">
        <v>160</v>
      </c>
    </row>
    <row r="765" spans="1:5" x14ac:dyDescent="0.25">
      <c r="A765">
        <v>3</v>
      </c>
      <c r="B765">
        <v>212</v>
      </c>
      <c r="C765">
        <v>1</v>
      </c>
      <c r="D765">
        <v>1</v>
      </c>
      <c r="E765" t="s">
        <v>160</v>
      </c>
    </row>
    <row r="766" spans="1:5" x14ac:dyDescent="0.25">
      <c r="A766">
        <v>3</v>
      </c>
      <c r="B766">
        <v>214</v>
      </c>
      <c r="C766">
        <v>1</v>
      </c>
      <c r="D766">
        <v>1</v>
      </c>
      <c r="E766" t="s">
        <v>160</v>
      </c>
    </row>
    <row r="767" spans="1:5" x14ac:dyDescent="0.25">
      <c r="A767">
        <v>3</v>
      </c>
      <c r="B767">
        <v>216</v>
      </c>
      <c r="C767">
        <v>2</v>
      </c>
      <c r="D767">
        <v>2</v>
      </c>
      <c r="E767" t="s">
        <v>160</v>
      </c>
    </row>
    <row r="768" spans="1:5" x14ac:dyDescent="0.25">
      <c r="A768">
        <v>3</v>
      </c>
      <c r="B768">
        <v>225</v>
      </c>
      <c r="C768">
        <v>2</v>
      </c>
      <c r="D768">
        <v>2</v>
      </c>
      <c r="E768" t="s">
        <v>160</v>
      </c>
    </row>
    <row r="769" spans="1:5" x14ac:dyDescent="0.25">
      <c r="A769">
        <v>3</v>
      </c>
      <c r="B769">
        <v>234</v>
      </c>
      <c r="C769">
        <v>1</v>
      </c>
      <c r="D769">
        <v>1</v>
      </c>
      <c r="E769" t="s">
        <v>160</v>
      </c>
    </row>
    <row r="770" spans="1:5" x14ac:dyDescent="0.25">
      <c r="A770">
        <v>3</v>
      </c>
      <c r="B770">
        <v>236</v>
      </c>
      <c r="C770">
        <v>1</v>
      </c>
      <c r="D770">
        <v>1</v>
      </c>
      <c r="E770" t="s">
        <v>160</v>
      </c>
    </row>
    <row r="771" spans="1:5" x14ac:dyDescent="0.25">
      <c r="A771">
        <v>3</v>
      </c>
      <c r="B771">
        <v>238</v>
      </c>
      <c r="C771">
        <v>1</v>
      </c>
      <c r="D771">
        <v>1</v>
      </c>
      <c r="E771" t="s">
        <v>160</v>
      </c>
    </row>
    <row r="772" spans="1:5" x14ac:dyDescent="0.25">
      <c r="A772">
        <v>3</v>
      </c>
      <c r="B772">
        <v>239</v>
      </c>
      <c r="C772">
        <v>1</v>
      </c>
      <c r="D772">
        <v>1</v>
      </c>
      <c r="E772" t="s">
        <v>160</v>
      </c>
    </row>
    <row r="773" spans="1:5" x14ac:dyDescent="0.25">
      <c r="A773">
        <v>3</v>
      </c>
      <c r="B773">
        <v>240</v>
      </c>
      <c r="C773">
        <v>2</v>
      </c>
      <c r="D773">
        <v>2</v>
      </c>
      <c r="E773" t="s">
        <v>160</v>
      </c>
    </row>
    <row r="774" spans="1:5" x14ac:dyDescent="0.25">
      <c r="A774">
        <v>3</v>
      </c>
      <c r="B774">
        <v>241</v>
      </c>
      <c r="C774">
        <v>4</v>
      </c>
      <c r="D774">
        <v>4</v>
      </c>
      <c r="E774" t="s">
        <v>160</v>
      </c>
    </row>
    <row r="775" spans="1:5" x14ac:dyDescent="0.25">
      <c r="A775">
        <v>3</v>
      </c>
      <c r="B775">
        <v>246</v>
      </c>
      <c r="C775">
        <v>2</v>
      </c>
      <c r="D775">
        <v>2</v>
      </c>
      <c r="E775" t="s">
        <v>160</v>
      </c>
    </row>
    <row r="776" spans="1:5" x14ac:dyDescent="0.25">
      <c r="A776">
        <v>3</v>
      </c>
      <c r="B776">
        <v>248</v>
      </c>
      <c r="C776">
        <v>2</v>
      </c>
      <c r="D776">
        <v>2</v>
      </c>
      <c r="E776" t="s">
        <v>160</v>
      </c>
    </row>
    <row r="777" spans="1:5" x14ac:dyDescent="0.25">
      <c r="A777">
        <v>3</v>
      </c>
      <c r="B777">
        <v>253</v>
      </c>
      <c r="C777">
        <v>1</v>
      </c>
      <c r="D777">
        <v>1</v>
      </c>
      <c r="E777" t="s">
        <v>160</v>
      </c>
    </row>
    <row r="778" spans="1:5" x14ac:dyDescent="0.25">
      <c r="A778">
        <v>3</v>
      </c>
      <c r="B778">
        <v>259</v>
      </c>
      <c r="C778">
        <v>1</v>
      </c>
      <c r="D778">
        <v>1</v>
      </c>
      <c r="E778" t="s">
        <v>160</v>
      </c>
    </row>
    <row r="779" spans="1:5" x14ac:dyDescent="0.25">
      <c r="A779">
        <v>3</v>
      </c>
      <c r="B779">
        <v>264</v>
      </c>
      <c r="C779">
        <v>3</v>
      </c>
      <c r="D779">
        <v>3</v>
      </c>
      <c r="E779" t="s">
        <v>160</v>
      </c>
    </row>
    <row r="780" spans="1:5" x14ac:dyDescent="0.25">
      <c r="A780">
        <v>3</v>
      </c>
      <c r="B780">
        <v>266</v>
      </c>
      <c r="C780">
        <v>2</v>
      </c>
      <c r="D780">
        <v>2</v>
      </c>
      <c r="E780" t="s">
        <v>160</v>
      </c>
    </row>
    <row r="781" spans="1:5" x14ac:dyDescent="0.25">
      <c r="A781">
        <v>3</v>
      </c>
      <c r="B781">
        <v>268</v>
      </c>
      <c r="C781">
        <v>3</v>
      </c>
      <c r="D781">
        <v>3</v>
      </c>
      <c r="E781" t="s">
        <v>160</v>
      </c>
    </row>
    <row r="782" spans="1:5" x14ac:dyDescent="0.25">
      <c r="A782">
        <v>3</v>
      </c>
      <c r="B782">
        <v>272</v>
      </c>
      <c r="C782">
        <v>1</v>
      </c>
      <c r="D782">
        <v>1</v>
      </c>
      <c r="E782" t="s">
        <v>160</v>
      </c>
    </row>
    <row r="783" spans="1:5" x14ac:dyDescent="0.25">
      <c r="A783">
        <v>3</v>
      </c>
      <c r="B783">
        <v>290</v>
      </c>
      <c r="C783">
        <v>1</v>
      </c>
      <c r="D783">
        <v>1</v>
      </c>
      <c r="E783" t="s">
        <v>160</v>
      </c>
    </row>
    <row r="784" spans="1:5" x14ac:dyDescent="0.25">
      <c r="A784">
        <v>3</v>
      </c>
      <c r="B784">
        <v>303</v>
      </c>
      <c r="C784">
        <v>3</v>
      </c>
      <c r="D784">
        <v>3</v>
      </c>
      <c r="E784" t="s">
        <v>160</v>
      </c>
    </row>
    <row r="785" spans="1:5" x14ac:dyDescent="0.25">
      <c r="A785">
        <v>3</v>
      </c>
      <c r="B785">
        <v>304</v>
      </c>
      <c r="C785">
        <v>1</v>
      </c>
      <c r="D785">
        <v>1</v>
      </c>
      <c r="E785" t="s">
        <v>160</v>
      </c>
    </row>
    <row r="786" spans="1:5" x14ac:dyDescent="0.25">
      <c r="A786">
        <v>3</v>
      </c>
      <c r="B786">
        <v>422</v>
      </c>
      <c r="C786">
        <v>1</v>
      </c>
      <c r="D786">
        <v>1</v>
      </c>
      <c r="E786" t="s">
        <v>160</v>
      </c>
    </row>
    <row r="787" spans="1:5" x14ac:dyDescent="0.25">
      <c r="A787">
        <v>3</v>
      </c>
      <c r="B787">
        <v>424</v>
      </c>
      <c r="C787">
        <v>3</v>
      </c>
      <c r="D787">
        <v>3</v>
      </c>
      <c r="E787" t="s">
        <v>160</v>
      </c>
    </row>
    <row r="788" spans="1:5" x14ac:dyDescent="0.25">
      <c r="A788">
        <v>3</v>
      </c>
      <c r="B788">
        <v>426</v>
      </c>
      <c r="C788">
        <v>1</v>
      </c>
      <c r="D788">
        <v>1</v>
      </c>
      <c r="E788" t="s">
        <v>160</v>
      </c>
    </row>
    <row r="789" spans="1:5" x14ac:dyDescent="0.25">
      <c r="A789">
        <v>3</v>
      </c>
      <c r="B789">
        <v>428</v>
      </c>
      <c r="C789">
        <v>1</v>
      </c>
      <c r="D789">
        <v>1</v>
      </c>
      <c r="E789" t="s">
        <v>160</v>
      </c>
    </row>
    <row r="790" spans="1:5" x14ac:dyDescent="0.25">
      <c r="A790">
        <v>3</v>
      </c>
      <c r="B790">
        <v>429</v>
      </c>
      <c r="C790">
        <v>1</v>
      </c>
      <c r="D790">
        <v>1</v>
      </c>
      <c r="E790" t="s">
        <v>160</v>
      </c>
    </row>
    <row r="791" spans="1:5" x14ac:dyDescent="0.25">
      <c r="A791">
        <v>3</v>
      </c>
      <c r="B791">
        <v>431</v>
      </c>
      <c r="C791">
        <v>2</v>
      </c>
      <c r="D791">
        <v>2</v>
      </c>
      <c r="E791" t="s">
        <v>160</v>
      </c>
    </row>
    <row r="792" spans="1:5" x14ac:dyDescent="0.25">
      <c r="A792">
        <v>3</v>
      </c>
      <c r="B792">
        <v>432</v>
      </c>
      <c r="C792">
        <v>1</v>
      </c>
      <c r="D792">
        <v>1</v>
      </c>
      <c r="E792" t="s">
        <v>160</v>
      </c>
    </row>
    <row r="793" spans="1:5" x14ac:dyDescent="0.25">
      <c r="A793">
        <v>3</v>
      </c>
      <c r="B793">
        <v>506</v>
      </c>
      <c r="C793">
        <v>1</v>
      </c>
      <c r="D793">
        <v>1</v>
      </c>
      <c r="E793" t="s">
        <v>160</v>
      </c>
    </row>
    <row r="794" spans="1:5" x14ac:dyDescent="0.25">
      <c r="A794">
        <v>3</v>
      </c>
      <c r="B794">
        <v>511</v>
      </c>
      <c r="C794">
        <v>1</v>
      </c>
      <c r="D794">
        <v>1</v>
      </c>
      <c r="E794" t="s">
        <v>160</v>
      </c>
    </row>
    <row r="795" spans="1:5" x14ac:dyDescent="0.25">
      <c r="A795">
        <v>3</v>
      </c>
      <c r="B795">
        <v>512</v>
      </c>
      <c r="C795">
        <v>3</v>
      </c>
      <c r="D795">
        <v>3</v>
      </c>
      <c r="E795" t="s">
        <v>160</v>
      </c>
    </row>
    <row r="796" spans="1:5" x14ac:dyDescent="0.25">
      <c r="A796">
        <v>3</v>
      </c>
      <c r="B796">
        <v>513</v>
      </c>
      <c r="C796">
        <v>2</v>
      </c>
      <c r="D796">
        <v>2</v>
      </c>
      <c r="E796" t="s">
        <v>160</v>
      </c>
    </row>
    <row r="797" spans="1:5" x14ac:dyDescent="0.25">
      <c r="A797">
        <v>3</v>
      </c>
      <c r="B797">
        <v>559</v>
      </c>
      <c r="C797">
        <v>1</v>
      </c>
      <c r="D797">
        <v>1</v>
      </c>
      <c r="E797" t="s">
        <v>160</v>
      </c>
    </row>
    <row r="798" spans="1:5" x14ac:dyDescent="0.25">
      <c r="A798">
        <v>113</v>
      </c>
      <c r="B798">
        <v>73</v>
      </c>
      <c r="C798">
        <v>1</v>
      </c>
      <c r="D798">
        <v>1</v>
      </c>
      <c r="E798" t="s">
        <v>160</v>
      </c>
    </row>
    <row r="799" spans="1:5" x14ac:dyDescent="0.25">
      <c r="A799">
        <v>113</v>
      </c>
      <c r="B799">
        <v>76</v>
      </c>
      <c r="C799">
        <v>2</v>
      </c>
      <c r="D799">
        <v>2</v>
      </c>
      <c r="E799" t="s">
        <v>160</v>
      </c>
    </row>
    <row r="800" spans="1:5" x14ac:dyDescent="0.25">
      <c r="A800">
        <v>113</v>
      </c>
      <c r="B800">
        <v>77</v>
      </c>
      <c r="C800">
        <v>1</v>
      </c>
      <c r="D800">
        <v>1</v>
      </c>
      <c r="E800" t="s">
        <v>160</v>
      </c>
    </row>
    <row r="801" spans="1:6" x14ac:dyDescent="0.25">
      <c r="A801">
        <v>113</v>
      </c>
      <c r="B801">
        <v>78</v>
      </c>
      <c r="C801">
        <v>2</v>
      </c>
      <c r="D801">
        <v>2</v>
      </c>
      <c r="E801" t="s">
        <v>160</v>
      </c>
    </row>
    <row r="802" spans="1:6" x14ac:dyDescent="0.25">
      <c r="A802">
        <v>113</v>
      </c>
      <c r="B802">
        <v>79</v>
      </c>
      <c r="C802">
        <v>1</v>
      </c>
      <c r="D802">
        <v>1</v>
      </c>
      <c r="E802" t="s">
        <v>160</v>
      </c>
    </row>
    <row r="803" spans="1:6" x14ac:dyDescent="0.25">
      <c r="A803">
        <v>113</v>
      </c>
      <c r="B803">
        <v>117</v>
      </c>
      <c r="C803">
        <v>6</v>
      </c>
      <c r="D803">
        <v>6</v>
      </c>
      <c r="E803" t="s">
        <v>160</v>
      </c>
    </row>
    <row r="804" spans="1:6" x14ac:dyDescent="0.25">
      <c r="A804">
        <v>113</v>
      </c>
      <c r="B804">
        <v>119</v>
      </c>
      <c r="C804">
        <v>2</v>
      </c>
      <c r="D804">
        <v>2</v>
      </c>
      <c r="E804" t="s">
        <v>160</v>
      </c>
    </row>
    <row r="805" spans="1:6" x14ac:dyDescent="0.25">
      <c r="A805">
        <v>113</v>
      </c>
      <c r="B805">
        <v>122</v>
      </c>
      <c r="C805">
        <v>3</v>
      </c>
      <c r="D805">
        <v>3</v>
      </c>
      <c r="E805" t="s">
        <v>160</v>
      </c>
    </row>
    <row r="806" spans="1:6" x14ac:dyDescent="0.25">
      <c r="A806">
        <v>113</v>
      </c>
      <c r="B806">
        <v>123</v>
      </c>
      <c r="C806">
        <v>3</v>
      </c>
      <c r="D806">
        <v>3</v>
      </c>
      <c r="E806" t="s">
        <v>160</v>
      </c>
    </row>
    <row r="807" spans="1:6" x14ac:dyDescent="0.25">
      <c r="A807">
        <v>113</v>
      </c>
      <c r="B807">
        <v>125</v>
      </c>
      <c r="C807">
        <v>5</v>
      </c>
      <c r="D807">
        <v>5</v>
      </c>
      <c r="E807" t="s">
        <v>160</v>
      </c>
      <c r="F807">
        <f>SUM(D748:D807)</f>
        <v>105</v>
      </c>
    </row>
    <row r="808" spans="1:6" x14ac:dyDescent="0.25">
      <c r="A808">
        <v>1</v>
      </c>
      <c r="B808">
        <v>136</v>
      </c>
      <c r="C808">
        <v>2</v>
      </c>
      <c r="D808">
        <v>2</v>
      </c>
      <c r="E808" t="s">
        <v>146</v>
      </c>
    </row>
    <row r="809" spans="1:6" x14ac:dyDescent="0.25">
      <c r="A809">
        <v>1</v>
      </c>
      <c r="B809">
        <v>137</v>
      </c>
      <c r="C809">
        <v>1</v>
      </c>
      <c r="D809">
        <v>1</v>
      </c>
      <c r="E809" t="s">
        <v>146</v>
      </c>
    </row>
    <row r="810" spans="1:6" x14ac:dyDescent="0.25">
      <c r="A810">
        <v>1</v>
      </c>
      <c r="B810">
        <v>142</v>
      </c>
      <c r="C810">
        <v>1</v>
      </c>
      <c r="D810">
        <v>1</v>
      </c>
      <c r="E810" t="s">
        <v>146</v>
      </c>
    </row>
    <row r="811" spans="1:6" x14ac:dyDescent="0.25">
      <c r="A811">
        <v>1</v>
      </c>
      <c r="B811">
        <v>607</v>
      </c>
      <c r="C811">
        <v>2</v>
      </c>
      <c r="D811">
        <v>2</v>
      </c>
      <c r="E811" t="s">
        <v>146</v>
      </c>
    </row>
    <row r="812" spans="1:6" x14ac:dyDescent="0.25">
      <c r="A812">
        <v>1</v>
      </c>
      <c r="B812">
        <v>632</v>
      </c>
      <c r="C812">
        <v>2</v>
      </c>
      <c r="D812">
        <v>2</v>
      </c>
      <c r="E812" t="s">
        <v>146</v>
      </c>
    </row>
    <row r="813" spans="1:6" x14ac:dyDescent="0.25">
      <c r="A813">
        <v>1</v>
      </c>
      <c r="B813">
        <v>770</v>
      </c>
      <c r="C813">
        <v>1</v>
      </c>
      <c r="D813">
        <v>1</v>
      </c>
      <c r="E813" t="s">
        <v>146</v>
      </c>
    </row>
    <row r="814" spans="1:6" x14ac:dyDescent="0.25">
      <c r="A814">
        <v>1</v>
      </c>
      <c r="B814">
        <v>819</v>
      </c>
      <c r="C814">
        <v>1</v>
      </c>
      <c r="D814">
        <v>1</v>
      </c>
      <c r="E814" t="s">
        <v>146</v>
      </c>
    </row>
    <row r="815" spans="1:6" x14ac:dyDescent="0.25">
      <c r="A815">
        <v>1</v>
      </c>
      <c r="B815">
        <v>830</v>
      </c>
      <c r="C815">
        <v>1</v>
      </c>
      <c r="D815">
        <v>1</v>
      </c>
      <c r="E815" t="s">
        <v>146</v>
      </c>
    </row>
    <row r="816" spans="1:6" x14ac:dyDescent="0.25">
      <c r="A816">
        <v>1</v>
      </c>
      <c r="B816">
        <v>888</v>
      </c>
      <c r="C816">
        <v>1</v>
      </c>
      <c r="D816">
        <v>1</v>
      </c>
      <c r="E816" t="s">
        <v>146</v>
      </c>
      <c r="F816">
        <f>SUM(D808:D816)</f>
        <v>12</v>
      </c>
    </row>
    <row r="817" spans="1:5" x14ac:dyDescent="0.25">
      <c r="A817">
        <v>112</v>
      </c>
      <c r="B817">
        <v>178</v>
      </c>
      <c r="C817">
        <v>1</v>
      </c>
      <c r="D817">
        <v>1</v>
      </c>
      <c r="E817" t="s">
        <v>231</v>
      </c>
    </row>
    <row r="818" spans="1:5" x14ac:dyDescent="0.25">
      <c r="A818">
        <v>112</v>
      </c>
      <c r="B818">
        <v>181</v>
      </c>
      <c r="C818">
        <v>1</v>
      </c>
      <c r="D818">
        <v>1</v>
      </c>
      <c r="E818" t="s">
        <v>231</v>
      </c>
    </row>
    <row r="819" spans="1:5" x14ac:dyDescent="0.25">
      <c r="A819">
        <v>112</v>
      </c>
      <c r="B819">
        <v>189</v>
      </c>
      <c r="C819">
        <v>2</v>
      </c>
      <c r="D819">
        <v>2</v>
      </c>
      <c r="E819" t="s">
        <v>231</v>
      </c>
    </row>
    <row r="820" spans="1:5" x14ac:dyDescent="0.25">
      <c r="A820">
        <v>112</v>
      </c>
      <c r="B820">
        <v>190</v>
      </c>
      <c r="C820">
        <v>1</v>
      </c>
      <c r="D820">
        <v>1</v>
      </c>
      <c r="E820" t="s">
        <v>231</v>
      </c>
    </row>
    <row r="821" spans="1:5" x14ac:dyDescent="0.25">
      <c r="A821">
        <v>112</v>
      </c>
      <c r="B821">
        <v>286</v>
      </c>
      <c r="C821">
        <v>1</v>
      </c>
      <c r="D821">
        <v>1</v>
      </c>
      <c r="E821" t="s">
        <v>231</v>
      </c>
    </row>
    <row r="822" spans="1:5" x14ac:dyDescent="0.25">
      <c r="A822">
        <v>112</v>
      </c>
      <c r="B822">
        <v>320</v>
      </c>
      <c r="C822">
        <v>2</v>
      </c>
      <c r="D822">
        <v>2</v>
      </c>
      <c r="E822" t="s">
        <v>231</v>
      </c>
    </row>
    <row r="823" spans="1:5" x14ac:dyDescent="0.25">
      <c r="A823">
        <v>112</v>
      </c>
      <c r="B823">
        <v>345</v>
      </c>
      <c r="C823">
        <v>1</v>
      </c>
      <c r="D823">
        <v>1</v>
      </c>
      <c r="E823" t="s">
        <v>231</v>
      </c>
    </row>
    <row r="824" spans="1:5" x14ac:dyDescent="0.25">
      <c r="A824">
        <v>112</v>
      </c>
      <c r="B824">
        <v>376</v>
      </c>
      <c r="C824">
        <v>1</v>
      </c>
      <c r="D824">
        <v>1</v>
      </c>
      <c r="E824" t="s">
        <v>231</v>
      </c>
    </row>
    <row r="825" spans="1:5" x14ac:dyDescent="0.25">
      <c r="A825">
        <v>112</v>
      </c>
      <c r="B825">
        <v>377</v>
      </c>
      <c r="C825">
        <v>2</v>
      </c>
      <c r="D825">
        <v>2</v>
      </c>
      <c r="E825" t="s">
        <v>231</v>
      </c>
    </row>
    <row r="826" spans="1:5" x14ac:dyDescent="0.25">
      <c r="A826">
        <v>112</v>
      </c>
      <c r="B826">
        <v>379</v>
      </c>
      <c r="C826">
        <v>1</v>
      </c>
      <c r="D826">
        <v>1</v>
      </c>
      <c r="E826" t="s">
        <v>231</v>
      </c>
    </row>
    <row r="827" spans="1:5" x14ac:dyDescent="0.25">
      <c r="A827">
        <v>112</v>
      </c>
      <c r="B827">
        <v>381</v>
      </c>
      <c r="C827">
        <v>2</v>
      </c>
      <c r="D827">
        <v>2</v>
      </c>
      <c r="E827" t="s">
        <v>231</v>
      </c>
    </row>
    <row r="828" spans="1:5" x14ac:dyDescent="0.25">
      <c r="A828">
        <v>112</v>
      </c>
      <c r="B828">
        <v>495</v>
      </c>
      <c r="C828">
        <v>1</v>
      </c>
      <c r="D828">
        <v>1</v>
      </c>
      <c r="E828" t="s">
        <v>231</v>
      </c>
    </row>
    <row r="829" spans="1:5" x14ac:dyDescent="0.25">
      <c r="A829">
        <v>112</v>
      </c>
      <c r="B829">
        <v>496</v>
      </c>
      <c r="C829">
        <v>1</v>
      </c>
      <c r="D829">
        <v>1</v>
      </c>
      <c r="E829" t="s">
        <v>231</v>
      </c>
    </row>
    <row r="830" spans="1:5" x14ac:dyDescent="0.25">
      <c r="A830">
        <v>112</v>
      </c>
      <c r="B830">
        <v>498</v>
      </c>
      <c r="C830">
        <v>1</v>
      </c>
      <c r="D830">
        <v>1</v>
      </c>
      <c r="E830" t="s">
        <v>231</v>
      </c>
    </row>
    <row r="831" spans="1:5" x14ac:dyDescent="0.25">
      <c r="A831">
        <v>112</v>
      </c>
      <c r="B831">
        <v>499</v>
      </c>
      <c r="C831">
        <v>2</v>
      </c>
      <c r="D831">
        <v>2</v>
      </c>
      <c r="E831" t="s">
        <v>231</v>
      </c>
    </row>
    <row r="832" spans="1:5" x14ac:dyDescent="0.25">
      <c r="A832">
        <v>112</v>
      </c>
      <c r="B832">
        <v>539</v>
      </c>
      <c r="C832">
        <v>1</v>
      </c>
      <c r="D832">
        <v>1</v>
      </c>
      <c r="E832" t="s">
        <v>231</v>
      </c>
    </row>
    <row r="833" spans="1:6" x14ac:dyDescent="0.25">
      <c r="A833">
        <v>112</v>
      </c>
      <c r="B833">
        <v>540</v>
      </c>
      <c r="C833">
        <v>2</v>
      </c>
      <c r="D833">
        <v>2</v>
      </c>
      <c r="E833" t="s">
        <v>231</v>
      </c>
    </row>
    <row r="834" spans="1:6" x14ac:dyDescent="0.25">
      <c r="A834">
        <v>112</v>
      </c>
      <c r="B834">
        <v>547</v>
      </c>
      <c r="C834">
        <v>2</v>
      </c>
      <c r="D834">
        <v>2</v>
      </c>
      <c r="E834" t="s">
        <v>231</v>
      </c>
    </row>
    <row r="835" spans="1:6" x14ac:dyDescent="0.25">
      <c r="A835">
        <v>112</v>
      </c>
      <c r="B835">
        <v>552</v>
      </c>
      <c r="C835">
        <v>3</v>
      </c>
      <c r="D835">
        <v>3</v>
      </c>
      <c r="E835" t="s">
        <v>231</v>
      </c>
    </row>
    <row r="836" spans="1:6" x14ac:dyDescent="0.25">
      <c r="A836">
        <v>112</v>
      </c>
      <c r="B836">
        <v>556</v>
      </c>
      <c r="C836">
        <v>1</v>
      </c>
      <c r="D836">
        <v>1</v>
      </c>
      <c r="E836" t="s">
        <v>231</v>
      </c>
      <c r="F836">
        <f>SUM(D817:D836)</f>
        <v>29</v>
      </c>
    </row>
    <row r="837" spans="1:6" x14ac:dyDescent="0.25">
      <c r="A837">
        <v>2</v>
      </c>
      <c r="B837">
        <v>393</v>
      </c>
      <c r="C837">
        <v>1</v>
      </c>
      <c r="D837">
        <v>1</v>
      </c>
      <c r="E837" t="s">
        <v>232</v>
      </c>
    </row>
    <row r="838" spans="1:6" x14ac:dyDescent="0.25">
      <c r="A838">
        <v>2</v>
      </c>
      <c r="B838">
        <v>637</v>
      </c>
      <c r="C838">
        <v>1</v>
      </c>
      <c r="D838">
        <v>1</v>
      </c>
      <c r="E838" t="s">
        <v>232</v>
      </c>
    </row>
    <row r="839" spans="1:6" x14ac:dyDescent="0.25">
      <c r="A839">
        <v>2</v>
      </c>
      <c r="B839">
        <v>660</v>
      </c>
      <c r="C839">
        <v>1</v>
      </c>
      <c r="D839">
        <v>1</v>
      </c>
      <c r="E839" t="s">
        <v>232</v>
      </c>
    </row>
    <row r="840" spans="1:6" x14ac:dyDescent="0.25">
      <c r="A840">
        <v>2</v>
      </c>
      <c r="B840">
        <v>716</v>
      </c>
      <c r="C840">
        <v>1</v>
      </c>
      <c r="D840">
        <v>1</v>
      </c>
      <c r="E840" t="s">
        <v>232</v>
      </c>
      <c r="F840">
        <f>SUM(D837:D840)</f>
        <v>4</v>
      </c>
    </row>
    <row r="841" spans="1:6" x14ac:dyDescent="0.25">
      <c r="A841">
        <v>1</v>
      </c>
      <c r="B841">
        <v>604</v>
      </c>
      <c r="C841">
        <v>2</v>
      </c>
      <c r="D841">
        <v>2</v>
      </c>
      <c r="E841" t="s">
        <v>224</v>
      </c>
    </row>
    <row r="842" spans="1:6" x14ac:dyDescent="0.25">
      <c r="A842">
        <v>1</v>
      </c>
      <c r="B842">
        <v>813</v>
      </c>
      <c r="C842">
        <v>1</v>
      </c>
      <c r="D842">
        <v>1</v>
      </c>
      <c r="E842" t="s">
        <v>224</v>
      </c>
    </row>
    <row r="843" spans="1:6" x14ac:dyDescent="0.25">
      <c r="A843">
        <v>1</v>
      </c>
      <c r="B843">
        <v>889</v>
      </c>
      <c r="C843">
        <v>1</v>
      </c>
      <c r="D843">
        <v>1</v>
      </c>
      <c r="E843" t="s">
        <v>224</v>
      </c>
    </row>
    <row r="844" spans="1:6" x14ac:dyDescent="0.25">
      <c r="A844">
        <v>1</v>
      </c>
      <c r="B844">
        <v>906</v>
      </c>
      <c r="C844">
        <v>2</v>
      </c>
      <c r="D844">
        <v>2</v>
      </c>
      <c r="E844" t="s">
        <v>224</v>
      </c>
    </row>
    <row r="845" spans="1:6" x14ac:dyDescent="0.25">
      <c r="A845">
        <v>1</v>
      </c>
      <c r="B845">
        <v>917</v>
      </c>
      <c r="C845">
        <v>1</v>
      </c>
      <c r="D845">
        <v>1</v>
      </c>
      <c r="E845" t="s">
        <v>224</v>
      </c>
    </row>
    <row r="846" spans="1:6" x14ac:dyDescent="0.25">
      <c r="A846" s="16">
        <v>1</v>
      </c>
      <c r="B846" s="16">
        <v>37</v>
      </c>
      <c r="C846" s="16">
        <v>1</v>
      </c>
      <c r="D846" s="16">
        <v>1</v>
      </c>
      <c r="E846" s="16" t="s">
        <v>224</v>
      </c>
    </row>
    <row r="847" spans="1:6" x14ac:dyDescent="0.25">
      <c r="A847">
        <v>1</v>
      </c>
      <c r="B847">
        <v>928</v>
      </c>
      <c r="C847">
        <v>2</v>
      </c>
      <c r="D847">
        <v>2</v>
      </c>
      <c r="E847" t="s">
        <v>224</v>
      </c>
    </row>
    <row r="848" spans="1:6" x14ac:dyDescent="0.25">
      <c r="A848" s="17">
        <v>1</v>
      </c>
      <c r="B848" s="17">
        <v>38</v>
      </c>
      <c r="C848" s="17">
        <v>1</v>
      </c>
      <c r="D848" s="17">
        <v>1</v>
      </c>
      <c r="E848" s="17" t="s">
        <v>224</v>
      </c>
      <c r="F848">
        <f>SUM(D841:D848)</f>
        <v>11</v>
      </c>
    </row>
    <row r="849" spans="1:5" x14ac:dyDescent="0.25">
      <c r="A849">
        <v>85</v>
      </c>
      <c r="B849">
        <v>105</v>
      </c>
      <c r="C849">
        <v>1</v>
      </c>
      <c r="D849">
        <v>1</v>
      </c>
      <c r="E849" t="s">
        <v>233</v>
      </c>
    </row>
    <row r="850" spans="1:5" x14ac:dyDescent="0.25">
      <c r="A850">
        <v>85</v>
      </c>
      <c r="B850">
        <v>106</v>
      </c>
      <c r="C850">
        <v>2</v>
      </c>
      <c r="D850">
        <v>2</v>
      </c>
      <c r="E850" t="s">
        <v>233</v>
      </c>
    </row>
    <row r="851" spans="1:5" x14ac:dyDescent="0.25">
      <c r="A851">
        <v>85</v>
      </c>
      <c r="B851">
        <v>108</v>
      </c>
      <c r="C851">
        <v>1</v>
      </c>
      <c r="D851">
        <v>1</v>
      </c>
      <c r="E851" t="s">
        <v>233</v>
      </c>
    </row>
    <row r="852" spans="1:5" x14ac:dyDescent="0.25">
      <c r="A852">
        <v>85</v>
      </c>
      <c r="B852">
        <v>109</v>
      </c>
      <c r="C852">
        <v>3</v>
      </c>
      <c r="D852">
        <v>3</v>
      </c>
      <c r="E852" t="s">
        <v>233</v>
      </c>
    </row>
    <row r="853" spans="1:5" x14ac:dyDescent="0.25">
      <c r="A853">
        <v>85</v>
      </c>
      <c r="B853">
        <v>110</v>
      </c>
      <c r="C853">
        <v>1</v>
      </c>
      <c r="D853">
        <v>1</v>
      </c>
      <c r="E853" t="s">
        <v>233</v>
      </c>
    </row>
    <row r="854" spans="1:5" x14ac:dyDescent="0.25">
      <c r="A854">
        <v>85</v>
      </c>
      <c r="B854">
        <v>111</v>
      </c>
      <c r="C854">
        <v>4</v>
      </c>
      <c r="D854">
        <v>4</v>
      </c>
      <c r="E854" t="s">
        <v>233</v>
      </c>
    </row>
    <row r="855" spans="1:5" x14ac:dyDescent="0.25">
      <c r="A855">
        <v>85</v>
      </c>
      <c r="B855">
        <v>115</v>
      </c>
      <c r="C855">
        <v>2</v>
      </c>
      <c r="D855">
        <v>2</v>
      </c>
      <c r="E855" t="s">
        <v>233</v>
      </c>
    </row>
    <row r="856" spans="1:5" x14ac:dyDescent="0.25">
      <c r="A856">
        <v>85</v>
      </c>
      <c r="B856">
        <v>116</v>
      </c>
      <c r="C856">
        <v>2</v>
      </c>
      <c r="D856">
        <v>2</v>
      </c>
      <c r="E856" t="s">
        <v>233</v>
      </c>
    </row>
    <row r="857" spans="1:5" x14ac:dyDescent="0.25">
      <c r="A857">
        <v>85</v>
      </c>
      <c r="B857">
        <v>117</v>
      </c>
      <c r="C857">
        <v>1</v>
      </c>
      <c r="D857">
        <v>1</v>
      </c>
      <c r="E857" t="s">
        <v>233</v>
      </c>
    </row>
    <row r="858" spans="1:5" x14ac:dyDescent="0.25">
      <c r="A858">
        <v>85</v>
      </c>
      <c r="B858">
        <v>119</v>
      </c>
      <c r="C858">
        <v>1</v>
      </c>
      <c r="D858">
        <v>1</v>
      </c>
      <c r="E858" t="s">
        <v>233</v>
      </c>
    </row>
    <row r="859" spans="1:5" x14ac:dyDescent="0.25">
      <c r="A859">
        <v>85</v>
      </c>
      <c r="B859">
        <v>120</v>
      </c>
      <c r="C859">
        <v>3</v>
      </c>
      <c r="D859">
        <v>3</v>
      </c>
      <c r="E859" t="s">
        <v>233</v>
      </c>
    </row>
    <row r="860" spans="1:5" x14ac:dyDescent="0.25">
      <c r="A860">
        <v>85</v>
      </c>
      <c r="B860">
        <v>121</v>
      </c>
      <c r="C860">
        <v>2</v>
      </c>
      <c r="D860">
        <v>2</v>
      </c>
      <c r="E860" t="s">
        <v>233</v>
      </c>
    </row>
    <row r="861" spans="1:5" x14ac:dyDescent="0.25">
      <c r="A861">
        <v>85</v>
      </c>
      <c r="B861">
        <v>122</v>
      </c>
      <c r="C861">
        <v>2</v>
      </c>
      <c r="D861">
        <v>2</v>
      </c>
      <c r="E861" t="s">
        <v>233</v>
      </c>
    </row>
    <row r="862" spans="1:5" x14ac:dyDescent="0.25">
      <c r="A862">
        <v>85</v>
      </c>
      <c r="B862">
        <v>132</v>
      </c>
      <c r="C862">
        <v>3</v>
      </c>
      <c r="D862">
        <v>3</v>
      </c>
      <c r="E862" t="s">
        <v>233</v>
      </c>
    </row>
    <row r="863" spans="1:5" x14ac:dyDescent="0.25">
      <c r="A863">
        <v>85</v>
      </c>
      <c r="B863">
        <v>133</v>
      </c>
      <c r="C863">
        <v>3</v>
      </c>
      <c r="D863">
        <v>3</v>
      </c>
      <c r="E863" t="s">
        <v>233</v>
      </c>
    </row>
    <row r="864" spans="1:5" x14ac:dyDescent="0.25">
      <c r="A864">
        <v>85</v>
      </c>
      <c r="B864">
        <v>135</v>
      </c>
      <c r="C864">
        <v>3</v>
      </c>
      <c r="D864">
        <v>3</v>
      </c>
      <c r="E864" t="s">
        <v>233</v>
      </c>
    </row>
    <row r="865" spans="1:5" x14ac:dyDescent="0.25">
      <c r="A865">
        <v>85</v>
      </c>
      <c r="B865">
        <v>136</v>
      </c>
      <c r="C865">
        <v>1</v>
      </c>
      <c r="D865">
        <v>1</v>
      </c>
      <c r="E865" t="s">
        <v>233</v>
      </c>
    </row>
    <row r="866" spans="1:5" x14ac:dyDescent="0.25">
      <c r="A866">
        <v>85</v>
      </c>
      <c r="B866">
        <v>137</v>
      </c>
      <c r="C866">
        <v>1</v>
      </c>
      <c r="D866">
        <v>1</v>
      </c>
      <c r="E866" t="s">
        <v>233</v>
      </c>
    </row>
    <row r="867" spans="1:5" x14ac:dyDescent="0.25">
      <c r="A867">
        <v>85</v>
      </c>
      <c r="B867">
        <v>140</v>
      </c>
      <c r="C867">
        <v>4</v>
      </c>
      <c r="D867">
        <v>4</v>
      </c>
      <c r="E867" t="s">
        <v>233</v>
      </c>
    </row>
    <row r="868" spans="1:5" x14ac:dyDescent="0.25">
      <c r="A868">
        <v>85</v>
      </c>
      <c r="B868">
        <v>141</v>
      </c>
      <c r="C868">
        <v>4</v>
      </c>
      <c r="D868">
        <v>4</v>
      </c>
      <c r="E868" t="s">
        <v>233</v>
      </c>
    </row>
    <row r="869" spans="1:5" x14ac:dyDescent="0.25">
      <c r="A869">
        <v>85</v>
      </c>
      <c r="B869">
        <v>142</v>
      </c>
      <c r="C869">
        <v>3</v>
      </c>
      <c r="D869">
        <v>3</v>
      </c>
      <c r="E869" t="s">
        <v>233</v>
      </c>
    </row>
    <row r="870" spans="1:5" x14ac:dyDescent="0.25">
      <c r="A870">
        <v>85</v>
      </c>
      <c r="B870">
        <v>143</v>
      </c>
      <c r="C870">
        <v>1</v>
      </c>
      <c r="D870">
        <v>1</v>
      </c>
      <c r="E870" t="s">
        <v>233</v>
      </c>
    </row>
    <row r="871" spans="1:5" x14ac:dyDescent="0.25">
      <c r="A871">
        <v>85</v>
      </c>
      <c r="B871">
        <v>145</v>
      </c>
      <c r="C871">
        <v>2</v>
      </c>
      <c r="D871">
        <v>2</v>
      </c>
      <c r="E871" t="s">
        <v>233</v>
      </c>
    </row>
    <row r="872" spans="1:5" x14ac:dyDescent="0.25">
      <c r="A872">
        <v>85</v>
      </c>
      <c r="B872">
        <v>146</v>
      </c>
      <c r="C872">
        <v>5</v>
      </c>
      <c r="D872">
        <v>5</v>
      </c>
      <c r="E872" t="s">
        <v>233</v>
      </c>
    </row>
    <row r="873" spans="1:5" x14ac:dyDescent="0.25">
      <c r="A873">
        <v>85</v>
      </c>
      <c r="B873">
        <v>147</v>
      </c>
      <c r="C873">
        <v>2</v>
      </c>
      <c r="D873">
        <v>2</v>
      </c>
      <c r="E873" t="s">
        <v>233</v>
      </c>
    </row>
    <row r="874" spans="1:5" x14ac:dyDescent="0.25">
      <c r="A874">
        <v>85</v>
      </c>
      <c r="B874">
        <v>148</v>
      </c>
      <c r="C874">
        <v>3</v>
      </c>
      <c r="D874">
        <v>3</v>
      </c>
      <c r="E874" t="s">
        <v>233</v>
      </c>
    </row>
    <row r="875" spans="1:5" x14ac:dyDescent="0.25">
      <c r="A875">
        <v>85</v>
      </c>
      <c r="B875">
        <v>149</v>
      </c>
      <c r="C875">
        <v>4</v>
      </c>
      <c r="D875">
        <v>4</v>
      </c>
      <c r="E875" t="s">
        <v>233</v>
      </c>
    </row>
    <row r="876" spans="1:5" x14ac:dyDescent="0.25">
      <c r="A876">
        <v>85</v>
      </c>
      <c r="B876">
        <v>150</v>
      </c>
      <c r="C876">
        <v>5</v>
      </c>
      <c r="D876">
        <v>5</v>
      </c>
      <c r="E876" t="s">
        <v>233</v>
      </c>
    </row>
    <row r="877" spans="1:5" x14ac:dyDescent="0.25">
      <c r="A877">
        <v>85</v>
      </c>
      <c r="B877">
        <v>151</v>
      </c>
      <c r="C877">
        <v>4</v>
      </c>
      <c r="D877">
        <v>4</v>
      </c>
      <c r="E877" t="s">
        <v>233</v>
      </c>
    </row>
    <row r="878" spans="1:5" x14ac:dyDescent="0.25">
      <c r="A878">
        <v>85</v>
      </c>
      <c r="B878">
        <v>152</v>
      </c>
      <c r="C878">
        <v>2</v>
      </c>
      <c r="D878">
        <v>2</v>
      </c>
      <c r="E878" t="s">
        <v>233</v>
      </c>
    </row>
    <row r="879" spans="1:5" x14ac:dyDescent="0.25">
      <c r="A879">
        <v>85</v>
      </c>
      <c r="B879">
        <v>153</v>
      </c>
      <c r="C879">
        <v>2</v>
      </c>
      <c r="D879">
        <v>2</v>
      </c>
      <c r="E879" t="s">
        <v>233</v>
      </c>
    </row>
    <row r="880" spans="1:5" x14ac:dyDescent="0.25">
      <c r="A880">
        <v>85</v>
      </c>
      <c r="B880">
        <v>154</v>
      </c>
      <c r="C880">
        <v>3</v>
      </c>
      <c r="D880">
        <v>3</v>
      </c>
      <c r="E880" t="s">
        <v>233</v>
      </c>
    </row>
    <row r="881" spans="1:5" x14ac:dyDescent="0.25">
      <c r="A881">
        <v>85</v>
      </c>
      <c r="B881">
        <v>155</v>
      </c>
      <c r="C881">
        <v>6</v>
      </c>
      <c r="D881">
        <v>6</v>
      </c>
      <c r="E881" t="s">
        <v>233</v>
      </c>
    </row>
    <row r="882" spans="1:5" x14ac:dyDescent="0.25">
      <c r="A882">
        <v>85</v>
      </c>
      <c r="B882">
        <v>156</v>
      </c>
      <c r="C882">
        <v>2</v>
      </c>
      <c r="D882">
        <v>2</v>
      </c>
      <c r="E882" t="s">
        <v>233</v>
      </c>
    </row>
    <row r="883" spans="1:5" x14ac:dyDescent="0.25">
      <c r="A883">
        <v>85</v>
      </c>
      <c r="B883">
        <v>157</v>
      </c>
      <c r="C883">
        <v>2</v>
      </c>
      <c r="D883">
        <v>2</v>
      </c>
      <c r="E883" t="s">
        <v>233</v>
      </c>
    </row>
    <row r="884" spans="1:5" x14ac:dyDescent="0.25">
      <c r="A884">
        <v>85</v>
      </c>
      <c r="B884">
        <v>158</v>
      </c>
      <c r="C884">
        <v>4</v>
      </c>
      <c r="D884">
        <v>4</v>
      </c>
      <c r="E884" t="s">
        <v>233</v>
      </c>
    </row>
    <row r="885" spans="1:5" x14ac:dyDescent="0.25">
      <c r="A885">
        <v>85</v>
      </c>
      <c r="B885">
        <v>159</v>
      </c>
      <c r="C885">
        <v>1</v>
      </c>
      <c r="D885">
        <v>1</v>
      </c>
      <c r="E885" t="s">
        <v>233</v>
      </c>
    </row>
    <row r="886" spans="1:5" x14ac:dyDescent="0.25">
      <c r="A886">
        <v>85</v>
      </c>
      <c r="B886">
        <v>184</v>
      </c>
      <c r="C886">
        <v>3</v>
      </c>
      <c r="D886">
        <v>3</v>
      </c>
      <c r="E886" t="s">
        <v>233</v>
      </c>
    </row>
    <row r="887" spans="1:5" x14ac:dyDescent="0.25">
      <c r="A887">
        <v>85</v>
      </c>
      <c r="B887">
        <v>185</v>
      </c>
      <c r="C887">
        <v>4</v>
      </c>
      <c r="D887">
        <v>4</v>
      </c>
      <c r="E887" t="s">
        <v>233</v>
      </c>
    </row>
    <row r="888" spans="1:5" x14ac:dyDescent="0.25">
      <c r="A888">
        <v>85</v>
      </c>
      <c r="B888">
        <v>186</v>
      </c>
      <c r="C888">
        <v>2</v>
      </c>
      <c r="D888">
        <v>2</v>
      </c>
      <c r="E888" t="s">
        <v>233</v>
      </c>
    </row>
    <row r="889" spans="1:5" x14ac:dyDescent="0.25">
      <c r="A889">
        <v>85</v>
      </c>
      <c r="B889">
        <v>187</v>
      </c>
      <c r="C889">
        <v>2</v>
      </c>
      <c r="D889">
        <v>2</v>
      </c>
      <c r="E889" t="s">
        <v>233</v>
      </c>
    </row>
    <row r="890" spans="1:5" x14ac:dyDescent="0.25">
      <c r="A890">
        <v>85</v>
      </c>
      <c r="B890">
        <v>188</v>
      </c>
      <c r="C890">
        <v>1</v>
      </c>
      <c r="D890">
        <v>1</v>
      </c>
      <c r="E890" t="s">
        <v>233</v>
      </c>
    </row>
    <row r="891" spans="1:5" x14ac:dyDescent="0.25">
      <c r="A891">
        <v>85</v>
      </c>
      <c r="B891">
        <v>189</v>
      </c>
      <c r="C891">
        <v>1</v>
      </c>
      <c r="D891">
        <v>1</v>
      </c>
      <c r="E891" t="s">
        <v>233</v>
      </c>
    </row>
    <row r="892" spans="1:5" x14ac:dyDescent="0.25">
      <c r="A892">
        <v>85</v>
      </c>
      <c r="B892">
        <v>190</v>
      </c>
      <c r="C892">
        <v>1</v>
      </c>
      <c r="D892">
        <v>1</v>
      </c>
      <c r="E892" t="s">
        <v>233</v>
      </c>
    </row>
    <row r="893" spans="1:5" x14ac:dyDescent="0.25">
      <c r="A893">
        <v>85</v>
      </c>
      <c r="B893">
        <v>191</v>
      </c>
      <c r="C893">
        <v>1</v>
      </c>
      <c r="D893">
        <v>1</v>
      </c>
      <c r="E893" t="s">
        <v>233</v>
      </c>
    </row>
    <row r="894" spans="1:5" x14ac:dyDescent="0.25">
      <c r="A894">
        <v>85</v>
      </c>
      <c r="B894">
        <v>192</v>
      </c>
      <c r="C894">
        <v>1</v>
      </c>
      <c r="D894">
        <v>1</v>
      </c>
      <c r="E894" t="s">
        <v>233</v>
      </c>
    </row>
    <row r="895" spans="1:5" x14ac:dyDescent="0.25">
      <c r="A895">
        <v>85</v>
      </c>
      <c r="B895">
        <v>195</v>
      </c>
      <c r="C895">
        <v>1</v>
      </c>
      <c r="D895">
        <v>1</v>
      </c>
      <c r="E895" t="s">
        <v>233</v>
      </c>
    </row>
    <row r="896" spans="1:5" x14ac:dyDescent="0.25">
      <c r="A896">
        <v>85</v>
      </c>
      <c r="B896">
        <v>196</v>
      </c>
      <c r="C896">
        <v>4</v>
      </c>
      <c r="D896">
        <v>4</v>
      </c>
      <c r="E896" t="s">
        <v>233</v>
      </c>
    </row>
    <row r="897" spans="1:5" x14ac:dyDescent="0.25">
      <c r="A897">
        <v>85</v>
      </c>
      <c r="B897">
        <v>197</v>
      </c>
      <c r="C897">
        <v>2</v>
      </c>
      <c r="D897">
        <v>2</v>
      </c>
      <c r="E897" t="s">
        <v>233</v>
      </c>
    </row>
    <row r="898" spans="1:5" x14ac:dyDescent="0.25">
      <c r="A898">
        <v>85</v>
      </c>
      <c r="B898">
        <v>198</v>
      </c>
      <c r="C898">
        <v>8</v>
      </c>
      <c r="D898">
        <v>8</v>
      </c>
      <c r="E898" t="s">
        <v>233</v>
      </c>
    </row>
    <row r="899" spans="1:5" x14ac:dyDescent="0.25">
      <c r="A899">
        <v>85</v>
      </c>
      <c r="B899">
        <v>199</v>
      </c>
      <c r="C899">
        <v>2</v>
      </c>
      <c r="D899">
        <v>2</v>
      </c>
      <c r="E899" t="s">
        <v>233</v>
      </c>
    </row>
    <row r="900" spans="1:5" x14ac:dyDescent="0.25">
      <c r="A900">
        <v>85</v>
      </c>
      <c r="B900">
        <v>200</v>
      </c>
      <c r="C900">
        <v>1</v>
      </c>
      <c r="D900">
        <v>1</v>
      </c>
      <c r="E900" t="s">
        <v>233</v>
      </c>
    </row>
    <row r="901" spans="1:5" x14ac:dyDescent="0.25">
      <c r="A901">
        <v>85</v>
      </c>
      <c r="B901">
        <v>201</v>
      </c>
      <c r="C901">
        <v>1</v>
      </c>
      <c r="D901">
        <v>1</v>
      </c>
      <c r="E901" t="s">
        <v>233</v>
      </c>
    </row>
    <row r="902" spans="1:5" x14ac:dyDescent="0.25">
      <c r="A902">
        <v>85</v>
      </c>
      <c r="B902">
        <v>202</v>
      </c>
      <c r="C902">
        <v>3</v>
      </c>
      <c r="D902">
        <v>3</v>
      </c>
      <c r="E902" t="s">
        <v>233</v>
      </c>
    </row>
    <row r="903" spans="1:5" x14ac:dyDescent="0.25">
      <c r="A903">
        <v>85</v>
      </c>
      <c r="B903">
        <v>216</v>
      </c>
      <c r="C903">
        <v>7</v>
      </c>
      <c r="D903">
        <v>7</v>
      </c>
      <c r="E903" t="s">
        <v>233</v>
      </c>
    </row>
    <row r="904" spans="1:5" x14ac:dyDescent="0.25">
      <c r="A904">
        <v>85</v>
      </c>
      <c r="B904">
        <v>217</v>
      </c>
      <c r="C904">
        <v>6</v>
      </c>
      <c r="D904">
        <v>6</v>
      </c>
      <c r="E904" t="s">
        <v>233</v>
      </c>
    </row>
    <row r="905" spans="1:5" x14ac:dyDescent="0.25">
      <c r="A905">
        <v>85</v>
      </c>
      <c r="B905">
        <v>218</v>
      </c>
      <c r="C905">
        <v>6</v>
      </c>
      <c r="D905">
        <v>6</v>
      </c>
      <c r="E905" t="s">
        <v>233</v>
      </c>
    </row>
    <row r="906" spans="1:5" x14ac:dyDescent="0.25">
      <c r="A906">
        <v>85</v>
      </c>
      <c r="B906">
        <v>219</v>
      </c>
      <c r="C906">
        <v>8</v>
      </c>
      <c r="D906">
        <v>8</v>
      </c>
      <c r="E906" t="s">
        <v>233</v>
      </c>
    </row>
    <row r="907" spans="1:5" x14ac:dyDescent="0.25">
      <c r="A907">
        <v>85</v>
      </c>
      <c r="B907">
        <v>220</v>
      </c>
      <c r="C907">
        <v>10</v>
      </c>
      <c r="D907">
        <v>10</v>
      </c>
      <c r="E907" t="s">
        <v>233</v>
      </c>
    </row>
    <row r="908" spans="1:5" x14ac:dyDescent="0.25">
      <c r="A908">
        <v>85</v>
      </c>
      <c r="B908">
        <v>221</v>
      </c>
      <c r="C908">
        <v>8</v>
      </c>
      <c r="D908">
        <v>8</v>
      </c>
      <c r="E908" t="s">
        <v>233</v>
      </c>
    </row>
    <row r="909" spans="1:5" x14ac:dyDescent="0.25">
      <c r="A909">
        <v>85</v>
      </c>
      <c r="B909">
        <v>222</v>
      </c>
      <c r="C909">
        <v>4</v>
      </c>
      <c r="D909">
        <v>4</v>
      </c>
      <c r="E909" t="s">
        <v>233</v>
      </c>
    </row>
    <row r="910" spans="1:5" x14ac:dyDescent="0.25">
      <c r="A910">
        <v>85</v>
      </c>
      <c r="B910">
        <v>223</v>
      </c>
      <c r="C910">
        <v>10</v>
      </c>
      <c r="D910">
        <v>10</v>
      </c>
      <c r="E910" t="s">
        <v>233</v>
      </c>
    </row>
    <row r="911" spans="1:5" x14ac:dyDescent="0.25">
      <c r="A911">
        <v>85</v>
      </c>
      <c r="B911">
        <v>224</v>
      </c>
      <c r="C911">
        <v>7</v>
      </c>
      <c r="D911">
        <v>7</v>
      </c>
      <c r="E911" t="s">
        <v>233</v>
      </c>
    </row>
    <row r="912" spans="1:5" x14ac:dyDescent="0.25">
      <c r="A912">
        <v>85</v>
      </c>
      <c r="B912">
        <v>225</v>
      </c>
      <c r="C912">
        <v>1</v>
      </c>
      <c r="D912">
        <v>1</v>
      </c>
      <c r="E912" t="s">
        <v>233</v>
      </c>
    </row>
    <row r="913" spans="1:5" x14ac:dyDescent="0.25">
      <c r="A913">
        <v>85</v>
      </c>
      <c r="B913">
        <v>226</v>
      </c>
      <c r="C913">
        <v>1</v>
      </c>
      <c r="D913">
        <v>1</v>
      </c>
      <c r="E913" t="s">
        <v>233</v>
      </c>
    </row>
    <row r="914" spans="1:5" x14ac:dyDescent="0.25">
      <c r="A914">
        <v>85</v>
      </c>
      <c r="B914">
        <v>227</v>
      </c>
      <c r="C914">
        <v>3</v>
      </c>
      <c r="D914">
        <v>3</v>
      </c>
      <c r="E914" t="s">
        <v>233</v>
      </c>
    </row>
    <row r="915" spans="1:5" x14ac:dyDescent="0.25">
      <c r="A915">
        <v>85</v>
      </c>
      <c r="B915">
        <v>228</v>
      </c>
      <c r="C915">
        <v>1</v>
      </c>
      <c r="D915">
        <v>1</v>
      </c>
      <c r="E915" t="s">
        <v>233</v>
      </c>
    </row>
    <row r="916" spans="1:5" x14ac:dyDescent="0.25">
      <c r="A916">
        <v>85</v>
      </c>
      <c r="B916">
        <v>229</v>
      </c>
      <c r="C916">
        <v>1</v>
      </c>
      <c r="D916">
        <v>1</v>
      </c>
      <c r="E916" t="s">
        <v>233</v>
      </c>
    </row>
    <row r="917" spans="1:5" x14ac:dyDescent="0.25">
      <c r="A917">
        <v>85</v>
      </c>
      <c r="B917">
        <v>230</v>
      </c>
      <c r="C917">
        <v>2</v>
      </c>
      <c r="D917">
        <v>2</v>
      </c>
      <c r="E917" t="s">
        <v>233</v>
      </c>
    </row>
    <row r="918" spans="1:5" x14ac:dyDescent="0.25">
      <c r="A918">
        <v>85</v>
      </c>
      <c r="B918">
        <v>231</v>
      </c>
      <c r="C918">
        <v>5</v>
      </c>
      <c r="D918">
        <v>5</v>
      </c>
      <c r="E918" t="s">
        <v>233</v>
      </c>
    </row>
    <row r="919" spans="1:5" x14ac:dyDescent="0.25">
      <c r="A919">
        <v>85</v>
      </c>
      <c r="B919">
        <v>232</v>
      </c>
      <c r="C919">
        <v>4</v>
      </c>
      <c r="D919">
        <v>4</v>
      </c>
      <c r="E919" t="s">
        <v>233</v>
      </c>
    </row>
    <row r="920" spans="1:5" x14ac:dyDescent="0.25">
      <c r="A920">
        <v>85</v>
      </c>
      <c r="B920">
        <v>233</v>
      </c>
      <c r="C920">
        <v>1</v>
      </c>
      <c r="D920">
        <v>1</v>
      </c>
      <c r="E920" t="s">
        <v>233</v>
      </c>
    </row>
    <row r="921" spans="1:5" x14ac:dyDescent="0.25">
      <c r="A921">
        <v>85</v>
      </c>
      <c r="B921">
        <v>234</v>
      </c>
      <c r="C921">
        <v>2</v>
      </c>
      <c r="D921">
        <v>2</v>
      </c>
      <c r="E921" t="s">
        <v>233</v>
      </c>
    </row>
    <row r="922" spans="1:5" x14ac:dyDescent="0.25">
      <c r="A922">
        <v>85</v>
      </c>
      <c r="B922">
        <v>236</v>
      </c>
      <c r="C922">
        <v>3</v>
      </c>
      <c r="D922">
        <v>3</v>
      </c>
      <c r="E922" t="s">
        <v>233</v>
      </c>
    </row>
    <row r="923" spans="1:5" x14ac:dyDescent="0.25">
      <c r="A923">
        <v>85</v>
      </c>
      <c r="B923">
        <v>237</v>
      </c>
      <c r="C923">
        <v>3</v>
      </c>
      <c r="D923">
        <v>3</v>
      </c>
      <c r="E923" t="s">
        <v>233</v>
      </c>
    </row>
    <row r="924" spans="1:5" x14ac:dyDescent="0.25">
      <c r="A924">
        <v>85</v>
      </c>
      <c r="B924">
        <v>238</v>
      </c>
      <c r="C924">
        <v>2</v>
      </c>
      <c r="D924">
        <v>2</v>
      </c>
      <c r="E924" t="s">
        <v>233</v>
      </c>
    </row>
    <row r="925" spans="1:5" x14ac:dyDescent="0.25">
      <c r="A925">
        <v>85</v>
      </c>
      <c r="B925">
        <v>240</v>
      </c>
      <c r="C925">
        <v>5</v>
      </c>
      <c r="D925">
        <v>5</v>
      </c>
      <c r="E925" t="s">
        <v>233</v>
      </c>
    </row>
    <row r="926" spans="1:5" x14ac:dyDescent="0.25">
      <c r="A926">
        <v>85</v>
      </c>
      <c r="B926">
        <v>241</v>
      </c>
      <c r="C926">
        <v>3</v>
      </c>
      <c r="D926">
        <v>3</v>
      </c>
      <c r="E926" t="s">
        <v>233</v>
      </c>
    </row>
    <row r="927" spans="1:5" x14ac:dyDescent="0.25">
      <c r="A927">
        <v>85</v>
      </c>
      <c r="B927">
        <v>243</v>
      </c>
      <c r="C927">
        <v>4</v>
      </c>
      <c r="D927">
        <v>4</v>
      </c>
      <c r="E927" t="s">
        <v>233</v>
      </c>
    </row>
    <row r="928" spans="1:5" x14ac:dyDescent="0.25">
      <c r="A928">
        <v>85</v>
      </c>
      <c r="B928">
        <v>244</v>
      </c>
      <c r="C928">
        <v>2</v>
      </c>
      <c r="D928">
        <v>2</v>
      </c>
      <c r="E928" t="s">
        <v>233</v>
      </c>
    </row>
    <row r="929" spans="1:5" x14ac:dyDescent="0.25">
      <c r="A929">
        <v>85</v>
      </c>
      <c r="B929">
        <v>246</v>
      </c>
      <c r="C929">
        <v>2</v>
      </c>
      <c r="D929">
        <v>2</v>
      </c>
      <c r="E929" t="s">
        <v>233</v>
      </c>
    </row>
    <row r="930" spans="1:5" x14ac:dyDescent="0.25">
      <c r="A930">
        <v>85</v>
      </c>
      <c r="B930">
        <v>249</v>
      </c>
      <c r="C930">
        <v>3</v>
      </c>
      <c r="D930">
        <v>3</v>
      </c>
      <c r="E930" t="s">
        <v>233</v>
      </c>
    </row>
    <row r="931" spans="1:5" x14ac:dyDescent="0.25">
      <c r="A931">
        <v>85</v>
      </c>
      <c r="B931">
        <v>250</v>
      </c>
      <c r="C931">
        <v>1</v>
      </c>
      <c r="D931">
        <v>1</v>
      </c>
      <c r="E931" t="s">
        <v>233</v>
      </c>
    </row>
    <row r="932" spans="1:5" x14ac:dyDescent="0.25">
      <c r="A932">
        <v>85</v>
      </c>
      <c r="B932">
        <v>251</v>
      </c>
      <c r="C932">
        <v>2</v>
      </c>
      <c r="D932">
        <v>2</v>
      </c>
      <c r="E932" t="s">
        <v>233</v>
      </c>
    </row>
    <row r="933" spans="1:5" x14ac:dyDescent="0.25">
      <c r="A933">
        <v>85</v>
      </c>
      <c r="B933">
        <v>270</v>
      </c>
      <c r="C933">
        <v>1</v>
      </c>
      <c r="D933">
        <v>1</v>
      </c>
      <c r="E933" t="s">
        <v>233</v>
      </c>
    </row>
    <row r="934" spans="1:5" x14ac:dyDescent="0.25">
      <c r="A934">
        <v>85</v>
      </c>
      <c r="B934">
        <v>271</v>
      </c>
      <c r="C934">
        <v>1</v>
      </c>
      <c r="D934">
        <v>1</v>
      </c>
      <c r="E934" t="s">
        <v>233</v>
      </c>
    </row>
    <row r="935" spans="1:5" x14ac:dyDescent="0.25">
      <c r="A935">
        <v>85</v>
      </c>
      <c r="B935">
        <v>272</v>
      </c>
      <c r="C935">
        <v>2</v>
      </c>
      <c r="D935">
        <v>2</v>
      </c>
      <c r="E935" t="s">
        <v>233</v>
      </c>
    </row>
    <row r="936" spans="1:5" x14ac:dyDescent="0.25">
      <c r="A936">
        <v>85</v>
      </c>
      <c r="B936">
        <v>274</v>
      </c>
      <c r="C936">
        <v>2</v>
      </c>
      <c r="D936">
        <v>2</v>
      </c>
      <c r="E936" t="s">
        <v>233</v>
      </c>
    </row>
    <row r="937" spans="1:5" x14ac:dyDescent="0.25">
      <c r="A937">
        <v>85</v>
      </c>
      <c r="B937">
        <v>275</v>
      </c>
      <c r="C937">
        <v>2</v>
      </c>
      <c r="D937">
        <v>2</v>
      </c>
      <c r="E937" t="s">
        <v>233</v>
      </c>
    </row>
    <row r="938" spans="1:5" x14ac:dyDescent="0.25">
      <c r="A938">
        <v>85</v>
      </c>
      <c r="B938">
        <v>278</v>
      </c>
      <c r="C938">
        <v>4</v>
      </c>
      <c r="D938">
        <v>4</v>
      </c>
      <c r="E938" t="s">
        <v>233</v>
      </c>
    </row>
    <row r="939" spans="1:5" x14ac:dyDescent="0.25">
      <c r="A939">
        <v>85</v>
      </c>
      <c r="B939">
        <v>280</v>
      </c>
      <c r="C939">
        <v>2</v>
      </c>
      <c r="D939">
        <v>2</v>
      </c>
      <c r="E939" t="s">
        <v>233</v>
      </c>
    </row>
    <row r="940" spans="1:5" x14ac:dyDescent="0.25">
      <c r="A940">
        <v>85</v>
      </c>
      <c r="B940">
        <v>281</v>
      </c>
      <c r="C940">
        <v>4</v>
      </c>
      <c r="D940">
        <v>4</v>
      </c>
      <c r="E940" t="s">
        <v>233</v>
      </c>
    </row>
    <row r="941" spans="1:5" x14ac:dyDescent="0.25">
      <c r="A941">
        <v>85</v>
      </c>
      <c r="B941">
        <v>282</v>
      </c>
      <c r="C941">
        <v>3</v>
      </c>
      <c r="D941">
        <v>3</v>
      </c>
      <c r="E941" t="s">
        <v>233</v>
      </c>
    </row>
    <row r="942" spans="1:5" x14ac:dyDescent="0.25">
      <c r="A942">
        <v>85</v>
      </c>
      <c r="B942">
        <v>283</v>
      </c>
      <c r="C942">
        <v>1</v>
      </c>
      <c r="D942">
        <v>1</v>
      </c>
      <c r="E942" t="s">
        <v>233</v>
      </c>
    </row>
    <row r="943" spans="1:5" x14ac:dyDescent="0.25">
      <c r="A943">
        <v>85</v>
      </c>
      <c r="B943">
        <v>284</v>
      </c>
      <c r="C943">
        <v>5</v>
      </c>
      <c r="D943">
        <v>5</v>
      </c>
      <c r="E943" t="s">
        <v>233</v>
      </c>
    </row>
    <row r="944" spans="1:5" x14ac:dyDescent="0.25">
      <c r="A944">
        <v>85</v>
      </c>
      <c r="B944">
        <v>285</v>
      </c>
      <c r="C944">
        <v>7</v>
      </c>
      <c r="D944">
        <v>7</v>
      </c>
      <c r="E944" t="s">
        <v>233</v>
      </c>
    </row>
    <row r="945" spans="1:5" x14ac:dyDescent="0.25">
      <c r="A945">
        <v>85</v>
      </c>
      <c r="B945">
        <v>307</v>
      </c>
      <c r="C945">
        <v>2</v>
      </c>
      <c r="D945">
        <v>2</v>
      </c>
      <c r="E945" t="s">
        <v>233</v>
      </c>
    </row>
    <row r="946" spans="1:5" x14ac:dyDescent="0.25">
      <c r="A946">
        <v>85</v>
      </c>
      <c r="B946">
        <v>308</v>
      </c>
      <c r="C946">
        <v>1</v>
      </c>
      <c r="D946">
        <v>1</v>
      </c>
      <c r="E946" t="s">
        <v>233</v>
      </c>
    </row>
    <row r="947" spans="1:5" x14ac:dyDescent="0.25">
      <c r="A947">
        <v>85</v>
      </c>
      <c r="B947">
        <v>309</v>
      </c>
      <c r="C947">
        <v>1</v>
      </c>
      <c r="D947">
        <v>1</v>
      </c>
      <c r="E947" t="s">
        <v>233</v>
      </c>
    </row>
    <row r="948" spans="1:5" x14ac:dyDescent="0.25">
      <c r="A948">
        <v>85</v>
      </c>
      <c r="B948">
        <v>310</v>
      </c>
      <c r="C948">
        <v>1</v>
      </c>
      <c r="D948">
        <v>1</v>
      </c>
      <c r="E948" t="s">
        <v>233</v>
      </c>
    </row>
    <row r="949" spans="1:5" x14ac:dyDescent="0.25">
      <c r="A949">
        <v>85</v>
      </c>
      <c r="B949">
        <v>323</v>
      </c>
      <c r="C949">
        <v>4</v>
      </c>
      <c r="D949">
        <v>4</v>
      </c>
      <c r="E949" t="s">
        <v>233</v>
      </c>
    </row>
    <row r="950" spans="1:5" x14ac:dyDescent="0.25">
      <c r="A950">
        <v>85</v>
      </c>
      <c r="B950">
        <v>324</v>
      </c>
      <c r="C950">
        <v>4</v>
      </c>
      <c r="D950">
        <v>4</v>
      </c>
      <c r="E950" t="s">
        <v>233</v>
      </c>
    </row>
    <row r="951" spans="1:5" x14ac:dyDescent="0.25">
      <c r="A951">
        <v>85</v>
      </c>
      <c r="B951">
        <v>325</v>
      </c>
      <c r="C951">
        <v>1</v>
      </c>
      <c r="D951">
        <v>1</v>
      </c>
      <c r="E951" t="s">
        <v>233</v>
      </c>
    </row>
    <row r="952" spans="1:5" x14ac:dyDescent="0.25">
      <c r="A952">
        <v>85</v>
      </c>
      <c r="B952">
        <v>326</v>
      </c>
      <c r="C952">
        <v>3</v>
      </c>
      <c r="D952">
        <v>3</v>
      </c>
      <c r="E952" t="s">
        <v>233</v>
      </c>
    </row>
    <row r="953" spans="1:5" x14ac:dyDescent="0.25">
      <c r="A953">
        <v>85</v>
      </c>
      <c r="B953">
        <v>327</v>
      </c>
      <c r="C953">
        <v>4</v>
      </c>
      <c r="D953">
        <v>4</v>
      </c>
      <c r="E953" t="s">
        <v>233</v>
      </c>
    </row>
    <row r="954" spans="1:5" x14ac:dyDescent="0.25">
      <c r="A954">
        <v>85</v>
      </c>
      <c r="B954">
        <v>328</v>
      </c>
      <c r="C954">
        <v>1</v>
      </c>
      <c r="D954">
        <v>1</v>
      </c>
      <c r="E954" t="s">
        <v>233</v>
      </c>
    </row>
    <row r="955" spans="1:5" x14ac:dyDescent="0.25">
      <c r="A955">
        <v>85</v>
      </c>
      <c r="B955">
        <v>329</v>
      </c>
      <c r="C955">
        <v>2</v>
      </c>
      <c r="D955">
        <v>2</v>
      </c>
      <c r="E955" t="s">
        <v>233</v>
      </c>
    </row>
    <row r="956" spans="1:5" x14ac:dyDescent="0.25">
      <c r="A956">
        <v>85</v>
      </c>
      <c r="B956">
        <v>330</v>
      </c>
      <c r="C956">
        <v>2</v>
      </c>
      <c r="D956">
        <v>2</v>
      </c>
      <c r="E956" t="s">
        <v>233</v>
      </c>
    </row>
    <row r="957" spans="1:5" x14ac:dyDescent="0.25">
      <c r="A957">
        <v>85</v>
      </c>
      <c r="B957">
        <v>344</v>
      </c>
      <c r="C957">
        <v>1</v>
      </c>
      <c r="D957">
        <v>1</v>
      </c>
      <c r="E957" t="s">
        <v>233</v>
      </c>
    </row>
    <row r="958" spans="1:5" x14ac:dyDescent="0.25">
      <c r="A958">
        <v>85</v>
      </c>
      <c r="B958">
        <v>345</v>
      </c>
      <c r="C958">
        <v>1</v>
      </c>
      <c r="D958">
        <v>1</v>
      </c>
      <c r="E958" t="s">
        <v>233</v>
      </c>
    </row>
    <row r="959" spans="1:5" x14ac:dyDescent="0.25">
      <c r="A959">
        <v>85</v>
      </c>
      <c r="B959">
        <v>346</v>
      </c>
      <c r="C959">
        <v>2</v>
      </c>
      <c r="D959">
        <v>2</v>
      </c>
      <c r="E959" t="s">
        <v>233</v>
      </c>
    </row>
    <row r="960" spans="1:5" x14ac:dyDescent="0.25">
      <c r="A960">
        <v>85</v>
      </c>
      <c r="B960">
        <v>347</v>
      </c>
      <c r="C960">
        <v>1</v>
      </c>
      <c r="D960">
        <v>1</v>
      </c>
      <c r="E960" t="s">
        <v>233</v>
      </c>
    </row>
    <row r="961" spans="1:6" x14ac:dyDescent="0.25">
      <c r="A961">
        <v>85</v>
      </c>
      <c r="B961">
        <v>348</v>
      </c>
      <c r="C961">
        <v>2</v>
      </c>
      <c r="D961">
        <v>2</v>
      </c>
      <c r="E961" t="s">
        <v>233</v>
      </c>
    </row>
    <row r="962" spans="1:6" x14ac:dyDescent="0.25">
      <c r="A962">
        <v>85</v>
      </c>
      <c r="B962">
        <v>370</v>
      </c>
      <c r="C962">
        <v>5</v>
      </c>
      <c r="D962">
        <v>5</v>
      </c>
      <c r="E962" t="s">
        <v>233</v>
      </c>
    </row>
    <row r="963" spans="1:6" x14ac:dyDescent="0.25">
      <c r="A963">
        <v>85</v>
      </c>
      <c r="B963">
        <v>371</v>
      </c>
      <c r="C963">
        <v>2</v>
      </c>
      <c r="D963">
        <v>2</v>
      </c>
      <c r="E963" t="s">
        <v>233</v>
      </c>
    </row>
    <row r="964" spans="1:6" x14ac:dyDescent="0.25">
      <c r="A964">
        <v>85</v>
      </c>
      <c r="B964">
        <v>372</v>
      </c>
      <c r="C964">
        <v>1</v>
      </c>
      <c r="D964">
        <v>1</v>
      </c>
      <c r="E964" t="s">
        <v>233</v>
      </c>
    </row>
    <row r="965" spans="1:6" x14ac:dyDescent="0.25">
      <c r="A965">
        <v>85</v>
      </c>
      <c r="B965">
        <v>373</v>
      </c>
      <c r="C965">
        <v>2</v>
      </c>
      <c r="D965">
        <v>2</v>
      </c>
      <c r="E965" t="s">
        <v>233</v>
      </c>
    </row>
    <row r="966" spans="1:6" x14ac:dyDescent="0.25">
      <c r="A966">
        <v>85</v>
      </c>
      <c r="B966">
        <v>375</v>
      </c>
      <c r="C966">
        <v>5</v>
      </c>
      <c r="D966">
        <v>5</v>
      </c>
      <c r="E966" t="s">
        <v>233</v>
      </c>
    </row>
    <row r="967" spans="1:6" x14ac:dyDescent="0.25">
      <c r="A967">
        <v>85</v>
      </c>
      <c r="B967">
        <v>376</v>
      </c>
      <c r="C967">
        <v>1</v>
      </c>
      <c r="D967">
        <v>1</v>
      </c>
      <c r="E967" t="s">
        <v>233</v>
      </c>
    </row>
    <row r="968" spans="1:6" x14ac:dyDescent="0.25">
      <c r="A968">
        <v>85</v>
      </c>
      <c r="B968">
        <v>377</v>
      </c>
      <c r="C968">
        <v>3</v>
      </c>
      <c r="D968">
        <v>3</v>
      </c>
      <c r="E968" t="s">
        <v>233</v>
      </c>
    </row>
    <row r="969" spans="1:6" x14ac:dyDescent="0.25">
      <c r="A969">
        <v>85</v>
      </c>
      <c r="B969">
        <v>378</v>
      </c>
      <c r="C969">
        <v>2</v>
      </c>
      <c r="D969">
        <v>2</v>
      </c>
      <c r="E969" t="s">
        <v>233</v>
      </c>
    </row>
    <row r="970" spans="1:6" x14ac:dyDescent="0.25">
      <c r="A970">
        <v>85</v>
      </c>
      <c r="B970">
        <v>380</v>
      </c>
      <c r="C970">
        <v>1</v>
      </c>
      <c r="D970">
        <v>1</v>
      </c>
      <c r="E970" t="s">
        <v>233</v>
      </c>
    </row>
    <row r="971" spans="1:6" x14ac:dyDescent="0.25">
      <c r="A971">
        <v>85</v>
      </c>
      <c r="B971">
        <v>381</v>
      </c>
      <c r="C971">
        <v>2</v>
      </c>
      <c r="D971">
        <v>2</v>
      </c>
      <c r="E971" t="s">
        <v>233</v>
      </c>
    </row>
    <row r="972" spans="1:6" x14ac:dyDescent="0.25">
      <c r="A972">
        <v>85</v>
      </c>
      <c r="B972">
        <v>382</v>
      </c>
      <c r="C972">
        <v>3</v>
      </c>
      <c r="D972">
        <v>3</v>
      </c>
      <c r="E972" t="s">
        <v>233</v>
      </c>
    </row>
    <row r="973" spans="1:6" x14ac:dyDescent="0.25">
      <c r="A973">
        <v>85</v>
      </c>
      <c r="B973">
        <v>383</v>
      </c>
      <c r="C973">
        <v>6</v>
      </c>
      <c r="D973">
        <v>6</v>
      </c>
      <c r="E973" t="s">
        <v>233</v>
      </c>
    </row>
    <row r="974" spans="1:6" x14ac:dyDescent="0.25">
      <c r="A974">
        <v>85</v>
      </c>
      <c r="B974">
        <v>385</v>
      </c>
      <c r="C974">
        <v>1</v>
      </c>
      <c r="D974">
        <v>1</v>
      </c>
      <c r="E974" t="s">
        <v>233</v>
      </c>
    </row>
    <row r="975" spans="1:6" x14ac:dyDescent="0.25">
      <c r="A975">
        <v>85</v>
      </c>
      <c r="B975">
        <v>388</v>
      </c>
      <c r="C975">
        <v>8</v>
      </c>
      <c r="D975">
        <v>8</v>
      </c>
      <c r="E975" t="s">
        <v>233</v>
      </c>
    </row>
    <row r="976" spans="1:6" x14ac:dyDescent="0.25">
      <c r="A976">
        <v>85</v>
      </c>
      <c r="B976">
        <v>390</v>
      </c>
      <c r="C976">
        <v>6</v>
      </c>
      <c r="D976">
        <v>6</v>
      </c>
      <c r="E976" t="s">
        <v>233</v>
      </c>
      <c r="F976">
        <f>SUM(D849:D976)</f>
        <v>365</v>
      </c>
    </row>
    <row r="977" spans="1:6" x14ac:dyDescent="0.25">
      <c r="A977">
        <v>116</v>
      </c>
      <c r="B977">
        <v>358</v>
      </c>
      <c r="C977">
        <v>2</v>
      </c>
      <c r="D977">
        <v>2</v>
      </c>
      <c r="E977" t="s">
        <v>234</v>
      </c>
    </row>
    <row r="978" spans="1:6" x14ac:dyDescent="0.25">
      <c r="A978">
        <v>116</v>
      </c>
      <c r="B978">
        <v>466</v>
      </c>
      <c r="C978">
        <v>6</v>
      </c>
      <c r="D978">
        <v>6</v>
      </c>
      <c r="E978" t="s">
        <v>234</v>
      </c>
    </row>
    <row r="979" spans="1:6" x14ac:dyDescent="0.25">
      <c r="A979">
        <v>116</v>
      </c>
      <c r="B979">
        <v>471</v>
      </c>
      <c r="C979">
        <v>2</v>
      </c>
      <c r="D979">
        <v>2</v>
      </c>
      <c r="E979" t="s">
        <v>234</v>
      </c>
    </row>
    <row r="980" spans="1:6" x14ac:dyDescent="0.25">
      <c r="A980">
        <v>116</v>
      </c>
      <c r="B980">
        <v>475</v>
      </c>
      <c r="C980">
        <v>6</v>
      </c>
      <c r="D980">
        <v>6</v>
      </c>
      <c r="E980" t="s">
        <v>234</v>
      </c>
    </row>
    <row r="981" spans="1:6" x14ac:dyDescent="0.25">
      <c r="A981">
        <v>116</v>
      </c>
      <c r="B981">
        <v>483</v>
      </c>
      <c r="C981">
        <v>2</v>
      </c>
      <c r="D981">
        <v>2</v>
      </c>
      <c r="E981" t="s">
        <v>234</v>
      </c>
    </row>
    <row r="982" spans="1:6" x14ac:dyDescent="0.25">
      <c r="A982">
        <v>116</v>
      </c>
      <c r="B982">
        <v>489</v>
      </c>
      <c r="C982">
        <v>2</v>
      </c>
      <c r="D982">
        <v>2</v>
      </c>
      <c r="E982" t="s">
        <v>234</v>
      </c>
    </row>
    <row r="983" spans="1:6" x14ac:dyDescent="0.25">
      <c r="A983">
        <v>116</v>
      </c>
      <c r="B983">
        <v>496</v>
      </c>
      <c r="C983">
        <v>2</v>
      </c>
      <c r="D983">
        <v>2</v>
      </c>
      <c r="E983" t="s">
        <v>234</v>
      </c>
    </row>
    <row r="984" spans="1:6" x14ac:dyDescent="0.25">
      <c r="A984">
        <v>116</v>
      </c>
      <c r="B984">
        <v>501</v>
      </c>
      <c r="C984">
        <v>5</v>
      </c>
      <c r="D984">
        <v>5</v>
      </c>
      <c r="E984" t="s">
        <v>234</v>
      </c>
    </row>
    <row r="985" spans="1:6" x14ac:dyDescent="0.25">
      <c r="A985">
        <v>116</v>
      </c>
      <c r="B985">
        <v>503</v>
      </c>
      <c r="C985">
        <v>3</v>
      </c>
      <c r="D985">
        <v>3</v>
      </c>
      <c r="E985" t="s">
        <v>234</v>
      </c>
      <c r="F985">
        <f>SUM(D977:D985)</f>
        <v>30</v>
      </c>
    </row>
    <row r="986" spans="1:6" x14ac:dyDescent="0.25">
      <c r="A986">
        <v>117</v>
      </c>
      <c r="B986">
        <v>152</v>
      </c>
      <c r="C986">
        <v>1</v>
      </c>
      <c r="D986">
        <v>1</v>
      </c>
      <c r="E986" t="s">
        <v>235</v>
      </c>
    </row>
    <row r="987" spans="1:6" x14ac:dyDescent="0.25">
      <c r="A987">
        <v>117</v>
      </c>
      <c r="B987">
        <v>153</v>
      </c>
      <c r="C987">
        <v>4</v>
      </c>
      <c r="D987">
        <v>4</v>
      </c>
      <c r="E987" t="s">
        <v>235</v>
      </c>
    </row>
    <row r="988" spans="1:6" x14ac:dyDescent="0.25">
      <c r="A988">
        <v>117</v>
      </c>
      <c r="B988">
        <v>154</v>
      </c>
      <c r="C988">
        <v>3</v>
      </c>
      <c r="D988">
        <v>3</v>
      </c>
      <c r="E988" t="s">
        <v>235</v>
      </c>
    </row>
    <row r="989" spans="1:6" x14ac:dyDescent="0.25">
      <c r="A989">
        <v>117</v>
      </c>
      <c r="B989">
        <v>155</v>
      </c>
      <c r="C989">
        <v>2</v>
      </c>
      <c r="D989">
        <v>2</v>
      </c>
      <c r="E989" t="s">
        <v>235</v>
      </c>
    </row>
    <row r="990" spans="1:6" x14ac:dyDescent="0.25">
      <c r="A990">
        <v>117</v>
      </c>
      <c r="B990">
        <v>156</v>
      </c>
      <c r="C990">
        <v>1</v>
      </c>
      <c r="D990">
        <v>1</v>
      </c>
      <c r="E990" t="s">
        <v>235</v>
      </c>
    </row>
    <row r="991" spans="1:6" x14ac:dyDescent="0.25">
      <c r="A991">
        <v>117</v>
      </c>
      <c r="B991">
        <v>182</v>
      </c>
      <c r="C991">
        <v>6</v>
      </c>
      <c r="D991">
        <v>6</v>
      </c>
      <c r="E991" t="s">
        <v>235</v>
      </c>
    </row>
    <row r="992" spans="1:6" x14ac:dyDescent="0.25">
      <c r="A992">
        <v>117</v>
      </c>
      <c r="B992">
        <v>183</v>
      </c>
      <c r="C992">
        <v>4</v>
      </c>
      <c r="D992">
        <v>4</v>
      </c>
      <c r="E992" t="s">
        <v>235</v>
      </c>
    </row>
    <row r="993" spans="1:5" x14ac:dyDescent="0.25">
      <c r="A993">
        <v>117</v>
      </c>
      <c r="B993">
        <v>184</v>
      </c>
      <c r="C993">
        <v>1</v>
      </c>
      <c r="D993">
        <v>1</v>
      </c>
      <c r="E993" t="s">
        <v>235</v>
      </c>
    </row>
    <row r="994" spans="1:5" x14ac:dyDescent="0.25">
      <c r="A994">
        <v>117</v>
      </c>
      <c r="B994">
        <v>185</v>
      </c>
      <c r="C994">
        <v>5</v>
      </c>
      <c r="D994">
        <v>5</v>
      </c>
      <c r="E994" t="s">
        <v>235</v>
      </c>
    </row>
    <row r="995" spans="1:5" x14ac:dyDescent="0.25">
      <c r="A995">
        <v>117</v>
      </c>
      <c r="B995">
        <v>186</v>
      </c>
      <c r="C995">
        <v>1</v>
      </c>
      <c r="D995">
        <v>1</v>
      </c>
      <c r="E995" t="s">
        <v>235</v>
      </c>
    </row>
    <row r="996" spans="1:5" x14ac:dyDescent="0.25">
      <c r="A996">
        <v>117</v>
      </c>
      <c r="B996">
        <v>187</v>
      </c>
      <c r="C996">
        <v>3</v>
      </c>
      <c r="D996">
        <v>3</v>
      </c>
      <c r="E996" t="s">
        <v>235</v>
      </c>
    </row>
    <row r="997" spans="1:5" x14ac:dyDescent="0.25">
      <c r="A997">
        <v>117</v>
      </c>
      <c r="B997">
        <v>188</v>
      </c>
      <c r="C997">
        <v>2</v>
      </c>
      <c r="D997">
        <v>2</v>
      </c>
      <c r="E997" t="s">
        <v>235</v>
      </c>
    </row>
    <row r="998" spans="1:5" x14ac:dyDescent="0.25">
      <c r="A998">
        <v>117</v>
      </c>
      <c r="B998">
        <v>189</v>
      </c>
      <c r="C998">
        <v>1</v>
      </c>
      <c r="D998">
        <v>1</v>
      </c>
      <c r="E998" t="s">
        <v>235</v>
      </c>
    </row>
    <row r="999" spans="1:5" x14ac:dyDescent="0.25">
      <c r="A999">
        <v>117</v>
      </c>
      <c r="B999">
        <v>190</v>
      </c>
      <c r="C999">
        <v>4</v>
      </c>
      <c r="D999">
        <v>4</v>
      </c>
      <c r="E999" t="s">
        <v>235</v>
      </c>
    </row>
    <row r="1000" spans="1:5" x14ac:dyDescent="0.25">
      <c r="A1000">
        <v>117</v>
      </c>
      <c r="B1000">
        <v>191</v>
      </c>
      <c r="C1000">
        <v>2</v>
      </c>
      <c r="D1000">
        <v>2</v>
      </c>
      <c r="E1000" t="s">
        <v>235</v>
      </c>
    </row>
    <row r="1001" spans="1:5" x14ac:dyDescent="0.25">
      <c r="A1001">
        <v>117</v>
      </c>
      <c r="B1001">
        <v>205</v>
      </c>
      <c r="C1001">
        <v>4</v>
      </c>
      <c r="D1001">
        <v>4</v>
      </c>
      <c r="E1001" t="s">
        <v>235</v>
      </c>
    </row>
    <row r="1002" spans="1:5" x14ac:dyDescent="0.25">
      <c r="A1002">
        <v>117</v>
      </c>
      <c r="B1002">
        <v>206</v>
      </c>
      <c r="C1002">
        <v>2</v>
      </c>
      <c r="D1002">
        <v>2</v>
      </c>
      <c r="E1002" t="s">
        <v>235</v>
      </c>
    </row>
    <row r="1003" spans="1:5" x14ac:dyDescent="0.25">
      <c r="A1003">
        <v>117</v>
      </c>
      <c r="B1003">
        <v>207</v>
      </c>
      <c r="C1003">
        <v>4</v>
      </c>
      <c r="D1003">
        <v>4</v>
      </c>
      <c r="E1003" t="s">
        <v>235</v>
      </c>
    </row>
    <row r="1004" spans="1:5" x14ac:dyDescent="0.25">
      <c r="A1004">
        <v>117</v>
      </c>
      <c r="B1004">
        <v>208</v>
      </c>
      <c r="C1004">
        <v>7</v>
      </c>
      <c r="D1004">
        <v>7</v>
      </c>
      <c r="E1004" t="s">
        <v>235</v>
      </c>
    </row>
    <row r="1005" spans="1:5" x14ac:dyDescent="0.25">
      <c r="A1005">
        <v>117</v>
      </c>
      <c r="B1005">
        <v>209</v>
      </c>
      <c r="C1005">
        <v>4</v>
      </c>
      <c r="D1005">
        <v>4</v>
      </c>
      <c r="E1005" t="s">
        <v>235</v>
      </c>
    </row>
    <row r="1006" spans="1:5" x14ac:dyDescent="0.25">
      <c r="A1006">
        <v>117</v>
      </c>
      <c r="B1006">
        <v>210</v>
      </c>
      <c r="C1006">
        <v>4</v>
      </c>
      <c r="D1006">
        <v>4</v>
      </c>
      <c r="E1006" t="s">
        <v>235</v>
      </c>
    </row>
    <row r="1007" spans="1:5" x14ac:dyDescent="0.25">
      <c r="A1007">
        <v>117</v>
      </c>
      <c r="B1007">
        <v>211</v>
      </c>
      <c r="C1007">
        <v>6</v>
      </c>
      <c r="D1007">
        <v>6</v>
      </c>
      <c r="E1007" t="s">
        <v>235</v>
      </c>
    </row>
    <row r="1008" spans="1:5" x14ac:dyDescent="0.25">
      <c r="A1008">
        <v>117</v>
      </c>
      <c r="B1008">
        <v>212</v>
      </c>
      <c r="C1008">
        <v>7</v>
      </c>
      <c r="D1008">
        <v>7</v>
      </c>
      <c r="E1008" t="s">
        <v>235</v>
      </c>
    </row>
    <row r="1009" spans="1:5" x14ac:dyDescent="0.25">
      <c r="A1009">
        <v>117</v>
      </c>
      <c r="B1009">
        <v>213</v>
      </c>
      <c r="C1009">
        <v>8</v>
      </c>
      <c r="D1009">
        <v>8</v>
      </c>
      <c r="E1009" t="s">
        <v>235</v>
      </c>
    </row>
    <row r="1010" spans="1:5" x14ac:dyDescent="0.25">
      <c r="A1010">
        <v>117</v>
      </c>
      <c r="B1010">
        <v>214</v>
      </c>
      <c r="C1010">
        <v>7</v>
      </c>
      <c r="D1010">
        <v>7</v>
      </c>
      <c r="E1010" t="s">
        <v>235</v>
      </c>
    </row>
    <row r="1011" spans="1:5" x14ac:dyDescent="0.25">
      <c r="A1011">
        <v>117</v>
      </c>
      <c r="B1011">
        <v>215</v>
      </c>
      <c r="C1011">
        <v>6</v>
      </c>
      <c r="D1011">
        <v>6</v>
      </c>
      <c r="E1011" t="s">
        <v>235</v>
      </c>
    </row>
    <row r="1012" spans="1:5" x14ac:dyDescent="0.25">
      <c r="A1012">
        <v>117</v>
      </c>
      <c r="B1012">
        <v>216</v>
      </c>
      <c r="C1012">
        <v>17</v>
      </c>
      <c r="D1012">
        <v>17</v>
      </c>
      <c r="E1012" t="s">
        <v>235</v>
      </c>
    </row>
    <row r="1013" spans="1:5" x14ac:dyDescent="0.25">
      <c r="A1013">
        <v>117</v>
      </c>
      <c r="B1013">
        <v>217</v>
      </c>
      <c r="C1013">
        <v>8</v>
      </c>
      <c r="D1013">
        <v>8</v>
      </c>
      <c r="E1013" t="s">
        <v>235</v>
      </c>
    </row>
    <row r="1014" spans="1:5" x14ac:dyDescent="0.25">
      <c r="A1014">
        <v>117</v>
      </c>
      <c r="B1014">
        <v>218</v>
      </c>
      <c r="C1014">
        <v>11</v>
      </c>
      <c r="D1014">
        <v>11</v>
      </c>
      <c r="E1014" t="s">
        <v>235</v>
      </c>
    </row>
    <row r="1015" spans="1:5" x14ac:dyDescent="0.25">
      <c r="A1015">
        <v>117</v>
      </c>
      <c r="B1015">
        <v>219</v>
      </c>
      <c r="C1015">
        <v>10</v>
      </c>
      <c r="D1015">
        <v>10</v>
      </c>
      <c r="E1015" t="s">
        <v>235</v>
      </c>
    </row>
    <row r="1016" spans="1:5" x14ac:dyDescent="0.25">
      <c r="A1016">
        <v>117</v>
      </c>
      <c r="B1016">
        <v>220</v>
      </c>
      <c r="C1016">
        <v>13</v>
      </c>
      <c r="D1016">
        <v>13</v>
      </c>
      <c r="E1016" t="s">
        <v>235</v>
      </c>
    </row>
    <row r="1017" spans="1:5" x14ac:dyDescent="0.25">
      <c r="A1017">
        <v>117</v>
      </c>
      <c r="B1017">
        <v>221</v>
      </c>
      <c r="C1017">
        <v>12</v>
      </c>
      <c r="D1017">
        <v>12</v>
      </c>
      <c r="E1017" t="s">
        <v>235</v>
      </c>
    </row>
    <row r="1018" spans="1:5" x14ac:dyDescent="0.25">
      <c r="A1018">
        <v>117</v>
      </c>
      <c r="B1018">
        <v>222</v>
      </c>
      <c r="C1018">
        <v>13</v>
      </c>
      <c r="D1018">
        <v>13</v>
      </c>
      <c r="E1018" t="s">
        <v>235</v>
      </c>
    </row>
    <row r="1019" spans="1:5" x14ac:dyDescent="0.25">
      <c r="A1019">
        <v>117</v>
      </c>
      <c r="B1019">
        <v>252</v>
      </c>
      <c r="C1019">
        <v>7</v>
      </c>
      <c r="D1019">
        <v>7</v>
      </c>
      <c r="E1019" t="s">
        <v>235</v>
      </c>
    </row>
    <row r="1020" spans="1:5" x14ac:dyDescent="0.25">
      <c r="A1020">
        <v>117</v>
      </c>
      <c r="B1020">
        <v>253</v>
      </c>
      <c r="C1020">
        <v>3</v>
      </c>
      <c r="D1020">
        <v>3</v>
      </c>
      <c r="E1020" t="s">
        <v>235</v>
      </c>
    </row>
    <row r="1021" spans="1:5" x14ac:dyDescent="0.25">
      <c r="A1021">
        <v>117</v>
      </c>
      <c r="B1021">
        <v>267</v>
      </c>
      <c r="C1021">
        <v>10</v>
      </c>
      <c r="D1021">
        <v>10</v>
      </c>
      <c r="E1021" t="s">
        <v>235</v>
      </c>
    </row>
    <row r="1022" spans="1:5" x14ac:dyDescent="0.25">
      <c r="A1022">
        <v>117</v>
      </c>
      <c r="B1022">
        <v>277</v>
      </c>
      <c r="C1022">
        <v>1</v>
      </c>
      <c r="D1022">
        <v>1</v>
      </c>
      <c r="E1022" t="s">
        <v>235</v>
      </c>
    </row>
    <row r="1023" spans="1:5" x14ac:dyDescent="0.25">
      <c r="A1023">
        <v>117</v>
      </c>
      <c r="B1023">
        <v>280</v>
      </c>
      <c r="C1023">
        <v>9</v>
      </c>
      <c r="D1023">
        <v>9</v>
      </c>
      <c r="E1023" t="s">
        <v>235</v>
      </c>
    </row>
    <row r="1024" spans="1:5" x14ac:dyDescent="0.25">
      <c r="A1024">
        <v>117</v>
      </c>
      <c r="B1024">
        <v>287</v>
      </c>
      <c r="C1024">
        <v>3</v>
      </c>
      <c r="D1024">
        <v>3</v>
      </c>
      <c r="E1024" t="s">
        <v>235</v>
      </c>
    </row>
    <row r="1025" spans="1:5" x14ac:dyDescent="0.25">
      <c r="A1025">
        <v>117</v>
      </c>
      <c r="B1025">
        <v>290</v>
      </c>
      <c r="C1025">
        <v>3</v>
      </c>
      <c r="D1025">
        <v>3</v>
      </c>
      <c r="E1025" t="s">
        <v>235</v>
      </c>
    </row>
    <row r="1026" spans="1:5" x14ac:dyDescent="0.25">
      <c r="A1026">
        <v>117</v>
      </c>
      <c r="B1026">
        <v>292</v>
      </c>
      <c r="C1026">
        <v>2</v>
      </c>
      <c r="D1026">
        <v>2</v>
      </c>
      <c r="E1026" t="s">
        <v>235</v>
      </c>
    </row>
    <row r="1027" spans="1:5" x14ac:dyDescent="0.25">
      <c r="A1027">
        <v>117</v>
      </c>
      <c r="B1027">
        <v>295</v>
      </c>
      <c r="C1027">
        <v>3</v>
      </c>
      <c r="D1027">
        <v>3</v>
      </c>
      <c r="E1027" t="s">
        <v>235</v>
      </c>
    </row>
    <row r="1028" spans="1:5" x14ac:dyDescent="0.25">
      <c r="A1028">
        <v>117</v>
      </c>
      <c r="B1028">
        <v>306</v>
      </c>
      <c r="C1028">
        <v>16</v>
      </c>
      <c r="D1028">
        <v>16</v>
      </c>
      <c r="E1028" t="s">
        <v>235</v>
      </c>
    </row>
    <row r="1029" spans="1:5" x14ac:dyDescent="0.25">
      <c r="A1029">
        <v>117</v>
      </c>
      <c r="B1029">
        <v>317</v>
      </c>
      <c r="C1029">
        <v>2</v>
      </c>
      <c r="D1029">
        <v>2</v>
      </c>
      <c r="E1029" t="s">
        <v>235</v>
      </c>
    </row>
    <row r="1030" spans="1:5" x14ac:dyDescent="0.25">
      <c r="A1030">
        <v>117</v>
      </c>
      <c r="B1030">
        <v>322</v>
      </c>
      <c r="C1030">
        <v>9</v>
      </c>
      <c r="D1030">
        <v>9</v>
      </c>
      <c r="E1030" t="s">
        <v>235</v>
      </c>
    </row>
    <row r="1031" spans="1:5" x14ac:dyDescent="0.25">
      <c r="A1031">
        <v>117</v>
      </c>
      <c r="B1031">
        <v>334</v>
      </c>
      <c r="C1031">
        <v>12</v>
      </c>
      <c r="D1031">
        <v>12</v>
      </c>
      <c r="E1031" t="s">
        <v>235</v>
      </c>
    </row>
    <row r="1032" spans="1:5" x14ac:dyDescent="0.25">
      <c r="A1032">
        <v>117</v>
      </c>
      <c r="B1032">
        <v>345</v>
      </c>
      <c r="C1032">
        <v>14</v>
      </c>
      <c r="D1032">
        <v>14</v>
      </c>
      <c r="E1032" t="s">
        <v>235</v>
      </c>
    </row>
    <row r="1033" spans="1:5" x14ac:dyDescent="0.25">
      <c r="A1033">
        <v>117</v>
      </c>
      <c r="B1033">
        <v>354</v>
      </c>
      <c r="C1033">
        <v>5</v>
      </c>
      <c r="D1033">
        <v>5</v>
      </c>
      <c r="E1033" t="s">
        <v>235</v>
      </c>
    </row>
    <row r="1034" spans="1:5" x14ac:dyDescent="0.25">
      <c r="A1034">
        <v>117</v>
      </c>
      <c r="B1034">
        <v>355</v>
      </c>
      <c r="C1034">
        <v>5</v>
      </c>
      <c r="D1034">
        <v>5</v>
      </c>
      <c r="E1034" t="s">
        <v>235</v>
      </c>
    </row>
    <row r="1035" spans="1:5" x14ac:dyDescent="0.25">
      <c r="A1035">
        <v>117</v>
      </c>
      <c r="B1035">
        <v>358</v>
      </c>
      <c r="C1035">
        <v>4</v>
      </c>
      <c r="D1035">
        <v>4</v>
      </c>
      <c r="E1035" t="s">
        <v>235</v>
      </c>
    </row>
    <row r="1036" spans="1:5" x14ac:dyDescent="0.25">
      <c r="A1036">
        <v>117</v>
      </c>
      <c r="B1036">
        <v>359</v>
      </c>
      <c r="C1036">
        <v>2</v>
      </c>
      <c r="D1036">
        <v>2</v>
      </c>
      <c r="E1036" t="s">
        <v>235</v>
      </c>
    </row>
    <row r="1037" spans="1:5" x14ac:dyDescent="0.25">
      <c r="A1037">
        <v>117</v>
      </c>
      <c r="B1037">
        <v>362</v>
      </c>
      <c r="C1037">
        <v>12</v>
      </c>
      <c r="D1037">
        <v>12</v>
      </c>
      <c r="E1037" t="s">
        <v>235</v>
      </c>
    </row>
    <row r="1038" spans="1:5" x14ac:dyDescent="0.25">
      <c r="A1038">
        <v>117</v>
      </c>
      <c r="B1038">
        <v>365</v>
      </c>
      <c r="C1038">
        <v>10</v>
      </c>
      <c r="D1038">
        <v>10</v>
      </c>
      <c r="E1038" t="s">
        <v>235</v>
      </c>
    </row>
    <row r="1039" spans="1:5" x14ac:dyDescent="0.25">
      <c r="A1039">
        <v>117</v>
      </c>
      <c r="B1039">
        <v>384</v>
      </c>
      <c r="C1039">
        <v>13</v>
      </c>
      <c r="D1039">
        <v>13</v>
      </c>
      <c r="E1039" t="s">
        <v>235</v>
      </c>
    </row>
    <row r="1040" spans="1:5" x14ac:dyDescent="0.25">
      <c r="A1040">
        <v>117</v>
      </c>
      <c r="B1040">
        <v>386</v>
      </c>
      <c r="C1040">
        <v>1</v>
      </c>
      <c r="D1040">
        <v>1</v>
      </c>
      <c r="E1040" t="s">
        <v>235</v>
      </c>
    </row>
    <row r="1041" spans="1:6" x14ac:dyDescent="0.25">
      <c r="A1041">
        <v>117</v>
      </c>
      <c r="B1041">
        <v>390</v>
      </c>
      <c r="C1041">
        <v>1</v>
      </c>
      <c r="D1041">
        <v>1</v>
      </c>
      <c r="E1041" t="s">
        <v>235</v>
      </c>
    </row>
    <row r="1042" spans="1:6" x14ac:dyDescent="0.25">
      <c r="A1042">
        <v>117</v>
      </c>
      <c r="B1042">
        <v>398</v>
      </c>
      <c r="C1042">
        <v>7</v>
      </c>
      <c r="D1042">
        <v>7</v>
      </c>
      <c r="E1042" t="s">
        <v>235</v>
      </c>
    </row>
    <row r="1043" spans="1:6" x14ac:dyDescent="0.25">
      <c r="A1043">
        <v>117</v>
      </c>
      <c r="B1043">
        <v>401</v>
      </c>
      <c r="C1043">
        <v>1</v>
      </c>
      <c r="D1043">
        <v>1</v>
      </c>
      <c r="E1043" t="s">
        <v>235</v>
      </c>
    </row>
    <row r="1044" spans="1:6" x14ac:dyDescent="0.25">
      <c r="A1044">
        <v>117</v>
      </c>
      <c r="B1044">
        <v>402</v>
      </c>
      <c r="C1044">
        <v>6</v>
      </c>
      <c r="D1044">
        <v>6</v>
      </c>
      <c r="E1044" t="s">
        <v>235</v>
      </c>
    </row>
    <row r="1045" spans="1:6" x14ac:dyDescent="0.25">
      <c r="A1045">
        <v>117</v>
      </c>
      <c r="B1045">
        <v>423</v>
      </c>
      <c r="C1045">
        <v>1</v>
      </c>
      <c r="D1045">
        <v>1</v>
      </c>
      <c r="E1045" t="s">
        <v>235</v>
      </c>
    </row>
    <row r="1046" spans="1:6" x14ac:dyDescent="0.25">
      <c r="A1046">
        <v>117</v>
      </c>
      <c r="B1046">
        <v>445</v>
      </c>
      <c r="C1046">
        <v>14</v>
      </c>
      <c r="D1046">
        <v>14</v>
      </c>
      <c r="E1046" t="s">
        <v>235</v>
      </c>
    </row>
    <row r="1047" spans="1:6" x14ac:dyDescent="0.25">
      <c r="A1047">
        <v>117</v>
      </c>
      <c r="B1047">
        <v>452</v>
      </c>
      <c r="C1047">
        <v>3</v>
      </c>
      <c r="D1047">
        <v>3</v>
      </c>
      <c r="E1047" t="s">
        <v>235</v>
      </c>
    </row>
    <row r="1048" spans="1:6" x14ac:dyDescent="0.25">
      <c r="A1048">
        <v>117</v>
      </c>
      <c r="B1048">
        <v>458</v>
      </c>
      <c r="C1048">
        <v>16</v>
      </c>
      <c r="D1048">
        <v>16</v>
      </c>
      <c r="E1048" t="s">
        <v>235</v>
      </c>
    </row>
    <row r="1049" spans="1:6" x14ac:dyDescent="0.25">
      <c r="A1049">
        <v>117</v>
      </c>
      <c r="B1049">
        <v>462</v>
      </c>
      <c r="C1049">
        <v>4</v>
      </c>
      <c r="D1049">
        <v>4</v>
      </c>
      <c r="E1049" t="s">
        <v>235</v>
      </c>
    </row>
    <row r="1050" spans="1:6" x14ac:dyDescent="0.25">
      <c r="A1050">
        <v>117</v>
      </c>
      <c r="B1050">
        <v>467</v>
      </c>
      <c r="C1050">
        <v>4</v>
      </c>
      <c r="D1050">
        <v>4</v>
      </c>
      <c r="E1050" t="s">
        <v>235</v>
      </c>
    </row>
    <row r="1051" spans="1:6" x14ac:dyDescent="0.25">
      <c r="A1051">
        <v>117</v>
      </c>
      <c r="B1051">
        <v>475</v>
      </c>
      <c r="C1051">
        <v>5</v>
      </c>
      <c r="D1051">
        <v>5</v>
      </c>
      <c r="E1051" t="s">
        <v>235</v>
      </c>
      <c r="F1051">
        <f>SUM(D986:D1051)</f>
        <v>391</v>
      </c>
    </row>
    <row r="1052" spans="1:6" x14ac:dyDescent="0.25">
      <c r="A1052">
        <v>95</v>
      </c>
      <c r="B1052">
        <v>96</v>
      </c>
      <c r="C1052">
        <v>1</v>
      </c>
      <c r="D1052">
        <v>1</v>
      </c>
      <c r="E1052" t="s">
        <v>188</v>
      </c>
    </row>
    <row r="1053" spans="1:6" x14ac:dyDescent="0.25">
      <c r="A1053">
        <v>95</v>
      </c>
      <c r="B1053">
        <v>99</v>
      </c>
      <c r="C1053">
        <v>2</v>
      </c>
      <c r="D1053">
        <v>2</v>
      </c>
      <c r="E1053" t="s">
        <v>188</v>
      </c>
    </row>
    <row r="1054" spans="1:6" x14ac:dyDescent="0.25">
      <c r="A1054">
        <v>95</v>
      </c>
      <c r="B1054">
        <v>100</v>
      </c>
      <c r="C1054">
        <v>1</v>
      </c>
      <c r="D1054">
        <v>1</v>
      </c>
      <c r="E1054" t="s">
        <v>188</v>
      </c>
    </row>
    <row r="1055" spans="1:6" x14ac:dyDescent="0.25">
      <c r="A1055">
        <v>95</v>
      </c>
      <c r="B1055">
        <v>102</v>
      </c>
      <c r="C1055">
        <v>1</v>
      </c>
      <c r="D1055">
        <v>1</v>
      </c>
      <c r="E1055" t="s">
        <v>188</v>
      </c>
    </row>
    <row r="1056" spans="1:6" x14ac:dyDescent="0.25">
      <c r="A1056">
        <v>95</v>
      </c>
      <c r="B1056">
        <v>106</v>
      </c>
      <c r="C1056">
        <v>2</v>
      </c>
      <c r="D1056">
        <v>2</v>
      </c>
      <c r="E1056" t="s">
        <v>188</v>
      </c>
    </row>
    <row r="1057" spans="1:5" x14ac:dyDescent="0.25">
      <c r="A1057">
        <v>95</v>
      </c>
      <c r="B1057">
        <v>110</v>
      </c>
      <c r="C1057">
        <v>2</v>
      </c>
      <c r="D1057">
        <v>2</v>
      </c>
      <c r="E1057" t="s">
        <v>188</v>
      </c>
    </row>
    <row r="1058" spans="1:5" x14ac:dyDescent="0.25">
      <c r="A1058">
        <v>95</v>
      </c>
      <c r="B1058">
        <v>115</v>
      </c>
      <c r="C1058">
        <v>1</v>
      </c>
      <c r="D1058">
        <v>1</v>
      </c>
      <c r="E1058" t="s">
        <v>188</v>
      </c>
    </row>
    <row r="1059" spans="1:5" x14ac:dyDescent="0.25">
      <c r="A1059">
        <v>95</v>
      </c>
      <c r="B1059">
        <v>116</v>
      </c>
      <c r="C1059">
        <v>1</v>
      </c>
      <c r="D1059">
        <v>1</v>
      </c>
      <c r="E1059" t="s">
        <v>188</v>
      </c>
    </row>
    <row r="1060" spans="1:5" x14ac:dyDescent="0.25">
      <c r="A1060">
        <v>95</v>
      </c>
      <c r="B1060">
        <v>117</v>
      </c>
      <c r="C1060">
        <v>1</v>
      </c>
      <c r="D1060">
        <v>1</v>
      </c>
      <c r="E1060" t="s">
        <v>188</v>
      </c>
    </row>
    <row r="1061" spans="1:5" x14ac:dyDescent="0.25">
      <c r="A1061">
        <v>95</v>
      </c>
      <c r="B1061">
        <v>120</v>
      </c>
      <c r="C1061">
        <v>2</v>
      </c>
      <c r="D1061">
        <v>2</v>
      </c>
      <c r="E1061" t="s">
        <v>188</v>
      </c>
    </row>
    <row r="1062" spans="1:5" x14ac:dyDescent="0.25">
      <c r="A1062">
        <v>95</v>
      </c>
      <c r="B1062">
        <v>121</v>
      </c>
      <c r="C1062">
        <v>1</v>
      </c>
      <c r="D1062">
        <v>1</v>
      </c>
      <c r="E1062" t="s">
        <v>188</v>
      </c>
    </row>
    <row r="1063" spans="1:5" x14ac:dyDescent="0.25">
      <c r="A1063">
        <v>95</v>
      </c>
      <c r="B1063">
        <v>145</v>
      </c>
      <c r="C1063">
        <v>1</v>
      </c>
      <c r="D1063">
        <v>1</v>
      </c>
      <c r="E1063" t="s">
        <v>188</v>
      </c>
    </row>
    <row r="1064" spans="1:5" x14ac:dyDescent="0.25">
      <c r="A1064">
        <v>95</v>
      </c>
      <c r="B1064">
        <v>158</v>
      </c>
      <c r="C1064">
        <v>1</v>
      </c>
      <c r="D1064">
        <v>1</v>
      </c>
      <c r="E1064" t="s">
        <v>188</v>
      </c>
    </row>
    <row r="1065" spans="1:5" x14ac:dyDescent="0.25">
      <c r="A1065">
        <v>95</v>
      </c>
      <c r="B1065">
        <v>162</v>
      </c>
      <c r="C1065">
        <v>1</v>
      </c>
      <c r="D1065">
        <v>1</v>
      </c>
      <c r="E1065" t="s">
        <v>188</v>
      </c>
    </row>
    <row r="1066" spans="1:5" x14ac:dyDescent="0.25">
      <c r="A1066">
        <v>95</v>
      </c>
      <c r="B1066">
        <v>164</v>
      </c>
      <c r="C1066">
        <v>2</v>
      </c>
      <c r="D1066">
        <v>2</v>
      </c>
      <c r="E1066" t="s">
        <v>188</v>
      </c>
    </row>
    <row r="1067" spans="1:5" x14ac:dyDescent="0.25">
      <c r="A1067">
        <v>95</v>
      </c>
      <c r="B1067">
        <v>211</v>
      </c>
      <c r="C1067">
        <v>2</v>
      </c>
      <c r="D1067">
        <v>2</v>
      </c>
      <c r="E1067" t="s">
        <v>188</v>
      </c>
    </row>
    <row r="1068" spans="1:5" x14ac:dyDescent="0.25">
      <c r="A1068">
        <v>95</v>
      </c>
      <c r="B1068">
        <v>213</v>
      </c>
      <c r="C1068">
        <v>1</v>
      </c>
      <c r="D1068">
        <v>1</v>
      </c>
      <c r="E1068" t="s">
        <v>188</v>
      </c>
    </row>
    <row r="1069" spans="1:5" x14ac:dyDescent="0.25">
      <c r="A1069">
        <v>95</v>
      </c>
      <c r="B1069">
        <v>228</v>
      </c>
      <c r="C1069">
        <v>1</v>
      </c>
      <c r="D1069">
        <v>1</v>
      </c>
      <c r="E1069" t="s">
        <v>188</v>
      </c>
    </row>
    <row r="1070" spans="1:5" x14ac:dyDescent="0.25">
      <c r="A1070">
        <v>95</v>
      </c>
      <c r="B1070">
        <v>229</v>
      </c>
      <c r="C1070">
        <v>1</v>
      </c>
      <c r="D1070">
        <v>1</v>
      </c>
      <c r="E1070" t="s">
        <v>188</v>
      </c>
    </row>
    <row r="1071" spans="1:5" x14ac:dyDescent="0.25">
      <c r="A1071">
        <v>95</v>
      </c>
      <c r="B1071">
        <v>231</v>
      </c>
      <c r="C1071">
        <v>1</v>
      </c>
      <c r="D1071">
        <v>1</v>
      </c>
      <c r="E1071" t="s">
        <v>188</v>
      </c>
    </row>
    <row r="1072" spans="1:5" x14ac:dyDescent="0.25">
      <c r="A1072">
        <v>95</v>
      </c>
      <c r="B1072">
        <v>233</v>
      </c>
      <c r="C1072">
        <v>1</v>
      </c>
      <c r="D1072">
        <v>1</v>
      </c>
      <c r="E1072" t="s">
        <v>188</v>
      </c>
    </row>
    <row r="1073" spans="1:6" x14ac:dyDescent="0.25">
      <c r="A1073">
        <v>95</v>
      </c>
      <c r="B1073">
        <v>234</v>
      </c>
      <c r="C1073">
        <v>1</v>
      </c>
      <c r="D1073">
        <v>1</v>
      </c>
      <c r="E1073" t="s">
        <v>188</v>
      </c>
    </row>
    <row r="1074" spans="1:6" x14ac:dyDescent="0.25">
      <c r="A1074">
        <v>95</v>
      </c>
      <c r="B1074">
        <v>303</v>
      </c>
      <c r="C1074">
        <v>1</v>
      </c>
      <c r="D1074">
        <v>1</v>
      </c>
      <c r="E1074" t="s">
        <v>188</v>
      </c>
    </row>
    <row r="1075" spans="1:6" x14ac:dyDescent="0.25">
      <c r="A1075">
        <v>95</v>
      </c>
      <c r="B1075">
        <v>311</v>
      </c>
      <c r="C1075">
        <v>1</v>
      </c>
      <c r="D1075">
        <v>1</v>
      </c>
      <c r="E1075" t="s">
        <v>188</v>
      </c>
    </row>
    <row r="1076" spans="1:6" x14ac:dyDescent="0.25">
      <c r="A1076">
        <v>95</v>
      </c>
      <c r="B1076">
        <v>312</v>
      </c>
      <c r="C1076">
        <v>1</v>
      </c>
      <c r="D1076">
        <v>1</v>
      </c>
      <c r="E1076" t="s">
        <v>188</v>
      </c>
    </row>
    <row r="1077" spans="1:6" x14ac:dyDescent="0.25">
      <c r="A1077">
        <v>95</v>
      </c>
      <c r="B1077">
        <v>315</v>
      </c>
      <c r="C1077">
        <v>1</v>
      </c>
      <c r="D1077">
        <v>1</v>
      </c>
      <c r="E1077" t="s">
        <v>188</v>
      </c>
    </row>
    <row r="1078" spans="1:6" x14ac:dyDescent="0.25">
      <c r="A1078">
        <v>95</v>
      </c>
      <c r="B1078">
        <v>348</v>
      </c>
      <c r="C1078">
        <v>1</v>
      </c>
      <c r="D1078">
        <v>1</v>
      </c>
      <c r="E1078" t="s">
        <v>188</v>
      </c>
    </row>
    <row r="1079" spans="1:6" x14ac:dyDescent="0.25">
      <c r="A1079">
        <v>95</v>
      </c>
      <c r="B1079">
        <v>352</v>
      </c>
      <c r="C1079">
        <v>3</v>
      </c>
      <c r="D1079">
        <v>3</v>
      </c>
      <c r="E1079" t="s">
        <v>188</v>
      </c>
      <c r="F1079">
        <f>SUM(D1052:D1079)</f>
        <v>36</v>
      </c>
    </row>
    <row r="1080" spans="1:6" x14ac:dyDescent="0.25">
      <c r="A1080">
        <v>82</v>
      </c>
      <c r="B1080">
        <v>66</v>
      </c>
      <c r="C1080">
        <v>2</v>
      </c>
      <c r="D1080">
        <v>2</v>
      </c>
      <c r="E1080" t="s">
        <v>168</v>
      </c>
    </row>
    <row r="1081" spans="1:6" x14ac:dyDescent="0.25">
      <c r="A1081">
        <v>82</v>
      </c>
      <c r="B1081">
        <v>86</v>
      </c>
      <c r="C1081">
        <v>2</v>
      </c>
      <c r="D1081">
        <v>2</v>
      </c>
      <c r="E1081" t="s">
        <v>168</v>
      </c>
    </row>
    <row r="1082" spans="1:6" x14ac:dyDescent="0.25">
      <c r="A1082">
        <v>82</v>
      </c>
      <c r="B1082">
        <v>103</v>
      </c>
      <c r="C1082">
        <v>4</v>
      </c>
      <c r="D1082">
        <v>4</v>
      </c>
      <c r="E1082" t="s">
        <v>168</v>
      </c>
    </row>
    <row r="1083" spans="1:6" x14ac:dyDescent="0.25">
      <c r="A1083">
        <v>82</v>
      </c>
      <c r="B1083">
        <v>104</v>
      </c>
      <c r="C1083">
        <v>5</v>
      </c>
      <c r="D1083">
        <v>5</v>
      </c>
      <c r="E1083" t="s">
        <v>168</v>
      </c>
    </row>
    <row r="1084" spans="1:6" x14ac:dyDescent="0.25">
      <c r="A1084">
        <v>82</v>
      </c>
      <c r="B1084">
        <v>105</v>
      </c>
      <c r="C1084">
        <v>1</v>
      </c>
      <c r="D1084">
        <v>1</v>
      </c>
      <c r="E1084" t="s">
        <v>168</v>
      </c>
    </row>
    <row r="1085" spans="1:6" x14ac:dyDescent="0.25">
      <c r="A1085">
        <v>82</v>
      </c>
      <c r="B1085">
        <v>106</v>
      </c>
      <c r="C1085">
        <v>6</v>
      </c>
      <c r="D1085">
        <v>6</v>
      </c>
      <c r="E1085" t="s">
        <v>168</v>
      </c>
    </row>
    <row r="1086" spans="1:6" x14ac:dyDescent="0.25">
      <c r="A1086">
        <v>82</v>
      </c>
      <c r="B1086">
        <v>107</v>
      </c>
      <c r="C1086">
        <v>6</v>
      </c>
      <c r="D1086">
        <v>6</v>
      </c>
      <c r="E1086" t="s">
        <v>168</v>
      </c>
    </row>
    <row r="1087" spans="1:6" x14ac:dyDescent="0.25">
      <c r="A1087">
        <v>82</v>
      </c>
      <c r="B1087">
        <v>108</v>
      </c>
      <c r="C1087">
        <v>5</v>
      </c>
      <c r="D1087">
        <v>5</v>
      </c>
      <c r="E1087" t="s">
        <v>168</v>
      </c>
    </row>
    <row r="1088" spans="1:6" x14ac:dyDescent="0.25">
      <c r="A1088">
        <v>82</v>
      </c>
      <c r="B1088">
        <v>109</v>
      </c>
      <c r="C1088">
        <v>5</v>
      </c>
      <c r="D1088">
        <v>5</v>
      </c>
      <c r="E1088" t="s">
        <v>168</v>
      </c>
    </row>
    <row r="1089" spans="1:5" x14ac:dyDescent="0.25">
      <c r="A1089">
        <v>82</v>
      </c>
      <c r="B1089">
        <v>110</v>
      </c>
      <c r="C1089">
        <v>7</v>
      </c>
      <c r="D1089">
        <v>7</v>
      </c>
      <c r="E1089" t="s">
        <v>168</v>
      </c>
    </row>
    <row r="1090" spans="1:5" x14ac:dyDescent="0.25">
      <c r="A1090">
        <v>82</v>
      </c>
      <c r="B1090">
        <v>111</v>
      </c>
      <c r="C1090">
        <v>3</v>
      </c>
      <c r="D1090">
        <v>3</v>
      </c>
      <c r="E1090" t="s">
        <v>168</v>
      </c>
    </row>
    <row r="1091" spans="1:5" x14ac:dyDescent="0.25">
      <c r="A1091">
        <v>82</v>
      </c>
      <c r="B1091">
        <v>112</v>
      </c>
      <c r="C1091">
        <v>8</v>
      </c>
      <c r="D1091">
        <v>8</v>
      </c>
      <c r="E1091" t="s">
        <v>168</v>
      </c>
    </row>
    <row r="1092" spans="1:5" x14ac:dyDescent="0.25">
      <c r="A1092">
        <v>82</v>
      </c>
      <c r="B1092">
        <v>113</v>
      </c>
      <c r="C1092">
        <v>7</v>
      </c>
      <c r="D1092">
        <v>7</v>
      </c>
      <c r="E1092" t="s">
        <v>168</v>
      </c>
    </row>
    <row r="1093" spans="1:5" x14ac:dyDescent="0.25">
      <c r="A1093">
        <v>82</v>
      </c>
      <c r="B1093">
        <v>114</v>
      </c>
      <c r="C1093">
        <v>5</v>
      </c>
      <c r="D1093">
        <v>5</v>
      </c>
      <c r="E1093" t="s">
        <v>168</v>
      </c>
    </row>
    <row r="1094" spans="1:5" x14ac:dyDescent="0.25">
      <c r="A1094">
        <v>82</v>
      </c>
      <c r="B1094">
        <v>115</v>
      </c>
      <c r="C1094">
        <v>2</v>
      </c>
      <c r="D1094">
        <v>2</v>
      </c>
      <c r="E1094" t="s">
        <v>168</v>
      </c>
    </row>
    <row r="1095" spans="1:5" x14ac:dyDescent="0.25">
      <c r="A1095">
        <v>82</v>
      </c>
      <c r="B1095">
        <v>116</v>
      </c>
      <c r="C1095">
        <v>5</v>
      </c>
      <c r="D1095">
        <v>5</v>
      </c>
      <c r="E1095" t="s">
        <v>168</v>
      </c>
    </row>
    <row r="1096" spans="1:5" x14ac:dyDescent="0.25">
      <c r="A1096">
        <v>82</v>
      </c>
      <c r="B1096">
        <v>117</v>
      </c>
      <c r="C1096">
        <v>6</v>
      </c>
      <c r="D1096">
        <v>6</v>
      </c>
      <c r="E1096" t="s">
        <v>168</v>
      </c>
    </row>
    <row r="1097" spans="1:5" x14ac:dyDescent="0.25">
      <c r="A1097">
        <v>82</v>
      </c>
      <c r="B1097">
        <v>118</v>
      </c>
      <c r="C1097">
        <v>6</v>
      </c>
      <c r="D1097">
        <v>6</v>
      </c>
      <c r="E1097" t="s">
        <v>168</v>
      </c>
    </row>
    <row r="1098" spans="1:5" x14ac:dyDescent="0.25">
      <c r="A1098">
        <v>82</v>
      </c>
      <c r="B1098">
        <v>119</v>
      </c>
      <c r="C1098">
        <v>6</v>
      </c>
      <c r="D1098">
        <v>6</v>
      </c>
      <c r="E1098" t="s">
        <v>168</v>
      </c>
    </row>
    <row r="1099" spans="1:5" x14ac:dyDescent="0.25">
      <c r="A1099">
        <v>82</v>
      </c>
      <c r="B1099">
        <v>120</v>
      </c>
      <c r="C1099">
        <v>9</v>
      </c>
      <c r="D1099">
        <v>9</v>
      </c>
      <c r="E1099" t="s">
        <v>168</v>
      </c>
    </row>
    <row r="1100" spans="1:5" x14ac:dyDescent="0.25">
      <c r="A1100">
        <v>82</v>
      </c>
      <c r="B1100">
        <v>121</v>
      </c>
      <c r="C1100">
        <v>1</v>
      </c>
      <c r="D1100">
        <v>1</v>
      </c>
      <c r="E1100" t="s">
        <v>168</v>
      </c>
    </row>
    <row r="1101" spans="1:5" x14ac:dyDescent="0.25">
      <c r="A1101">
        <v>82</v>
      </c>
      <c r="B1101">
        <v>122</v>
      </c>
      <c r="C1101">
        <v>3</v>
      </c>
      <c r="D1101">
        <v>3</v>
      </c>
      <c r="E1101" t="s">
        <v>168</v>
      </c>
    </row>
    <row r="1102" spans="1:5" x14ac:dyDescent="0.25">
      <c r="A1102">
        <v>82</v>
      </c>
      <c r="B1102">
        <v>388</v>
      </c>
      <c r="C1102">
        <v>9</v>
      </c>
      <c r="D1102">
        <v>9</v>
      </c>
      <c r="E1102" t="s">
        <v>168</v>
      </c>
    </row>
    <row r="1103" spans="1:5" x14ac:dyDescent="0.25">
      <c r="A1103">
        <v>82</v>
      </c>
      <c r="B1103">
        <v>398</v>
      </c>
      <c r="C1103">
        <v>1</v>
      </c>
      <c r="D1103">
        <v>1</v>
      </c>
      <c r="E1103" t="s">
        <v>168</v>
      </c>
    </row>
    <row r="1104" spans="1:5" x14ac:dyDescent="0.25">
      <c r="A1104">
        <v>82</v>
      </c>
      <c r="B1104">
        <v>401</v>
      </c>
      <c r="C1104">
        <v>2</v>
      </c>
      <c r="D1104">
        <v>2</v>
      </c>
      <c r="E1104" t="s">
        <v>168</v>
      </c>
    </row>
    <row r="1105" spans="1:5" x14ac:dyDescent="0.25">
      <c r="A1105">
        <v>82</v>
      </c>
      <c r="B1105">
        <v>423</v>
      </c>
      <c r="C1105">
        <v>2</v>
      </c>
      <c r="D1105">
        <v>2</v>
      </c>
      <c r="E1105" t="s">
        <v>168</v>
      </c>
    </row>
    <row r="1106" spans="1:5" x14ac:dyDescent="0.25">
      <c r="A1106">
        <v>82</v>
      </c>
      <c r="B1106">
        <v>425</v>
      </c>
      <c r="C1106">
        <v>8</v>
      </c>
      <c r="D1106">
        <v>8</v>
      </c>
      <c r="E1106" t="s">
        <v>168</v>
      </c>
    </row>
    <row r="1107" spans="1:5" x14ac:dyDescent="0.25">
      <c r="A1107">
        <v>82</v>
      </c>
      <c r="B1107">
        <v>433</v>
      </c>
      <c r="C1107">
        <v>6</v>
      </c>
      <c r="D1107">
        <v>6</v>
      </c>
      <c r="E1107" t="s">
        <v>168</v>
      </c>
    </row>
    <row r="1108" spans="1:5" x14ac:dyDescent="0.25">
      <c r="A1108">
        <v>82</v>
      </c>
      <c r="B1108">
        <v>504</v>
      </c>
      <c r="C1108">
        <v>1</v>
      </c>
      <c r="D1108">
        <v>1</v>
      </c>
      <c r="E1108" t="s">
        <v>168</v>
      </c>
    </row>
    <row r="1109" spans="1:5" x14ac:dyDescent="0.25">
      <c r="A1109">
        <v>82</v>
      </c>
      <c r="B1109">
        <v>513</v>
      </c>
      <c r="C1109">
        <v>3</v>
      </c>
      <c r="D1109">
        <v>3</v>
      </c>
      <c r="E1109" t="s">
        <v>168</v>
      </c>
    </row>
    <row r="1110" spans="1:5" x14ac:dyDescent="0.25">
      <c r="A1110">
        <v>82</v>
      </c>
      <c r="B1110">
        <v>514</v>
      </c>
      <c r="C1110">
        <v>9</v>
      </c>
      <c r="D1110">
        <v>9</v>
      </c>
      <c r="E1110" t="s">
        <v>168</v>
      </c>
    </row>
    <row r="1111" spans="1:5" x14ac:dyDescent="0.25">
      <c r="A1111">
        <v>82</v>
      </c>
      <c r="B1111">
        <v>528</v>
      </c>
      <c r="C1111">
        <v>3</v>
      </c>
      <c r="D1111">
        <v>3</v>
      </c>
      <c r="E1111" t="s">
        <v>168</v>
      </c>
    </row>
    <row r="1112" spans="1:5" x14ac:dyDescent="0.25">
      <c r="A1112">
        <v>82</v>
      </c>
      <c r="B1112">
        <v>545</v>
      </c>
      <c r="C1112">
        <v>7</v>
      </c>
      <c r="D1112">
        <v>7</v>
      </c>
      <c r="E1112" t="s">
        <v>168</v>
      </c>
    </row>
    <row r="1113" spans="1:5" x14ac:dyDescent="0.25">
      <c r="A1113">
        <v>82</v>
      </c>
      <c r="B1113">
        <v>546</v>
      </c>
      <c r="C1113">
        <v>6</v>
      </c>
      <c r="D1113">
        <v>6</v>
      </c>
      <c r="E1113" t="s">
        <v>168</v>
      </c>
    </row>
    <row r="1114" spans="1:5" x14ac:dyDescent="0.25">
      <c r="A1114">
        <v>82</v>
      </c>
      <c r="B1114">
        <v>551</v>
      </c>
      <c r="C1114">
        <v>6</v>
      </c>
      <c r="D1114">
        <v>6</v>
      </c>
      <c r="E1114" t="s">
        <v>168</v>
      </c>
    </row>
    <row r="1115" spans="1:5" x14ac:dyDescent="0.25">
      <c r="A1115">
        <v>82</v>
      </c>
      <c r="B1115">
        <v>571</v>
      </c>
      <c r="C1115">
        <v>3</v>
      </c>
      <c r="D1115">
        <v>3</v>
      </c>
      <c r="E1115" t="s">
        <v>168</v>
      </c>
    </row>
    <row r="1116" spans="1:5" x14ac:dyDescent="0.25">
      <c r="A1116">
        <v>82</v>
      </c>
      <c r="B1116">
        <v>578</v>
      </c>
      <c r="C1116">
        <v>1</v>
      </c>
      <c r="D1116">
        <v>1</v>
      </c>
      <c r="E1116" t="s">
        <v>168</v>
      </c>
    </row>
    <row r="1117" spans="1:5" x14ac:dyDescent="0.25">
      <c r="A1117">
        <v>82</v>
      </c>
      <c r="B1117">
        <v>591</v>
      </c>
      <c r="C1117">
        <v>4</v>
      </c>
      <c r="D1117">
        <v>4</v>
      </c>
      <c r="E1117" t="s">
        <v>168</v>
      </c>
    </row>
    <row r="1118" spans="1:5" x14ac:dyDescent="0.25">
      <c r="A1118">
        <v>82</v>
      </c>
      <c r="B1118">
        <v>599</v>
      </c>
      <c r="C1118">
        <v>1</v>
      </c>
      <c r="D1118">
        <v>1</v>
      </c>
      <c r="E1118" t="s">
        <v>168</v>
      </c>
    </row>
    <row r="1119" spans="1:5" x14ac:dyDescent="0.25">
      <c r="A1119">
        <v>82</v>
      </c>
      <c r="B1119">
        <v>612</v>
      </c>
      <c r="C1119">
        <v>2</v>
      </c>
      <c r="D1119">
        <v>2</v>
      </c>
      <c r="E1119" t="s">
        <v>168</v>
      </c>
    </row>
    <row r="1120" spans="1:5" x14ac:dyDescent="0.25">
      <c r="A1120">
        <v>82</v>
      </c>
      <c r="B1120">
        <v>617</v>
      </c>
      <c r="C1120">
        <v>3</v>
      </c>
      <c r="D1120">
        <v>3</v>
      </c>
      <c r="E1120" t="s">
        <v>168</v>
      </c>
    </row>
    <row r="1121" spans="1:5" x14ac:dyDescent="0.25">
      <c r="A1121">
        <v>82</v>
      </c>
      <c r="B1121">
        <v>622</v>
      </c>
      <c r="C1121">
        <v>9</v>
      </c>
      <c r="D1121">
        <v>9</v>
      </c>
      <c r="E1121" t="s">
        <v>168</v>
      </c>
    </row>
    <row r="1122" spans="1:5" x14ac:dyDescent="0.25">
      <c r="A1122">
        <v>82</v>
      </c>
      <c r="B1122">
        <v>623</v>
      </c>
      <c r="C1122">
        <v>7</v>
      </c>
      <c r="D1122">
        <v>7</v>
      </c>
      <c r="E1122" t="s">
        <v>168</v>
      </c>
    </row>
    <row r="1123" spans="1:5" x14ac:dyDescent="0.25">
      <c r="A1123">
        <v>82</v>
      </c>
      <c r="B1123">
        <v>629</v>
      </c>
      <c r="C1123">
        <v>4</v>
      </c>
      <c r="D1123">
        <v>4</v>
      </c>
      <c r="E1123" t="s">
        <v>168</v>
      </c>
    </row>
    <row r="1124" spans="1:5" x14ac:dyDescent="0.25">
      <c r="A1124">
        <v>82</v>
      </c>
      <c r="B1124">
        <v>630</v>
      </c>
      <c r="C1124">
        <v>2</v>
      </c>
      <c r="D1124">
        <v>2</v>
      </c>
      <c r="E1124" t="s">
        <v>168</v>
      </c>
    </row>
    <row r="1125" spans="1:5" x14ac:dyDescent="0.25">
      <c r="A1125">
        <v>82</v>
      </c>
      <c r="B1125">
        <v>631</v>
      </c>
      <c r="C1125">
        <v>6</v>
      </c>
      <c r="D1125">
        <v>6</v>
      </c>
      <c r="E1125" t="s">
        <v>168</v>
      </c>
    </row>
    <row r="1126" spans="1:5" x14ac:dyDescent="0.25">
      <c r="A1126">
        <v>82</v>
      </c>
      <c r="B1126">
        <v>633</v>
      </c>
      <c r="C1126">
        <v>1</v>
      </c>
      <c r="D1126">
        <v>1</v>
      </c>
      <c r="E1126" t="s">
        <v>168</v>
      </c>
    </row>
    <row r="1127" spans="1:5" x14ac:dyDescent="0.25">
      <c r="A1127">
        <v>82</v>
      </c>
      <c r="B1127">
        <v>634</v>
      </c>
      <c r="C1127">
        <v>2</v>
      </c>
      <c r="D1127">
        <v>2</v>
      </c>
      <c r="E1127" t="s">
        <v>168</v>
      </c>
    </row>
    <row r="1128" spans="1:5" x14ac:dyDescent="0.25">
      <c r="A1128">
        <v>82</v>
      </c>
      <c r="B1128">
        <v>645</v>
      </c>
      <c r="C1128">
        <v>5</v>
      </c>
      <c r="D1128">
        <v>5</v>
      </c>
      <c r="E1128" t="s">
        <v>168</v>
      </c>
    </row>
    <row r="1129" spans="1:5" x14ac:dyDescent="0.25">
      <c r="A1129">
        <v>82</v>
      </c>
      <c r="B1129">
        <v>649</v>
      </c>
      <c r="C1129">
        <v>14</v>
      </c>
      <c r="D1129">
        <v>14</v>
      </c>
      <c r="E1129" t="s">
        <v>168</v>
      </c>
    </row>
    <row r="1130" spans="1:5" x14ac:dyDescent="0.25">
      <c r="A1130">
        <v>82</v>
      </c>
      <c r="B1130">
        <v>650</v>
      </c>
      <c r="C1130">
        <v>3</v>
      </c>
      <c r="D1130">
        <v>3</v>
      </c>
      <c r="E1130" t="s">
        <v>168</v>
      </c>
    </row>
    <row r="1131" spans="1:5" x14ac:dyDescent="0.25">
      <c r="A1131">
        <v>82</v>
      </c>
      <c r="B1131">
        <v>652</v>
      </c>
      <c r="C1131">
        <v>1</v>
      </c>
      <c r="D1131">
        <v>1</v>
      </c>
      <c r="E1131" t="s">
        <v>168</v>
      </c>
    </row>
    <row r="1132" spans="1:5" x14ac:dyDescent="0.25">
      <c r="A1132">
        <v>82</v>
      </c>
      <c r="B1132">
        <v>653</v>
      </c>
      <c r="C1132">
        <v>2</v>
      </c>
      <c r="D1132">
        <v>2</v>
      </c>
      <c r="E1132" t="s">
        <v>168</v>
      </c>
    </row>
    <row r="1133" spans="1:5" x14ac:dyDescent="0.25">
      <c r="A1133">
        <v>82</v>
      </c>
      <c r="B1133">
        <v>662</v>
      </c>
      <c r="C1133">
        <v>7</v>
      </c>
      <c r="D1133">
        <v>7</v>
      </c>
      <c r="E1133" t="s">
        <v>168</v>
      </c>
    </row>
    <row r="1134" spans="1:5" x14ac:dyDescent="0.25">
      <c r="A1134">
        <v>82</v>
      </c>
      <c r="B1134">
        <v>665</v>
      </c>
      <c r="C1134">
        <v>1</v>
      </c>
      <c r="D1134">
        <v>1</v>
      </c>
      <c r="E1134" t="s">
        <v>168</v>
      </c>
    </row>
    <row r="1135" spans="1:5" x14ac:dyDescent="0.25">
      <c r="A1135">
        <v>82</v>
      </c>
      <c r="B1135">
        <v>667</v>
      </c>
      <c r="C1135">
        <v>8</v>
      </c>
      <c r="D1135">
        <v>8</v>
      </c>
      <c r="E1135" t="s">
        <v>168</v>
      </c>
    </row>
    <row r="1136" spans="1:5" x14ac:dyDescent="0.25">
      <c r="A1136">
        <v>82</v>
      </c>
      <c r="B1136">
        <v>668</v>
      </c>
      <c r="C1136">
        <v>10</v>
      </c>
      <c r="D1136">
        <v>10</v>
      </c>
      <c r="E1136" t="s">
        <v>168</v>
      </c>
    </row>
    <row r="1137" spans="1:5" x14ac:dyDescent="0.25">
      <c r="A1137">
        <v>82</v>
      </c>
      <c r="B1137">
        <v>669</v>
      </c>
      <c r="C1137">
        <v>15</v>
      </c>
      <c r="D1137">
        <v>15</v>
      </c>
      <c r="E1137" t="s">
        <v>168</v>
      </c>
    </row>
    <row r="1138" spans="1:5" x14ac:dyDescent="0.25">
      <c r="A1138">
        <v>82</v>
      </c>
      <c r="B1138">
        <v>670</v>
      </c>
      <c r="C1138">
        <v>14</v>
      </c>
      <c r="D1138">
        <v>14</v>
      </c>
      <c r="E1138" t="s">
        <v>168</v>
      </c>
    </row>
    <row r="1139" spans="1:5" x14ac:dyDescent="0.25">
      <c r="A1139">
        <v>82</v>
      </c>
      <c r="B1139">
        <v>671</v>
      </c>
      <c r="C1139">
        <v>17</v>
      </c>
      <c r="D1139">
        <v>17</v>
      </c>
      <c r="E1139" t="s">
        <v>168</v>
      </c>
    </row>
    <row r="1140" spans="1:5" x14ac:dyDescent="0.25">
      <c r="A1140">
        <v>82</v>
      </c>
      <c r="B1140">
        <v>672</v>
      </c>
      <c r="C1140">
        <v>7</v>
      </c>
      <c r="D1140">
        <v>7</v>
      </c>
      <c r="E1140" t="s">
        <v>168</v>
      </c>
    </row>
    <row r="1141" spans="1:5" x14ac:dyDescent="0.25">
      <c r="A1141">
        <v>82</v>
      </c>
      <c r="B1141">
        <v>673</v>
      </c>
      <c r="C1141">
        <v>13</v>
      </c>
      <c r="D1141">
        <v>13</v>
      </c>
      <c r="E1141" t="s">
        <v>168</v>
      </c>
    </row>
    <row r="1142" spans="1:5" x14ac:dyDescent="0.25">
      <c r="A1142">
        <v>82</v>
      </c>
      <c r="B1142">
        <v>693</v>
      </c>
      <c r="C1142">
        <v>6</v>
      </c>
      <c r="D1142">
        <v>6</v>
      </c>
      <c r="E1142" t="s">
        <v>168</v>
      </c>
    </row>
    <row r="1143" spans="1:5" x14ac:dyDescent="0.25">
      <c r="A1143">
        <v>82</v>
      </c>
      <c r="B1143">
        <v>694</v>
      </c>
      <c r="C1143">
        <v>2</v>
      </c>
      <c r="D1143">
        <v>2</v>
      </c>
      <c r="E1143" t="s">
        <v>168</v>
      </c>
    </row>
    <row r="1144" spans="1:5" x14ac:dyDescent="0.25">
      <c r="A1144">
        <v>82</v>
      </c>
      <c r="B1144">
        <v>697</v>
      </c>
      <c r="C1144">
        <v>4</v>
      </c>
      <c r="D1144">
        <v>4</v>
      </c>
      <c r="E1144" t="s">
        <v>168</v>
      </c>
    </row>
    <row r="1145" spans="1:5" x14ac:dyDescent="0.25">
      <c r="A1145">
        <v>82</v>
      </c>
      <c r="B1145">
        <v>698</v>
      </c>
      <c r="C1145">
        <v>1</v>
      </c>
      <c r="D1145">
        <v>1</v>
      </c>
      <c r="E1145" t="s">
        <v>168</v>
      </c>
    </row>
    <row r="1146" spans="1:5" x14ac:dyDescent="0.25">
      <c r="A1146">
        <v>114</v>
      </c>
      <c r="B1146">
        <v>175</v>
      </c>
      <c r="C1146">
        <v>22</v>
      </c>
      <c r="D1146">
        <v>22</v>
      </c>
      <c r="E1146" t="s">
        <v>168</v>
      </c>
    </row>
    <row r="1147" spans="1:5" x14ac:dyDescent="0.25">
      <c r="A1147">
        <v>114</v>
      </c>
      <c r="B1147">
        <v>176</v>
      </c>
      <c r="C1147">
        <v>17</v>
      </c>
      <c r="D1147">
        <v>17</v>
      </c>
      <c r="E1147" t="s">
        <v>168</v>
      </c>
    </row>
    <row r="1148" spans="1:5" x14ac:dyDescent="0.25">
      <c r="A1148">
        <v>114</v>
      </c>
      <c r="B1148">
        <v>177</v>
      </c>
      <c r="C1148">
        <v>10</v>
      </c>
      <c r="D1148">
        <v>10</v>
      </c>
      <c r="E1148" t="s">
        <v>168</v>
      </c>
    </row>
    <row r="1149" spans="1:5" x14ac:dyDescent="0.25">
      <c r="A1149">
        <v>114</v>
      </c>
      <c r="B1149">
        <v>178</v>
      </c>
      <c r="C1149">
        <v>12</v>
      </c>
      <c r="D1149">
        <v>12</v>
      </c>
      <c r="E1149" t="s">
        <v>168</v>
      </c>
    </row>
    <row r="1150" spans="1:5" x14ac:dyDescent="0.25">
      <c r="A1150">
        <v>114</v>
      </c>
      <c r="B1150">
        <v>179</v>
      </c>
      <c r="C1150">
        <v>13</v>
      </c>
      <c r="D1150">
        <v>13</v>
      </c>
      <c r="E1150" t="s">
        <v>168</v>
      </c>
    </row>
    <row r="1151" spans="1:5" x14ac:dyDescent="0.25">
      <c r="A1151">
        <v>114</v>
      </c>
      <c r="B1151">
        <v>180</v>
      </c>
      <c r="C1151">
        <v>20</v>
      </c>
      <c r="D1151">
        <v>20</v>
      </c>
      <c r="E1151" t="s">
        <v>168</v>
      </c>
    </row>
    <row r="1152" spans="1:5" x14ac:dyDescent="0.25">
      <c r="A1152">
        <v>114</v>
      </c>
      <c r="B1152">
        <v>181</v>
      </c>
      <c r="C1152">
        <v>24</v>
      </c>
      <c r="D1152">
        <v>24</v>
      </c>
      <c r="E1152" t="s">
        <v>168</v>
      </c>
    </row>
    <row r="1153" spans="1:6" x14ac:dyDescent="0.25">
      <c r="A1153">
        <v>114</v>
      </c>
      <c r="B1153">
        <v>256</v>
      </c>
      <c r="C1153">
        <v>17</v>
      </c>
      <c r="D1153">
        <v>17</v>
      </c>
      <c r="E1153" t="s">
        <v>168</v>
      </c>
      <c r="F1153">
        <f>SUM(D1080:D1153)</f>
        <v>477</v>
      </c>
    </row>
    <row r="1154" spans="1:6" x14ac:dyDescent="0.25">
      <c r="A1154">
        <v>113</v>
      </c>
      <c r="B1154">
        <v>71</v>
      </c>
      <c r="C1154">
        <v>2</v>
      </c>
      <c r="D1154">
        <v>2</v>
      </c>
      <c r="E1154" t="s">
        <v>201</v>
      </c>
    </row>
    <row r="1155" spans="1:6" x14ac:dyDescent="0.25">
      <c r="A1155">
        <v>113</v>
      </c>
      <c r="B1155">
        <v>308</v>
      </c>
      <c r="C1155">
        <v>1</v>
      </c>
      <c r="D1155">
        <v>1</v>
      </c>
      <c r="E1155" t="s">
        <v>201</v>
      </c>
      <c r="F1155">
        <v>3</v>
      </c>
    </row>
    <row r="1156" spans="1:6" x14ac:dyDescent="0.25">
      <c r="A1156">
        <v>1</v>
      </c>
      <c r="B1156">
        <v>671</v>
      </c>
      <c r="C1156">
        <v>2</v>
      </c>
      <c r="D1156">
        <v>2</v>
      </c>
      <c r="E1156" t="s">
        <v>153</v>
      </c>
    </row>
    <row r="1157" spans="1:6" x14ac:dyDescent="0.25">
      <c r="A1157">
        <v>1</v>
      </c>
      <c r="B1157">
        <v>681</v>
      </c>
      <c r="C1157">
        <v>1</v>
      </c>
      <c r="D1157">
        <v>1</v>
      </c>
      <c r="E1157" t="s">
        <v>153</v>
      </c>
    </row>
    <row r="1158" spans="1:6" x14ac:dyDescent="0.25">
      <c r="A1158">
        <v>1</v>
      </c>
      <c r="B1158">
        <v>788</v>
      </c>
      <c r="C1158">
        <v>1</v>
      </c>
      <c r="D1158">
        <v>1</v>
      </c>
      <c r="E1158" t="s">
        <v>153</v>
      </c>
    </row>
    <row r="1159" spans="1:6" x14ac:dyDescent="0.25">
      <c r="A1159">
        <v>1</v>
      </c>
      <c r="B1159">
        <v>832</v>
      </c>
      <c r="C1159">
        <v>1</v>
      </c>
      <c r="D1159">
        <v>1</v>
      </c>
      <c r="E1159" t="s">
        <v>153</v>
      </c>
    </row>
    <row r="1160" spans="1:6" x14ac:dyDescent="0.25">
      <c r="A1160">
        <v>1</v>
      </c>
      <c r="B1160">
        <v>869</v>
      </c>
      <c r="C1160">
        <v>1</v>
      </c>
      <c r="D1160">
        <v>1</v>
      </c>
      <c r="E1160" t="s">
        <v>153</v>
      </c>
    </row>
    <row r="1161" spans="1:6" x14ac:dyDescent="0.25">
      <c r="A1161">
        <v>1</v>
      </c>
      <c r="B1161">
        <v>885</v>
      </c>
      <c r="C1161">
        <v>1</v>
      </c>
      <c r="D1161">
        <v>1</v>
      </c>
      <c r="E1161" t="s">
        <v>153</v>
      </c>
    </row>
    <row r="1162" spans="1:6" x14ac:dyDescent="0.25">
      <c r="A1162">
        <v>1</v>
      </c>
      <c r="B1162">
        <v>905</v>
      </c>
      <c r="C1162">
        <v>1</v>
      </c>
      <c r="D1162">
        <v>1</v>
      </c>
      <c r="E1162" t="s">
        <v>153</v>
      </c>
    </row>
    <row r="1163" spans="1:6" x14ac:dyDescent="0.25">
      <c r="A1163">
        <v>1</v>
      </c>
      <c r="B1163">
        <v>912</v>
      </c>
      <c r="C1163">
        <v>1</v>
      </c>
      <c r="D1163">
        <v>1</v>
      </c>
      <c r="E1163" t="s">
        <v>153</v>
      </c>
    </row>
    <row r="1164" spans="1:6" x14ac:dyDescent="0.25">
      <c r="A1164">
        <v>1</v>
      </c>
      <c r="B1164">
        <v>926</v>
      </c>
      <c r="C1164">
        <v>1</v>
      </c>
      <c r="D1164">
        <v>1</v>
      </c>
      <c r="E1164" t="s">
        <v>153</v>
      </c>
      <c r="F1164">
        <f>SUM(D1156:D1164)</f>
        <v>10</v>
      </c>
    </row>
    <row r="1165" spans="1:6" x14ac:dyDescent="0.25">
      <c r="A1165">
        <v>83</v>
      </c>
      <c r="B1165">
        <v>53</v>
      </c>
      <c r="C1165">
        <v>4</v>
      </c>
      <c r="D1165">
        <v>4</v>
      </c>
      <c r="E1165" t="s">
        <v>174</v>
      </c>
    </row>
    <row r="1166" spans="1:6" x14ac:dyDescent="0.25">
      <c r="A1166">
        <v>83</v>
      </c>
      <c r="B1166">
        <v>54</v>
      </c>
      <c r="C1166">
        <v>1</v>
      </c>
      <c r="D1166">
        <v>1</v>
      </c>
      <c r="E1166" t="s">
        <v>174</v>
      </c>
    </row>
    <row r="1167" spans="1:6" x14ac:dyDescent="0.25">
      <c r="A1167">
        <v>83</v>
      </c>
      <c r="B1167">
        <v>55</v>
      </c>
      <c r="C1167">
        <v>2</v>
      </c>
      <c r="D1167">
        <v>2</v>
      </c>
      <c r="E1167" t="s">
        <v>174</v>
      </c>
    </row>
    <row r="1168" spans="1:6" x14ac:dyDescent="0.25">
      <c r="A1168">
        <v>83</v>
      </c>
      <c r="B1168">
        <v>56</v>
      </c>
      <c r="C1168">
        <v>3</v>
      </c>
      <c r="D1168">
        <v>3</v>
      </c>
      <c r="E1168" t="s">
        <v>174</v>
      </c>
    </row>
    <row r="1169" spans="1:5" x14ac:dyDescent="0.25">
      <c r="A1169">
        <v>83</v>
      </c>
      <c r="B1169">
        <v>65</v>
      </c>
      <c r="C1169">
        <v>1</v>
      </c>
      <c r="D1169">
        <v>1</v>
      </c>
      <c r="E1169" t="s">
        <v>174</v>
      </c>
    </row>
    <row r="1170" spans="1:5" x14ac:dyDescent="0.25">
      <c r="A1170">
        <v>83</v>
      </c>
      <c r="B1170">
        <v>66</v>
      </c>
      <c r="C1170">
        <v>3</v>
      </c>
      <c r="D1170">
        <v>3</v>
      </c>
      <c r="E1170" t="s">
        <v>174</v>
      </c>
    </row>
    <row r="1171" spans="1:5" x14ac:dyDescent="0.25">
      <c r="A1171">
        <v>83</v>
      </c>
      <c r="B1171">
        <v>67</v>
      </c>
      <c r="C1171">
        <v>3</v>
      </c>
      <c r="D1171">
        <v>3</v>
      </c>
      <c r="E1171" t="s">
        <v>174</v>
      </c>
    </row>
    <row r="1172" spans="1:5" x14ac:dyDescent="0.25">
      <c r="A1172">
        <v>83</v>
      </c>
      <c r="B1172">
        <v>68</v>
      </c>
      <c r="C1172">
        <v>2</v>
      </c>
      <c r="D1172">
        <v>2</v>
      </c>
      <c r="E1172" t="s">
        <v>174</v>
      </c>
    </row>
    <row r="1173" spans="1:5" x14ac:dyDescent="0.25">
      <c r="A1173">
        <v>83</v>
      </c>
      <c r="B1173">
        <v>319</v>
      </c>
      <c r="C1173">
        <v>1</v>
      </c>
      <c r="D1173">
        <v>1</v>
      </c>
      <c r="E1173" t="s">
        <v>174</v>
      </c>
    </row>
    <row r="1174" spans="1:5" x14ac:dyDescent="0.25">
      <c r="A1174">
        <v>83</v>
      </c>
      <c r="B1174">
        <v>320</v>
      </c>
      <c r="C1174">
        <v>5</v>
      </c>
      <c r="D1174">
        <v>5</v>
      </c>
      <c r="E1174" t="s">
        <v>174</v>
      </c>
    </row>
    <row r="1175" spans="1:5" x14ac:dyDescent="0.25">
      <c r="A1175">
        <v>83</v>
      </c>
      <c r="B1175">
        <v>321</v>
      </c>
      <c r="C1175">
        <v>1</v>
      </c>
      <c r="D1175">
        <v>1</v>
      </c>
      <c r="E1175" t="s">
        <v>174</v>
      </c>
    </row>
    <row r="1176" spans="1:5" x14ac:dyDescent="0.25">
      <c r="A1176">
        <v>83</v>
      </c>
      <c r="B1176">
        <v>322</v>
      </c>
      <c r="C1176">
        <v>1</v>
      </c>
      <c r="D1176">
        <v>1</v>
      </c>
      <c r="E1176" t="s">
        <v>174</v>
      </c>
    </row>
    <row r="1177" spans="1:5" x14ac:dyDescent="0.25">
      <c r="A1177">
        <v>83</v>
      </c>
      <c r="B1177">
        <v>324</v>
      </c>
      <c r="C1177">
        <v>2</v>
      </c>
      <c r="D1177">
        <v>2</v>
      </c>
      <c r="E1177" t="s">
        <v>174</v>
      </c>
    </row>
    <row r="1178" spans="1:5" x14ac:dyDescent="0.25">
      <c r="A1178">
        <v>83</v>
      </c>
      <c r="B1178">
        <v>325</v>
      </c>
      <c r="C1178">
        <v>2</v>
      </c>
      <c r="D1178">
        <v>2</v>
      </c>
      <c r="E1178" t="s">
        <v>174</v>
      </c>
    </row>
    <row r="1179" spans="1:5" x14ac:dyDescent="0.25">
      <c r="A1179">
        <v>83</v>
      </c>
      <c r="B1179">
        <v>456</v>
      </c>
      <c r="C1179">
        <v>1</v>
      </c>
      <c r="D1179">
        <v>1</v>
      </c>
      <c r="E1179" t="s">
        <v>174</v>
      </c>
    </row>
    <row r="1180" spans="1:5" x14ac:dyDescent="0.25">
      <c r="A1180">
        <v>83</v>
      </c>
      <c r="B1180">
        <v>507</v>
      </c>
      <c r="C1180">
        <v>2</v>
      </c>
      <c r="D1180">
        <v>2</v>
      </c>
      <c r="E1180" t="s">
        <v>174</v>
      </c>
    </row>
    <row r="1181" spans="1:5" x14ac:dyDescent="0.25">
      <c r="A1181">
        <v>83</v>
      </c>
      <c r="B1181">
        <v>542</v>
      </c>
      <c r="C1181">
        <v>2</v>
      </c>
      <c r="D1181">
        <v>2</v>
      </c>
      <c r="E1181" t="s">
        <v>174</v>
      </c>
    </row>
    <row r="1182" spans="1:5" x14ac:dyDescent="0.25">
      <c r="A1182">
        <v>83</v>
      </c>
      <c r="B1182">
        <v>543</v>
      </c>
      <c r="C1182">
        <v>2</v>
      </c>
      <c r="D1182">
        <v>2</v>
      </c>
      <c r="E1182" t="s">
        <v>174</v>
      </c>
    </row>
    <row r="1183" spans="1:5" x14ac:dyDescent="0.25">
      <c r="A1183">
        <v>83</v>
      </c>
      <c r="B1183">
        <v>591</v>
      </c>
      <c r="C1183">
        <v>2</v>
      </c>
      <c r="D1183">
        <v>2</v>
      </c>
      <c r="E1183" t="s">
        <v>174</v>
      </c>
    </row>
    <row r="1184" spans="1:5" x14ac:dyDescent="0.25">
      <c r="A1184">
        <v>83</v>
      </c>
      <c r="B1184">
        <v>611</v>
      </c>
      <c r="C1184">
        <v>1</v>
      </c>
      <c r="D1184">
        <v>1</v>
      </c>
      <c r="E1184" t="s">
        <v>174</v>
      </c>
    </row>
    <row r="1185" spans="1:6" x14ac:dyDescent="0.25">
      <c r="A1185">
        <v>83</v>
      </c>
      <c r="B1185">
        <v>728</v>
      </c>
      <c r="C1185">
        <v>1</v>
      </c>
      <c r="D1185">
        <v>1</v>
      </c>
      <c r="E1185" t="s">
        <v>174</v>
      </c>
    </row>
    <row r="1186" spans="1:6" x14ac:dyDescent="0.25">
      <c r="A1186">
        <v>83</v>
      </c>
      <c r="B1186">
        <v>750</v>
      </c>
      <c r="C1186">
        <v>3</v>
      </c>
      <c r="D1186">
        <v>3</v>
      </c>
      <c r="E1186" t="s">
        <v>174</v>
      </c>
    </row>
    <row r="1187" spans="1:6" x14ac:dyDescent="0.25">
      <c r="A1187">
        <v>83</v>
      </c>
      <c r="B1187">
        <v>762</v>
      </c>
      <c r="C1187">
        <v>3</v>
      </c>
      <c r="D1187">
        <v>3</v>
      </c>
      <c r="E1187" t="s">
        <v>174</v>
      </c>
      <c r="F1187">
        <f>SUM(D1165:D1187)</f>
        <v>48</v>
      </c>
    </row>
    <row r="1188" spans="1:6" x14ac:dyDescent="0.25">
      <c r="A1188">
        <v>118</v>
      </c>
      <c r="B1188">
        <v>576</v>
      </c>
      <c r="C1188">
        <v>1</v>
      </c>
      <c r="D1188">
        <v>1</v>
      </c>
      <c r="E1188" t="s">
        <v>223</v>
      </c>
    </row>
    <row r="1189" spans="1:6" x14ac:dyDescent="0.25">
      <c r="A1189">
        <v>118</v>
      </c>
      <c r="B1189">
        <v>577</v>
      </c>
      <c r="C1189">
        <v>6</v>
      </c>
      <c r="D1189">
        <v>6</v>
      </c>
      <c r="E1189" t="s">
        <v>223</v>
      </c>
    </row>
    <row r="1190" spans="1:6" x14ac:dyDescent="0.25">
      <c r="A1190">
        <v>118</v>
      </c>
      <c r="B1190">
        <v>578</v>
      </c>
      <c r="C1190">
        <v>1</v>
      </c>
      <c r="D1190">
        <v>1</v>
      </c>
      <c r="E1190" t="s">
        <v>223</v>
      </c>
    </row>
    <row r="1191" spans="1:6" x14ac:dyDescent="0.25">
      <c r="A1191">
        <v>118</v>
      </c>
      <c r="B1191">
        <v>579</v>
      </c>
      <c r="C1191">
        <v>2</v>
      </c>
      <c r="D1191">
        <v>2</v>
      </c>
      <c r="E1191" t="s">
        <v>223</v>
      </c>
    </row>
    <row r="1192" spans="1:6" x14ac:dyDescent="0.25">
      <c r="A1192">
        <v>118</v>
      </c>
      <c r="B1192">
        <v>580</v>
      </c>
      <c r="C1192">
        <v>2</v>
      </c>
      <c r="D1192">
        <v>2</v>
      </c>
      <c r="E1192" t="s">
        <v>223</v>
      </c>
    </row>
    <row r="1193" spans="1:6" x14ac:dyDescent="0.25">
      <c r="A1193">
        <v>118</v>
      </c>
      <c r="B1193">
        <v>581</v>
      </c>
      <c r="C1193">
        <v>4</v>
      </c>
      <c r="D1193">
        <v>4</v>
      </c>
      <c r="E1193" t="s">
        <v>223</v>
      </c>
    </row>
    <row r="1194" spans="1:6" x14ac:dyDescent="0.25">
      <c r="A1194">
        <v>118</v>
      </c>
      <c r="B1194">
        <v>582</v>
      </c>
      <c r="C1194">
        <v>1</v>
      </c>
      <c r="D1194">
        <v>1</v>
      </c>
      <c r="E1194" t="s">
        <v>223</v>
      </c>
    </row>
    <row r="1195" spans="1:6" x14ac:dyDescent="0.25">
      <c r="A1195">
        <v>118</v>
      </c>
      <c r="B1195">
        <v>584</v>
      </c>
      <c r="C1195">
        <v>1</v>
      </c>
      <c r="D1195">
        <v>1</v>
      </c>
      <c r="E1195" t="s">
        <v>223</v>
      </c>
    </row>
    <row r="1196" spans="1:6" x14ac:dyDescent="0.25">
      <c r="A1196">
        <v>118</v>
      </c>
      <c r="B1196">
        <v>585</v>
      </c>
      <c r="C1196">
        <v>3</v>
      </c>
      <c r="D1196">
        <v>3</v>
      </c>
      <c r="E1196" t="s">
        <v>223</v>
      </c>
    </row>
    <row r="1197" spans="1:6" x14ac:dyDescent="0.25">
      <c r="A1197">
        <v>118</v>
      </c>
      <c r="B1197">
        <v>589</v>
      </c>
      <c r="C1197">
        <v>4</v>
      </c>
      <c r="D1197">
        <v>4</v>
      </c>
      <c r="E1197" t="s">
        <v>223</v>
      </c>
    </row>
    <row r="1198" spans="1:6" x14ac:dyDescent="0.25">
      <c r="A1198">
        <v>118</v>
      </c>
      <c r="B1198">
        <v>590</v>
      </c>
      <c r="C1198">
        <v>2</v>
      </c>
      <c r="D1198">
        <v>2</v>
      </c>
      <c r="E1198" t="s">
        <v>223</v>
      </c>
    </row>
    <row r="1199" spans="1:6" x14ac:dyDescent="0.25">
      <c r="A1199">
        <v>118</v>
      </c>
      <c r="B1199">
        <v>591</v>
      </c>
      <c r="C1199">
        <v>4</v>
      </c>
      <c r="D1199">
        <v>4</v>
      </c>
      <c r="E1199" t="s">
        <v>223</v>
      </c>
    </row>
    <row r="1200" spans="1:6" x14ac:dyDescent="0.25">
      <c r="A1200">
        <v>118</v>
      </c>
      <c r="B1200">
        <v>592</v>
      </c>
      <c r="C1200">
        <v>6</v>
      </c>
      <c r="D1200">
        <v>6</v>
      </c>
      <c r="E1200" t="s">
        <v>223</v>
      </c>
    </row>
    <row r="1201" spans="1:6" x14ac:dyDescent="0.25">
      <c r="A1201">
        <v>118</v>
      </c>
      <c r="B1201">
        <v>593</v>
      </c>
      <c r="C1201">
        <v>6</v>
      </c>
      <c r="D1201">
        <v>6</v>
      </c>
      <c r="E1201" t="s">
        <v>223</v>
      </c>
    </row>
    <row r="1202" spans="1:6" x14ac:dyDescent="0.25">
      <c r="A1202">
        <v>118</v>
      </c>
      <c r="B1202">
        <v>594</v>
      </c>
      <c r="C1202">
        <v>2</v>
      </c>
      <c r="D1202">
        <v>2</v>
      </c>
      <c r="E1202" t="s">
        <v>223</v>
      </c>
    </row>
    <row r="1203" spans="1:6" x14ac:dyDescent="0.25">
      <c r="A1203">
        <v>118</v>
      </c>
      <c r="B1203">
        <v>595</v>
      </c>
      <c r="C1203">
        <v>7</v>
      </c>
      <c r="D1203">
        <v>7</v>
      </c>
      <c r="E1203" t="s">
        <v>223</v>
      </c>
    </row>
    <row r="1204" spans="1:6" x14ac:dyDescent="0.25">
      <c r="A1204">
        <v>118</v>
      </c>
      <c r="B1204">
        <v>596</v>
      </c>
      <c r="C1204">
        <v>4</v>
      </c>
      <c r="D1204">
        <v>4</v>
      </c>
      <c r="E1204" t="s">
        <v>223</v>
      </c>
    </row>
    <row r="1205" spans="1:6" x14ac:dyDescent="0.25">
      <c r="A1205">
        <v>118</v>
      </c>
      <c r="B1205">
        <v>597</v>
      </c>
      <c r="C1205">
        <v>5</v>
      </c>
      <c r="D1205">
        <v>5</v>
      </c>
      <c r="E1205" t="s">
        <v>223</v>
      </c>
    </row>
    <row r="1206" spans="1:6" x14ac:dyDescent="0.25">
      <c r="A1206">
        <v>118</v>
      </c>
      <c r="B1206">
        <v>598</v>
      </c>
      <c r="C1206">
        <v>10</v>
      </c>
      <c r="D1206">
        <v>10</v>
      </c>
      <c r="E1206" t="s">
        <v>223</v>
      </c>
    </row>
    <row r="1207" spans="1:6" x14ac:dyDescent="0.25">
      <c r="A1207">
        <v>118</v>
      </c>
      <c r="B1207">
        <v>599</v>
      </c>
      <c r="C1207">
        <v>5</v>
      </c>
      <c r="D1207">
        <v>5</v>
      </c>
      <c r="E1207" t="s">
        <v>223</v>
      </c>
    </row>
    <row r="1208" spans="1:6" x14ac:dyDescent="0.25">
      <c r="A1208">
        <v>118</v>
      </c>
      <c r="B1208">
        <v>600</v>
      </c>
      <c r="C1208">
        <v>8</v>
      </c>
      <c r="D1208">
        <v>8</v>
      </c>
      <c r="E1208" t="s">
        <v>223</v>
      </c>
    </row>
    <row r="1209" spans="1:6" x14ac:dyDescent="0.25">
      <c r="A1209">
        <v>118</v>
      </c>
      <c r="B1209">
        <v>601</v>
      </c>
      <c r="C1209">
        <v>8</v>
      </c>
      <c r="D1209">
        <v>8</v>
      </c>
      <c r="E1209" t="s">
        <v>223</v>
      </c>
    </row>
    <row r="1210" spans="1:6" x14ac:dyDescent="0.25">
      <c r="A1210">
        <v>118</v>
      </c>
      <c r="B1210">
        <v>634</v>
      </c>
      <c r="C1210">
        <v>5</v>
      </c>
      <c r="D1210">
        <v>5</v>
      </c>
      <c r="E1210" t="s">
        <v>223</v>
      </c>
    </row>
    <row r="1211" spans="1:6" x14ac:dyDescent="0.25">
      <c r="A1211">
        <v>118</v>
      </c>
      <c r="B1211">
        <v>648</v>
      </c>
      <c r="C1211">
        <v>8</v>
      </c>
      <c r="D1211">
        <v>8</v>
      </c>
      <c r="E1211" t="s">
        <v>223</v>
      </c>
      <c r="F1211">
        <f>SUM(D1188:D1211)</f>
        <v>105</v>
      </c>
    </row>
    <row r="1212" spans="1:6" x14ac:dyDescent="0.25">
      <c r="A1212">
        <v>80</v>
      </c>
      <c r="B1212">
        <v>134</v>
      </c>
      <c r="C1212">
        <v>1</v>
      </c>
      <c r="D1212">
        <v>1</v>
      </c>
      <c r="E1212" t="s">
        <v>164</v>
      </c>
    </row>
    <row r="1213" spans="1:6" x14ac:dyDescent="0.25">
      <c r="A1213">
        <v>80</v>
      </c>
      <c r="B1213">
        <v>136</v>
      </c>
      <c r="C1213">
        <v>2</v>
      </c>
      <c r="D1213">
        <v>2</v>
      </c>
      <c r="E1213" t="s">
        <v>164</v>
      </c>
    </row>
    <row r="1214" spans="1:6" x14ac:dyDescent="0.25">
      <c r="A1214">
        <v>80</v>
      </c>
      <c r="B1214">
        <v>137</v>
      </c>
      <c r="C1214">
        <v>1</v>
      </c>
      <c r="D1214">
        <v>1</v>
      </c>
      <c r="E1214" t="s">
        <v>164</v>
      </c>
    </row>
    <row r="1215" spans="1:6" x14ac:dyDescent="0.25">
      <c r="A1215">
        <v>80</v>
      </c>
      <c r="B1215">
        <v>138</v>
      </c>
      <c r="C1215">
        <v>2</v>
      </c>
      <c r="D1215">
        <v>2</v>
      </c>
      <c r="E1215" t="s">
        <v>164</v>
      </c>
    </row>
    <row r="1216" spans="1:6" x14ac:dyDescent="0.25">
      <c r="A1216">
        <v>80</v>
      </c>
      <c r="B1216">
        <v>139</v>
      </c>
      <c r="C1216">
        <v>1</v>
      </c>
      <c r="D1216">
        <v>1</v>
      </c>
      <c r="E1216" t="s">
        <v>164</v>
      </c>
    </row>
    <row r="1217" spans="1:6" x14ac:dyDescent="0.25">
      <c r="A1217">
        <v>80</v>
      </c>
      <c r="B1217">
        <v>163</v>
      </c>
      <c r="C1217">
        <v>1</v>
      </c>
      <c r="D1217">
        <v>1</v>
      </c>
      <c r="E1217" t="s">
        <v>164</v>
      </c>
    </row>
    <row r="1218" spans="1:6" x14ac:dyDescent="0.25">
      <c r="A1218">
        <v>80</v>
      </c>
      <c r="B1218">
        <v>165</v>
      </c>
      <c r="C1218">
        <v>1</v>
      </c>
      <c r="D1218">
        <v>1</v>
      </c>
      <c r="E1218" t="s">
        <v>164</v>
      </c>
    </row>
    <row r="1219" spans="1:6" x14ac:dyDescent="0.25">
      <c r="A1219">
        <v>80</v>
      </c>
      <c r="B1219">
        <v>302</v>
      </c>
      <c r="C1219">
        <v>1</v>
      </c>
      <c r="D1219">
        <v>1</v>
      </c>
      <c r="E1219" t="s">
        <v>164</v>
      </c>
    </row>
    <row r="1220" spans="1:6" x14ac:dyDescent="0.25">
      <c r="A1220">
        <v>80</v>
      </c>
      <c r="B1220">
        <v>303</v>
      </c>
      <c r="C1220">
        <v>1</v>
      </c>
      <c r="D1220">
        <v>1</v>
      </c>
      <c r="E1220" t="s">
        <v>164</v>
      </c>
    </row>
    <row r="1221" spans="1:6" x14ac:dyDescent="0.25">
      <c r="A1221">
        <v>80</v>
      </c>
      <c r="B1221">
        <v>315</v>
      </c>
      <c r="C1221">
        <v>1</v>
      </c>
      <c r="D1221">
        <v>1</v>
      </c>
      <c r="E1221" t="s">
        <v>164</v>
      </c>
    </row>
    <row r="1222" spans="1:6" x14ac:dyDescent="0.25">
      <c r="A1222">
        <v>80</v>
      </c>
      <c r="B1222">
        <v>316</v>
      </c>
      <c r="C1222">
        <v>1</v>
      </c>
      <c r="D1222">
        <v>1</v>
      </c>
      <c r="E1222" t="s">
        <v>164</v>
      </c>
    </row>
    <row r="1223" spans="1:6" x14ac:dyDescent="0.25">
      <c r="A1223">
        <v>80</v>
      </c>
      <c r="B1223">
        <v>319</v>
      </c>
      <c r="C1223">
        <v>1</v>
      </c>
      <c r="D1223">
        <v>1</v>
      </c>
      <c r="E1223" t="s">
        <v>164</v>
      </c>
    </row>
    <row r="1224" spans="1:6" x14ac:dyDescent="0.25">
      <c r="A1224">
        <v>80</v>
      </c>
      <c r="B1224">
        <v>322</v>
      </c>
      <c r="C1224">
        <v>1</v>
      </c>
      <c r="D1224">
        <v>1</v>
      </c>
      <c r="E1224" t="s">
        <v>164</v>
      </c>
    </row>
    <row r="1225" spans="1:6" x14ac:dyDescent="0.25">
      <c r="A1225">
        <v>80</v>
      </c>
      <c r="B1225">
        <v>325</v>
      </c>
      <c r="C1225">
        <v>1</v>
      </c>
      <c r="D1225">
        <v>1</v>
      </c>
      <c r="E1225" t="s">
        <v>164</v>
      </c>
    </row>
    <row r="1226" spans="1:6" x14ac:dyDescent="0.25">
      <c r="A1226">
        <v>80</v>
      </c>
      <c r="B1226">
        <v>415</v>
      </c>
      <c r="C1226">
        <v>2</v>
      </c>
      <c r="D1226">
        <v>2</v>
      </c>
      <c r="E1226" t="s">
        <v>164</v>
      </c>
    </row>
    <row r="1227" spans="1:6" x14ac:dyDescent="0.25">
      <c r="A1227">
        <v>80</v>
      </c>
      <c r="B1227">
        <v>430</v>
      </c>
      <c r="C1227">
        <v>1</v>
      </c>
      <c r="D1227">
        <v>1</v>
      </c>
      <c r="E1227" t="s">
        <v>164</v>
      </c>
      <c r="F1227">
        <f>SUM(D1212:D1227)</f>
        <v>19</v>
      </c>
    </row>
    <row r="1228" spans="1:6" x14ac:dyDescent="0.25">
      <c r="A1228">
        <v>83</v>
      </c>
      <c r="B1228">
        <v>118</v>
      </c>
      <c r="C1228">
        <v>1</v>
      </c>
      <c r="D1228">
        <v>1</v>
      </c>
      <c r="E1228" t="s">
        <v>176</v>
      </c>
    </row>
    <row r="1229" spans="1:6" x14ac:dyDescent="0.25">
      <c r="A1229">
        <v>83</v>
      </c>
      <c r="B1229">
        <v>652</v>
      </c>
      <c r="C1229">
        <v>1</v>
      </c>
      <c r="D1229">
        <v>1</v>
      </c>
      <c r="E1229" t="s">
        <v>176</v>
      </c>
    </row>
    <row r="1230" spans="1:6" x14ac:dyDescent="0.25">
      <c r="A1230">
        <v>83</v>
      </c>
      <c r="B1230">
        <v>655</v>
      </c>
      <c r="C1230">
        <v>1</v>
      </c>
      <c r="D1230">
        <v>1</v>
      </c>
      <c r="E1230" t="s">
        <v>176</v>
      </c>
    </row>
    <row r="1231" spans="1:6" x14ac:dyDescent="0.25">
      <c r="A1231">
        <v>83</v>
      </c>
      <c r="B1231">
        <v>656</v>
      </c>
      <c r="C1231">
        <v>1</v>
      </c>
      <c r="D1231">
        <v>1</v>
      </c>
      <c r="E1231" t="s">
        <v>176</v>
      </c>
    </row>
    <row r="1232" spans="1:6" x14ac:dyDescent="0.25">
      <c r="A1232">
        <v>83</v>
      </c>
      <c r="B1232">
        <v>657</v>
      </c>
      <c r="C1232">
        <v>1</v>
      </c>
      <c r="D1232">
        <v>1</v>
      </c>
      <c r="E1232" t="s">
        <v>176</v>
      </c>
    </row>
    <row r="1233" spans="1:6" x14ac:dyDescent="0.25">
      <c r="A1233">
        <v>83</v>
      </c>
      <c r="B1233">
        <v>768</v>
      </c>
      <c r="C1233">
        <v>1</v>
      </c>
      <c r="D1233">
        <v>1</v>
      </c>
      <c r="E1233" t="s">
        <v>176</v>
      </c>
    </row>
    <row r="1234" spans="1:6" x14ac:dyDescent="0.25">
      <c r="A1234">
        <v>83</v>
      </c>
      <c r="B1234">
        <v>770</v>
      </c>
      <c r="C1234">
        <v>1</v>
      </c>
      <c r="D1234">
        <v>1</v>
      </c>
      <c r="E1234" t="s">
        <v>176</v>
      </c>
    </row>
    <row r="1235" spans="1:6" x14ac:dyDescent="0.25">
      <c r="A1235">
        <v>83</v>
      </c>
      <c r="B1235">
        <v>774</v>
      </c>
      <c r="C1235">
        <v>1</v>
      </c>
      <c r="D1235">
        <v>1</v>
      </c>
      <c r="E1235" t="s">
        <v>176</v>
      </c>
    </row>
    <row r="1236" spans="1:6" x14ac:dyDescent="0.25">
      <c r="A1236">
        <v>85</v>
      </c>
      <c r="B1236">
        <v>356</v>
      </c>
      <c r="C1236">
        <v>1</v>
      </c>
      <c r="D1236">
        <v>1</v>
      </c>
      <c r="E1236" t="s">
        <v>176</v>
      </c>
    </row>
    <row r="1237" spans="1:6" x14ac:dyDescent="0.25">
      <c r="A1237">
        <v>85</v>
      </c>
      <c r="B1237">
        <v>357</v>
      </c>
      <c r="C1237">
        <v>1</v>
      </c>
      <c r="D1237">
        <v>1</v>
      </c>
      <c r="E1237" t="s">
        <v>176</v>
      </c>
    </row>
    <row r="1238" spans="1:6" x14ac:dyDescent="0.25">
      <c r="A1238">
        <v>85</v>
      </c>
      <c r="B1238">
        <v>358</v>
      </c>
      <c r="C1238">
        <v>2</v>
      </c>
      <c r="D1238">
        <v>2</v>
      </c>
      <c r="E1238" t="s">
        <v>176</v>
      </c>
    </row>
    <row r="1239" spans="1:6" x14ac:dyDescent="0.25">
      <c r="A1239">
        <v>85</v>
      </c>
      <c r="B1239">
        <v>364</v>
      </c>
      <c r="C1239">
        <v>1</v>
      </c>
      <c r="D1239">
        <v>1</v>
      </c>
      <c r="E1239" t="s">
        <v>176</v>
      </c>
    </row>
    <row r="1240" spans="1:6" x14ac:dyDescent="0.25">
      <c r="A1240">
        <v>85</v>
      </c>
      <c r="B1240">
        <v>365</v>
      </c>
      <c r="C1240">
        <v>1</v>
      </c>
      <c r="D1240">
        <v>1</v>
      </c>
      <c r="E1240" t="s">
        <v>176</v>
      </c>
    </row>
    <row r="1241" spans="1:6" x14ac:dyDescent="0.25">
      <c r="A1241">
        <v>85</v>
      </c>
      <c r="B1241">
        <v>366</v>
      </c>
      <c r="C1241">
        <v>1</v>
      </c>
      <c r="D1241">
        <v>1</v>
      </c>
      <c r="E1241" t="s">
        <v>176</v>
      </c>
      <c r="F1241">
        <f>SUM(D1228:D1241)</f>
        <v>15</v>
      </c>
    </row>
    <row r="1242" spans="1:6" x14ac:dyDescent="0.25">
      <c r="A1242">
        <v>112</v>
      </c>
      <c r="B1242">
        <v>388</v>
      </c>
      <c r="C1242">
        <v>1</v>
      </c>
      <c r="D1242">
        <v>1</v>
      </c>
      <c r="E1242" t="s">
        <v>198</v>
      </c>
    </row>
    <row r="1243" spans="1:6" x14ac:dyDescent="0.25">
      <c r="A1243">
        <v>112</v>
      </c>
      <c r="B1243">
        <v>389</v>
      </c>
      <c r="C1243">
        <v>1</v>
      </c>
      <c r="D1243">
        <v>1</v>
      </c>
      <c r="E1243" t="s">
        <v>198</v>
      </c>
    </row>
    <row r="1244" spans="1:6" x14ac:dyDescent="0.25">
      <c r="A1244">
        <v>112</v>
      </c>
      <c r="B1244">
        <v>391</v>
      </c>
      <c r="C1244">
        <v>1</v>
      </c>
      <c r="D1244">
        <v>1</v>
      </c>
      <c r="E1244" t="s">
        <v>198</v>
      </c>
    </row>
    <row r="1245" spans="1:6" x14ac:dyDescent="0.25">
      <c r="A1245">
        <v>112</v>
      </c>
      <c r="B1245">
        <v>393</v>
      </c>
      <c r="C1245">
        <v>1</v>
      </c>
      <c r="D1245">
        <v>1</v>
      </c>
      <c r="E1245" t="s">
        <v>198</v>
      </c>
    </row>
    <row r="1246" spans="1:6" x14ac:dyDescent="0.25">
      <c r="A1246">
        <v>112</v>
      </c>
      <c r="B1246">
        <v>406</v>
      </c>
      <c r="C1246">
        <v>1</v>
      </c>
      <c r="D1246">
        <v>1</v>
      </c>
      <c r="E1246" t="s">
        <v>198</v>
      </c>
    </row>
    <row r="1247" spans="1:6" x14ac:dyDescent="0.25">
      <c r="A1247">
        <v>112</v>
      </c>
      <c r="B1247">
        <v>409</v>
      </c>
      <c r="C1247">
        <v>1</v>
      </c>
      <c r="D1247">
        <v>1</v>
      </c>
      <c r="E1247" t="s">
        <v>198</v>
      </c>
    </row>
    <row r="1248" spans="1:6" x14ac:dyDescent="0.25">
      <c r="A1248">
        <v>112</v>
      </c>
      <c r="B1248">
        <v>411</v>
      </c>
      <c r="C1248">
        <v>1</v>
      </c>
      <c r="D1248">
        <v>1</v>
      </c>
      <c r="E1248" t="s">
        <v>198</v>
      </c>
    </row>
    <row r="1249" spans="1:5" x14ac:dyDescent="0.25">
      <c r="A1249">
        <v>112</v>
      </c>
      <c r="B1249">
        <v>412</v>
      </c>
      <c r="C1249">
        <v>1</v>
      </c>
      <c r="D1249">
        <v>1</v>
      </c>
      <c r="E1249" t="s">
        <v>198</v>
      </c>
    </row>
    <row r="1250" spans="1:5" x14ac:dyDescent="0.25">
      <c r="A1250">
        <v>112</v>
      </c>
      <c r="B1250">
        <v>421</v>
      </c>
      <c r="C1250">
        <v>1</v>
      </c>
      <c r="D1250">
        <v>1</v>
      </c>
      <c r="E1250" t="s">
        <v>198</v>
      </c>
    </row>
    <row r="1251" spans="1:5" x14ac:dyDescent="0.25">
      <c r="A1251">
        <v>112</v>
      </c>
      <c r="B1251">
        <v>424</v>
      </c>
      <c r="C1251">
        <v>1</v>
      </c>
      <c r="D1251">
        <v>1</v>
      </c>
      <c r="E1251" t="s">
        <v>198</v>
      </c>
    </row>
    <row r="1252" spans="1:5" x14ac:dyDescent="0.25">
      <c r="A1252">
        <v>112</v>
      </c>
      <c r="B1252">
        <v>426</v>
      </c>
      <c r="C1252">
        <v>2</v>
      </c>
      <c r="D1252">
        <v>2</v>
      </c>
      <c r="E1252" t="s">
        <v>198</v>
      </c>
    </row>
    <row r="1253" spans="1:5" x14ac:dyDescent="0.25">
      <c r="A1253">
        <v>112</v>
      </c>
      <c r="B1253">
        <v>427</v>
      </c>
      <c r="C1253">
        <v>1</v>
      </c>
      <c r="D1253">
        <v>1</v>
      </c>
      <c r="E1253" t="s">
        <v>198</v>
      </c>
    </row>
    <row r="1254" spans="1:5" x14ac:dyDescent="0.25">
      <c r="A1254">
        <v>112</v>
      </c>
      <c r="B1254">
        <v>431</v>
      </c>
      <c r="C1254">
        <v>2</v>
      </c>
      <c r="D1254">
        <v>2</v>
      </c>
      <c r="E1254" t="s">
        <v>198</v>
      </c>
    </row>
    <row r="1255" spans="1:5" x14ac:dyDescent="0.25">
      <c r="A1255">
        <v>112</v>
      </c>
      <c r="B1255">
        <v>432</v>
      </c>
      <c r="C1255">
        <v>1</v>
      </c>
      <c r="D1255">
        <v>1</v>
      </c>
      <c r="E1255" t="s">
        <v>198</v>
      </c>
    </row>
    <row r="1256" spans="1:5" x14ac:dyDescent="0.25">
      <c r="A1256">
        <v>112</v>
      </c>
      <c r="B1256">
        <v>437</v>
      </c>
      <c r="C1256">
        <v>2</v>
      </c>
      <c r="D1256">
        <v>2</v>
      </c>
      <c r="E1256" t="s">
        <v>198</v>
      </c>
    </row>
    <row r="1257" spans="1:5" x14ac:dyDescent="0.25">
      <c r="A1257">
        <v>112</v>
      </c>
      <c r="B1257">
        <v>439</v>
      </c>
      <c r="C1257">
        <v>2</v>
      </c>
      <c r="D1257">
        <v>2</v>
      </c>
      <c r="E1257" t="s">
        <v>198</v>
      </c>
    </row>
    <row r="1258" spans="1:5" x14ac:dyDescent="0.25">
      <c r="A1258">
        <v>112</v>
      </c>
      <c r="B1258">
        <v>443</v>
      </c>
      <c r="C1258">
        <v>1</v>
      </c>
      <c r="D1258">
        <v>1</v>
      </c>
      <c r="E1258" t="s">
        <v>198</v>
      </c>
    </row>
    <row r="1259" spans="1:5" x14ac:dyDescent="0.25">
      <c r="A1259">
        <v>112</v>
      </c>
      <c r="B1259">
        <v>445</v>
      </c>
      <c r="C1259">
        <v>1</v>
      </c>
      <c r="D1259">
        <v>1</v>
      </c>
      <c r="E1259" t="s">
        <v>198</v>
      </c>
    </row>
    <row r="1260" spans="1:5" x14ac:dyDescent="0.25">
      <c r="A1260">
        <v>112</v>
      </c>
      <c r="B1260">
        <v>447</v>
      </c>
      <c r="C1260">
        <v>1</v>
      </c>
      <c r="D1260">
        <v>1</v>
      </c>
      <c r="E1260" t="s">
        <v>198</v>
      </c>
    </row>
    <row r="1261" spans="1:5" x14ac:dyDescent="0.25">
      <c r="A1261">
        <v>112</v>
      </c>
      <c r="B1261">
        <v>448</v>
      </c>
      <c r="C1261">
        <v>1</v>
      </c>
      <c r="D1261">
        <v>1</v>
      </c>
      <c r="E1261" t="s">
        <v>198</v>
      </c>
    </row>
    <row r="1262" spans="1:5" x14ac:dyDescent="0.25">
      <c r="A1262">
        <v>112</v>
      </c>
      <c r="B1262">
        <v>457</v>
      </c>
      <c r="C1262">
        <v>2</v>
      </c>
      <c r="D1262">
        <v>2</v>
      </c>
      <c r="E1262" t="s">
        <v>198</v>
      </c>
    </row>
    <row r="1263" spans="1:5" x14ac:dyDescent="0.25">
      <c r="A1263">
        <v>112</v>
      </c>
      <c r="B1263">
        <v>460</v>
      </c>
      <c r="C1263">
        <v>1</v>
      </c>
      <c r="D1263">
        <v>1</v>
      </c>
      <c r="E1263" t="s">
        <v>198</v>
      </c>
    </row>
    <row r="1264" spans="1:5" x14ac:dyDescent="0.25">
      <c r="A1264">
        <v>112</v>
      </c>
      <c r="B1264">
        <v>461</v>
      </c>
      <c r="C1264">
        <v>1</v>
      </c>
      <c r="D1264">
        <v>1</v>
      </c>
      <c r="E1264" t="s">
        <v>198</v>
      </c>
    </row>
    <row r="1265" spans="1:6" x14ac:dyDescent="0.25">
      <c r="A1265">
        <v>112</v>
      </c>
      <c r="B1265">
        <v>463</v>
      </c>
      <c r="C1265">
        <v>2</v>
      </c>
      <c r="D1265">
        <v>2</v>
      </c>
      <c r="E1265" t="s">
        <v>198</v>
      </c>
    </row>
    <row r="1266" spans="1:6" x14ac:dyDescent="0.25">
      <c r="A1266">
        <v>112</v>
      </c>
      <c r="B1266">
        <v>464</v>
      </c>
      <c r="C1266">
        <v>1</v>
      </c>
      <c r="D1266">
        <v>1</v>
      </c>
      <c r="E1266" t="s">
        <v>198</v>
      </c>
    </row>
    <row r="1267" spans="1:6" x14ac:dyDescent="0.25">
      <c r="A1267">
        <v>112</v>
      </c>
      <c r="B1267">
        <v>468</v>
      </c>
      <c r="C1267">
        <v>1</v>
      </c>
      <c r="D1267">
        <v>1</v>
      </c>
      <c r="E1267" t="s">
        <v>198</v>
      </c>
    </row>
    <row r="1268" spans="1:6" x14ac:dyDescent="0.25">
      <c r="A1268">
        <v>112</v>
      </c>
      <c r="B1268">
        <v>469</v>
      </c>
      <c r="C1268">
        <v>1</v>
      </c>
      <c r="D1268">
        <v>1</v>
      </c>
      <c r="E1268" t="s">
        <v>198</v>
      </c>
    </row>
    <row r="1269" spans="1:6" x14ac:dyDescent="0.25">
      <c r="A1269">
        <v>112</v>
      </c>
      <c r="B1269">
        <v>503</v>
      </c>
      <c r="C1269">
        <v>1</v>
      </c>
      <c r="D1269">
        <v>1</v>
      </c>
      <c r="E1269" t="s">
        <v>198</v>
      </c>
    </row>
    <row r="1270" spans="1:6" x14ac:dyDescent="0.25">
      <c r="A1270">
        <v>112</v>
      </c>
      <c r="B1270">
        <v>506</v>
      </c>
      <c r="C1270">
        <v>1</v>
      </c>
      <c r="D1270">
        <v>1</v>
      </c>
      <c r="E1270" t="s">
        <v>198</v>
      </c>
    </row>
    <row r="1271" spans="1:6" x14ac:dyDescent="0.25">
      <c r="A1271">
        <v>112</v>
      </c>
      <c r="B1271">
        <v>524</v>
      </c>
      <c r="C1271">
        <v>1</v>
      </c>
      <c r="D1271">
        <v>1</v>
      </c>
      <c r="E1271" t="s">
        <v>198</v>
      </c>
    </row>
    <row r="1272" spans="1:6" x14ac:dyDescent="0.25">
      <c r="A1272">
        <v>112</v>
      </c>
      <c r="B1272">
        <v>542</v>
      </c>
      <c r="C1272">
        <v>1</v>
      </c>
      <c r="D1272">
        <v>1</v>
      </c>
      <c r="E1272" t="s">
        <v>198</v>
      </c>
    </row>
    <row r="1273" spans="1:6" x14ac:dyDescent="0.25">
      <c r="A1273">
        <v>112</v>
      </c>
      <c r="B1273">
        <v>549</v>
      </c>
      <c r="C1273">
        <v>1</v>
      </c>
      <c r="D1273">
        <v>1</v>
      </c>
      <c r="E1273" t="s">
        <v>198</v>
      </c>
    </row>
    <row r="1274" spans="1:6" x14ac:dyDescent="0.25">
      <c r="A1274">
        <v>112</v>
      </c>
      <c r="B1274">
        <v>561</v>
      </c>
      <c r="C1274">
        <v>1</v>
      </c>
      <c r="D1274">
        <v>1</v>
      </c>
      <c r="E1274" t="s">
        <v>198</v>
      </c>
    </row>
    <row r="1275" spans="1:6" x14ac:dyDescent="0.25">
      <c r="A1275">
        <v>112</v>
      </c>
      <c r="B1275">
        <v>564</v>
      </c>
      <c r="C1275">
        <v>1</v>
      </c>
      <c r="D1275">
        <v>1</v>
      </c>
      <c r="E1275" t="s">
        <v>198</v>
      </c>
      <c r="F1275">
        <f>SUM(D1242:D1275)</f>
        <v>40</v>
      </c>
    </row>
    <row r="1276" spans="1:6" x14ac:dyDescent="0.25">
      <c r="A1276">
        <v>82</v>
      </c>
      <c r="B1276">
        <v>371</v>
      </c>
      <c r="C1276">
        <v>1</v>
      </c>
      <c r="D1276">
        <v>1</v>
      </c>
      <c r="E1276" t="s">
        <v>171</v>
      </c>
    </row>
    <row r="1277" spans="1:6" x14ac:dyDescent="0.25">
      <c r="A1277">
        <v>82</v>
      </c>
      <c r="B1277">
        <v>372</v>
      </c>
      <c r="C1277">
        <v>5</v>
      </c>
      <c r="D1277">
        <v>5</v>
      </c>
      <c r="E1277" t="s">
        <v>171</v>
      </c>
    </row>
    <row r="1278" spans="1:6" x14ac:dyDescent="0.25">
      <c r="A1278">
        <v>82</v>
      </c>
      <c r="B1278">
        <v>373</v>
      </c>
      <c r="C1278">
        <v>4</v>
      </c>
      <c r="D1278">
        <v>4</v>
      </c>
      <c r="E1278" t="s">
        <v>171</v>
      </c>
    </row>
    <row r="1279" spans="1:6" x14ac:dyDescent="0.25">
      <c r="A1279">
        <v>82</v>
      </c>
      <c r="B1279">
        <v>374</v>
      </c>
      <c r="C1279">
        <v>3</v>
      </c>
      <c r="D1279">
        <v>3</v>
      </c>
      <c r="E1279" t="s">
        <v>171</v>
      </c>
    </row>
    <row r="1280" spans="1:6" x14ac:dyDescent="0.25">
      <c r="A1280">
        <v>82</v>
      </c>
      <c r="B1280">
        <v>414</v>
      </c>
      <c r="C1280">
        <v>3</v>
      </c>
      <c r="D1280">
        <v>3</v>
      </c>
      <c r="E1280" t="s">
        <v>171</v>
      </c>
    </row>
    <row r="1281" spans="1:6" x14ac:dyDescent="0.25">
      <c r="A1281">
        <v>82</v>
      </c>
      <c r="B1281">
        <v>547</v>
      </c>
      <c r="C1281">
        <v>1</v>
      </c>
      <c r="D1281">
        <v>1</v>
      </c>
      <c r="E1281" t="s">
        <v>171</v>
      </c>
      <c r="F1281">
        <f>SUM(D1276:D1281)</f>
        <v>17</v>
      </c>
    </row>
    <row r="1282" spans="1:6" x14ac:dyDescent="0.25">
      <c r="A1282">
        <v>112</v>
      </c>
      <c r="B1282">
        <v>32</v>
      </c>
      <c r="C1282">
        <v>1</v>
      </c>
      <c r="D1282">
        <v>1</v>
      </c>
      <c r="E1282" t="s">
        <v>195</v>
      </c>
    </row>
    <row r="1283" spans="1:6" x14ac:dyDescent="0.25">
      <c r="A1283">
        <v>112</v>
      </c>
      <c r="B1283">
        <v>75</v>
      </c>
      <c r="C1283">
        <v>2</v>
      </c>
      <c r="D1283">
        <v>2</v>
      </c>
      <c r="E1283" t="s">
        <v>195</v>
      </c>
    </row>
    <row r="1284" spans="1:6" x14ac:dyDescent="0.25">
      <c r="A1284">
        <v>112</v>
      </c>
      <c r="B1284">
        <v>123</v>
      </c>
      <c r="C1284">
        <v>1</v>
      </c>
      <c r="D1284">
        <v>1</v>
      </c>
      <c r="E1284" t="s">
        <v>195</v>
      </c>
    </row>
    <row r="1285" spans="1:6" x14ac:dyDescent="0.25">
      <c r="A1285">
        <v>112</v>
      </c>
      <c r="B1285">
        <v>161</v>
      </c>
      <c r="C1285">
        <v>1</v>
      </c>
      <c r="D1285">
        <v>1</v>
      </c>
      <c r="E1285" t="s">
        <v>195</v>
      </c>
    </row>
    <row r="1286" spans="1:6" x14ac:dyDescent="0.25">
      <c r="A1286">
        <v>112</v>
      </c>
      <c r="B1286">
        <v>162</v>
      </c>
      <c r="C1286">
        <v>1</v>
      </c>
      <c r="D1286">
        <v>1</v>
      </c>
      <c r="E1286" t="s">
        <v>195</v>
      </c>
    </row>
    <row r="1287" spans="1:6" x14ac:dyDescent="0.25">
      <c r="A1287">
        <v>112</v>
      </c>
      <c r="B1287">
        <v>347</v>
      </c>
      <c r="C1287">
        <v>1</v>
      </c>
      <c r="D1287">
        <v>1</v>
      </c>
      <c r="E1287" t="s">
        <v>195</v>
      </c>
    </row>
    <row r="1288" spans="1:6" x14ac:dyDescent="0.25">
      <c r="A1288">
        <v>112</v>
      </c>
      <c r="B1288">
        <v>353</v>
      </c>
      <c r="C1288">
        <v>3</v>
      </c>
      <c r="D1288">
        <v>3</v>
      </c>
      <c r="E1288" t="s">
        <v>195</v>
      </c>
    </row>
    <row r="1289" spans="1:6" x14ac:dyDescent="0.25">
      <c r="A1289">
        <v>112</v>
      </c>
      <c r="B1289">
        <v>358</v>
      </c>
      <c r="C1289">
        <v>1</v>
      </c>
      <c r="D1289">
        <v>1</v>
      </c>
      <c r="E1289" t="s">
        <v>195</v>
      </c>
    </row>
    <row r="1290" spans="1:6" x14ac:dyDescent="0.25">
      <c r="A1290">
        <v>112</v>
      </c>
      <c r="B1290">
        <v>363</v>
      </c>
      <c r="C1290">
        <v>3</v>
      </c>
      <c r="D1290">
        <v>3</v>
      </c>
      <c r="E1290" t="s">
        <v>195</v>
      </c>
    </row>
    <row r="1291" spans="1:6" x14ac:dyDescent="0.25">
      <c r="A1291">
        <v>112</v>
      </c>
      <c r="B1291">
        <v>369</v>
      </c>
      <c r="C1291">
        <v>1</v>
      </c>
      <c r="D1291">
        <v>1</v>
      </c>
      <c r="E1291" t="s">
        <v>195</v>
      </c>
    </row>
    <row r="1292" spans="1:6" x14ac:dyDescent="0.25">
      <c r="A1292">
        <v>112</v>
      </c>
      <c r="B1292">
        <v>517</v>
      </c>
      <c r="C1292">
        <v>1</v>
      </c>
      <c r="D1292">
        <v>1</v>
      </c>
      <c r="E1292" t="s">
        <v>195</v>
      </c>
    </row>
    <row r="1293" spans="1:6" x14ac:dyDescent="0.25">
      <c r="A1293">
        <v>112</v>
      </c>
      <c r="B1293">
        <v>518</v>
      </c>
      <c r="C1293">
        <v>2</v>
      </c>
      <c r="D1293">
        <v>2</v>
      </c>
      <c r="E1293" t="s">
        <v>195</v>
      </c>
    </row>
    <row r="1294" spans="1:6" x14ac:dyDescent="0.25">
      <c r="A1294">
        <v>112</v>
      </c>
      <c r="B1294">
        <v>522</v>
      </c>
      <c r="C1294">
        <v>2</v>
      </c>
      <c r="D1294">
        <v>2</v>
      </c>
      <c r="E1294" t="s">
        <v>195</v>
      </c>
    </row>
    <row r="1295" spans="1:6" x14ac:dyDescent="0.25">
      <c r="A1295">
        <v>112</v>
      </c>
      <c r="B1295">
        <v>555</v>
      </c>
      <c r="C1295">
        <v>1</v>
      </c>
      <c r="D1295">
        <v>1</v>
      </c>
      <c r="E1295" t="s">
        <v>195</v>
      </c>
    </row>
    <row r="1296" spans="1:6" x14ac:dyDescent="0.25">
      <c r="A1296">
        <v>112</v>
      </c>
      <c r="B1296">
        <v>567</v>
      </c>
      <c r="C1296">
        <v>1</v>
      </c>
      <c r="D1296">
        <v>1</v>
      </c>
      <c r="E1296" t="s">
        <v>195</v>
      </c>
    </row>
    <row r="1297" spans="1:6" x14ac:dyDescent="0.25">
      <c r="A1297">
        <v>112</v>
      </c>
      <c r="B1297">
        <v>574</v>
      </c>
      <c r="C1297">
        <v>1</v>
      </c>
      <c r="D1297">
        <v>1</v>
      </c>
      <c r="E1297" t="s">
        <v>195</v>
      </c>
      <c r="F1297">
        <f>SUM(D1282:D1297)</f>
        <v>23</v>
      </c>
    </row>
    <row r="1298" spans="1:6" x14ac:dyDescent="0.25">
      <c r="A1298">
        <v>80</v>
      </c>
      <c r="B1298">
        <v>173</v>
      </c>
      <c r="C1298">
        <v>1</v>
      </c>
      <c r="D1298">
        <v>1</v>
      </c>
      <c r="E1298" t="s">
        <v>236</v>
      </c>
    </row>
    <row r="1299" spans="1:6" x14ac:dyDescent="0.25">
      <c r="A1299">
        <v>80</v>
      </c>
      <c r="B1299">
        <v>174</v>
      </c>
      <c r="C1299">
        <v>1</v>
      </c>
      <c r="D1299">
        <v>1</v>
      </c>
      <c r="E1299" t="s">
        <v>236</v>
      </c>
    </row>
    <row r="1300" spans="1:6" x14ac:dyDescent="0.25">
      <c r="A1300">
        <v>80</v>
      </c>
      <c r="B1300">
        <v>177</v>
      </c>
      <c r="C1300">
        <v>1</v>
      </c>
      <c r="D1300">
        <v>1</v>
      </c>
      <c r="E1300" t="s">
        <v>236</v>
      </c>
    </row>
    <row r="1301" spans="1:6" x14ac:dyDescent="0.25">
      <c r="A1301">
        <v>80</v>
      </c>
      <c r="B1301">
        <v>179</v>
      </c>
      <c r="C1301">
        <v>1</v>
      </c>
      <c r="D1301">
        <v>1</v>
      </c>
      <c r="E1301" t="s">
        <v>236</v>
      </c>
    </row>
    <row r="1302" spans="1:6" x14ac:dyDescent="0.25">
      <c r="A1302">
        <v>80</v>
      </c>
      <c r="B1302">
        <v>182</v>
      </c>
      <c r="C1302">
        <v>2</v>
      </c>
      <c r="D1302">
        <v>2</v>
      </c>
      <c r="E1302" t="s">
        <v>236</v>
      </c>
    </row>
    <row r="1303" spans="1:6" x14ac:dyDescent="0.25">
      <c r="A1303">
        <v>80</v>
      </c>
      <c r="B1303">
        <v>184</v>
      </c>
      <c r="C1303">
        <v>1</v>
      </c>
      <c r="D1303">
        <v>1</v>
      </c>
      <c r="E1303" t="s">
        <v>236</v>
      </c>
    </row>
    <row r="1304" spans="1:6" x14ac:dyDescent="0.25">
      <c r="A1304">
        <v>80</v>
      </c>
      <c r="B1304">
        <v>185</v>
      </c>
      <c r="C1304">
        <v>3</v>
      </c>
      <c r="D1304">
        <v>3</v>
      </c>
      <c r="E1304" t="s">
        <v>236</v>
      </c>
    </row>
    <row r="1305" spans="1:6" x14ac:dyDescent="0.25">
      <c r="A1305">
        <v>80</v>
      </c>
      <c r="B1305">
        <v>186</v>
      </c>
      <c r="C1305">
        <v>1</v>
      </c>
      <c r="D1305">
        <v>1</v>
      </c>
      <c r="E1305" t="s">
        <v>236</v>
      </c>
    </row>
    <row r="1306" spans="1:6" x14ac:dyDescent="0.25">
      <c r="A1306">
        <v>80</v>
      </c>
      <c r="B1306">
        <v>188</v>
      </c>
      <c r="C1306">
        <v>3</v>
      </c>
      <c r="D1306">
        <v>3</v>
      </c>
      <c r="E1306" t="s">
        <v>236</v>
      </c>
    </row>
    <row r="1307" spans="1:6" x14ac:dyDescent="0.25">
      <c r="A1307">
        <v>80</v>
      </c>
      <c r="B1307">
        <v>189</v>
      </c>
      <c r="C1307">
        <v>3</v>
      </c>
      <c r="D1307">
        <v>3</v>
      </c>
      <c r="E1307" t="s">
        <v>236</v>
      </c>
    </row>
    <row r="1308" spans="1:6" x14ac:dyDescent="0.25">
      <c r="A1308">
        <v>80</v>
      </c>
      <c r="B1308">
        <v>190</v>
      </c>
      <c r="C1308">
        <v>2</v>
      </c>
      <c r="D1308">
        <v>2</v>
      </c>
      <c r="E1308" t="s">
        <v>236</v>
      </c>
    </row>
    <row r="1309" spans="1:6" x14ac:dyDescent="0.25">
      <c r="A1309">
        <v>80</v>
      </c>
      <c r="B1309">
        <v>191</v>
      </c>
      <c r="C1309">
        <v>1</v>
      </c>
      <c r="D1309">
        <v>1</v>
      </c>
      <c r="E1309" t="s">
        <v>236</v>
      </c>
    </row>
    <row r="1310" spans="1:6" x14ac:dyDescent="0.25">
      <c r="A1310">
        <v>80</v>
      </c>
      <c r="B1310">
        <v>192</v>
      </c>
      <c r="C1310">
        <v>1</v>
      </c>
      <c r="D1310">
        <v>1</v>
      </c>
      <c r="E1310" t="s">
        <v>236</v>
      </c>
    </row>
    <row r="1311" spans="1:6" x14ac:dyDescent="0.25">
      <c r="A1311">
        <v>80</v>
      </c>
      <c r="B1311">
        <v>194</v>
      </c>
      <c r="C1311">
        <v>1</v>
      </c>
      <c r="D1311">
        <v>1</v>
      </c>
      <c r="E1311" t="s">
        <v>236</v>
      </c>
    </row>
    <row r="1312" spans="1:6" x14ac:dyDescent="0.25">
      <c r="A1312">
        <v>80</v>
      </c>
      <c r="B1312">
        <v>195</v>
      </c>
      <c r="C1312">
        <v>1</v>
      </c>
      <c r="D1312">
        <v>1</v>
      </c>
      <c r="E1312" t="s">
        <v>236</v>
      </c>
    </row>
    <row r="1313" spans="1:6" x14ac:dyDescent="0.25">
      <c r="A1313">
        <v>80</v>
      </c>
      <c r="B1313">
        <v>196</v>
      </c>
      <c r="C1313">
        <v>1</v>
      </c>
      <c r="D1313">
        <v>1</v>
      </c>
      <c r="E1313" t="s">
        <v>236</v>
      </c>
    </row>
    <row r="1314" spans="1:6" x14ac:dyDescent="0.25">
      <c r="A1314">
        <v>80</v>
      </c>
      <c r="B1314">
        <v>369</v>
      </c>
      <c r="C1314">
        <v>1</v>
      </c>
      <c r="D1314">
        <v>1</v>
      </c>
      <c r="E1314" t="s">
        <v>236</v>
      </c>
    </row>
    <row r="1315" spans="1:6" x14ac:dyDescent="0.25">
      <c r="A1315">
        <v>80</v>
      </c>
      <c r="B1315">
        <v>371</v>
      </c>
      <c r="C1315">
        <v>1</v>
      </c>
      <c r="D1315">
        <v>1</v>
      </c>
      <c r="E1315" t="s">
        <v>236</v>
      </c>
    </row>
    <row r="1316" spans="1:6" x14ac:dyDescent="0.25">
      <c r="A1316">
        <v>80</v>
      </c>
      <c r="B1316">
        <v>389</v>
      </c>
      <c r="C1316">
        <v>1</v>
      </c>
      <c r="D1316">
        <v>1</v>
      </c>
      <c r="E1316" t="s">
        <v>236</v>
      </c>
    </row>
    <row r="1317" spans="1:6" x14ac:dyDescent="0.25">
      <c r="A1317">
        <v>80</v>
      </c>
      <c r="B1317">
        <v>392</v>
      </c>
      <c r="C1317">
        <v>1</v>
      </c>
      <c r="D1317">
        <v>1</v>
      </c>
      <c r="E1317" t="s">
        <v>236</v>
      </c>
    </row>
    <row r="1318" spans="1:6" x14ac:dyDescent="0.25">
      <c r="A1318">
        <v>80</v>
      </c>
      <c r="B1318">
        <v>393</v>
      </c>
      <c r="C1318">
        <v>1</v>
      </c>
      <c r="D1318">
        <v>1</v>
      </c>
      <c r="E1318" t="s">
        <v>236</v>
      </c>
    </row>
    <row r="1319" spans="1:6" x14ac:dyDescent="0.25">
      <c r="A1319">
        <v>80</v>
      </c>
      <c r="B1319">
        <v>398</v>
      </c>
      <c r="C1319">
        <v>1</v>
      </c>
      <c r="D1319">
        <v>1</v>
      </c>
      <c r="E1319" t="s">
        <v>236</v>
      </c>
    </row>
    <row r="1320" spans="1:6" x14ac:dyDescent="0.25">
      <c r="A1320">
        <v>80</v>
      </c>
      <c r="B1320">
        <v>416</v>
      </c>
      <c r="C1320">
        <v>3</v>
      </c>
      <c r="D1320">
        <v>3</v>
      </c>
      <c r="E1320" t="s">
        <v>236</v>
      </c>
    </row>
    <row r="1321" spans="1:6" x14ac:dyDescent="0.25">
      <c r="A1321">
        <v>80</v>
      </c>
      <c r="B1321">
        <v>426</v>
      </c>
      <c r="C1321">
        <v>1</v>
      </c>
      <c r="D1321">
        <v>1</v>
      </c>
      <c r="E1321" t="s">
        <v>236</v>
      </c>
      <c r="F1321">
        <f>SUM(D1298:D1321)</f>
        <v>34</v>
      </c>
    </row>
    <row r="1322" spans="1:6" x14ac:dyDescent="0.25">
      <c r="A1322">
        <v>113</v>
      </c>
      <c r="B1322">
        <v>177</v>
      </c>
      <c r="C1322">
        <v>2</v>
      </c>
      <c r="D1322">
        <v>2</v>
      </c>
      <c r="E1322" t="s">
        <v>203</v>
      </c>
    </row>
    <row r="1323" spans="1:6" x14ac:dyDescent="0.25">
      <c r="A1323">
        <v>113</v>
      </c>
      <c r="B1323">
        <v>178</v>
      </c>
      <c r="C1323">
        <v>3</v>
      </c>
      <c r="D1323">
        <v>3</v>
      </c>
      <c r="E1323" t="s">
        <v>203</v>
      </c>
    </row>
    <row r="1324" spans="1:6" x14ac:dyDescent="0.25">
      <c r="A1324">
        <v>113</v>
      </c>
      <c r="B1324">
        <v>179</v>
      </c>
      <c r="C1324">
        <v>1</v>
      </c>
      <c r="D1324">
        <v>1</v>
      </c>
      <c r="E1324" t="s">
        <v>203</v>
      </c>
    </row>
    <row r="1325" spans="1:6" x14ac:dyDescent="0.25">
      <c r="A1325">
        <v>113</v>
      </c>
      <c r="B1325">
        <v>196</v>
      </c>
      <c r="C1325">
        <v>2</v>
      </c>
      <c r="D1325">
        <v>2</v>
      </c>
      <c r="E1325" t="s">
        <v>203</v>
      </c>
    </row>
    <row r="1326" spans="1:6" x14ac:dyDescent="0.25">
      <c r="A1326">
        <v>113</v>
      </c>
      <c r="B1326">
        <v>197</v>
      </c>
      <c r="C1326">
        <v>1</v>
      </c>
      <c r="D1326">
        <v>1</v>
      </c>
      <c r="E1326" t="s">
        <v>203</v>
      </c>
    </row>
    <row r="1327" spans="1:6" x14ac:dyDescent="0.25">
      <c r="A1327">
        <v>113</v>
      </c>
      <c r="B1327">
        <v>198</v>
      </c>
      <c r="C1327">
        <v>1</v>
      </c>
      <c r="D1327">
        <v>1</v>
      </c>
      <c r="E1327" t="s">
        <v>203</v>
      </c>
    </row>
    <row r="1328" spans="1:6" x14ac:dyDescent="0.25">
      <c r="A1328">
        <v>113</v>
      </c>
      <c r="B1328">
        <v>289</v>
      </c>
      <c r="C1328">
        <v>2</v>
      </c>
      <c r="D1328">
        <v>2</v>
      </c>
      <c r="E1328" t="s">
        <v>203</v>
      </c>
    </row>
    <row r="1329" spans="1:6" x14ac:dyDescent="0.25">
      <c r="A1329">
        <v>113</v>
      </c>
      <c r="B1329">
        <v>320</v>
      </c>
      <c r="C1329">
        <v>1</v>
      </c>
      <c r="D1329">
        <v>1</v>
      </c>
      <c r="E1329" t="s">
        <v>203</v>
      </c>
    </row>
    <row r="1330" spans="1:6" x14ac:dyDescent="0.25">
      <c r="A1330">
        <v>113</v>
      </c>
      <c r="B1330">
        <v>326</v>
      </c>
      <c r="C1330">
        <v>2</v>
      </c>
      <c r="D1330">
        <v>2</v>
      </c>
      <c r="E1330" t="s">
        <v>203</v>
      </c>
    </row>
    <row r="1331" spans="1:6" x14ac:dyDescent="0.25">
      <c r="A1331">
        <v>113</v>
      </c>
      <c r="B1331">
        <v>327</v>
      </c>
      <c r="C1331">
        <v>6</v>
      </c>
      <c r="D1331">
        <v>6</v>
      </c>
      <c r="E1331" t="s">
        <v>203</v>
      </c>
    </row>
    <row r="1332" spans="1:6" x14ac:dyDescent="0.25">
      <c r="A1332">
        <v>113</v>
      </c>
      <c r="B1332">
        <v>328</v>
      </c>
      <c r="C1332">
        <v>5</v>
      </c>
      <c r="D1332">
        <v>5</v>
      </c>
      <c r="E1332" t="s">
        <v>203</v>
      </c>
    </row>
    <row r="1333" spans="1:6" x14ac:dyDescent="0.25">
      <c r="A1333">
        <v>113</v>
      </c>
      <c r="B1333">
        <v>329</v>
      </c>
      <c r="C1333">
        <v>7</v>
      </c>
      <c r="D1333">
        <v>7</v>
      </c>
      <c r="E1333" t="s">
        <v>203</v>
      </c>
    </row>
    <row r="1334" spans="1:6" x14ac:dyDescent="0.25">
      <c r="A1334">
        <v>113</v>
      </c>
      <c r="B1334">
        <v>330</v>
      </c>
      <c r="C1334">
        <v>4</v>
      </c>
      <c r="D1334">
        <v>4</v>
      </c>
      <c r="E1334" t="s">
        <v>203</v>
      </c>
    </row>
    <row r="1335" spans="1:6" x14ac:dyDescent="0.25">
      <c r="A1335">
        <v>113</v>
      </c>
      <c r="B1335">
        <v>331</v>
      </c>
      <c r="C1335">
        <v>6</v>
      </c>
      <c r="D1335">
        <v>6</v>
      </c>
      <c r="E1335" t="s">
        <v>203</v>
      </c>
    </row>
    <row r="1336" spans="1:6" x14ac:dyDescent="0.25">
      <c r="A1336">
        <v>113</v>
      </c>
      <c r="B1336">
        <v>332</v>
      </c>
      <c r="C1336">
        <v>2</v>
      </c>
      <c r="D1336">
        <v>2</v>
      </c>
      <c r="E1336" t="s">
        <v>203</v>
      </c>
    </row>
    <row r="1337" spans="1:6" x14ac:dyDescent="0.25">
      <c r="A1337">
        <v>113</v>
      </c>
      <c r="B1337">
        <v>333</v>
      </c>
      <c r="C1337">
        <v>4</v>
      </c>
      <c r="D1337">
        <v>4</v>
      </c>
      <c r="E1337" t="s">
        <v>203</v>
      </c>
    </row>
    <row r="1338" spans="1:6" x14ac:dyDescent="0.25">
      <c r="A1338">
        <v>113</v>
      </c>
      <c r="B1338">
        <v>334</v>
      </c>
      <c r="C1338">
        <v>5</v>
      </c>
      <c r="D1338">
        <v>5</v>
      </c>
      <c r="E1338" t="s">
        <v>203</v>
      </c>
    </row>
    <row r="1339" spans="1:6" x14ac:dyDescent="0.25">
      <c r="A1339">
        <v>113</v>
      </c>
      <c r="B1339">
        <v>335</v>
      </c>
      <c r="C1339">
        <v>5</v>
      </c>
      <c r="D1339">
        <v>5</v>
      </c>
      <c r="E1339" t="s">
        <v>203</v>
      </c>
    </row>
    <row r="1340" spans="1:6" x14ac:dyDescent="0.25">
      <c r="A1340">
        <v>113</v>
      </c>
      <c r="B1340">
        <v>336</v>
      </c>
      <c r="C1340">
        <v>3</v>
      </c>
      <c r="D1340">
        <v>3</v>
      </c>
      <c r="E1340" t="s">
        <v>203</v>
      </c>
      <c r="F1340">
        <f>SUM(D1322:D1340)</f>
        <v>62</v>
      </c>
    </row>
    <row r="1341" spans="1:6" x14ac:dyDescent="0.25">
      <c r="A1341">
        <v>114</v>
      </c>
      <c r="B1341">
        <v>39</v>
      </c>
      <c r="C1341">
        <v>1</v>
      </c>
      <c r="D1341">
        <v>1</v>
      </c>
      <c r="E1341" t="s">
        <v>206</v>
      </c>
    </row>
    <row r="1342" spans="1:6" x14ac:dyDescent="0.25">
      <c r="A1342">
        <v>114</v>
      </c>
      <c r="B1342">
        <v>40</v>
      </c>
      <c r="C1342">
        <v>2</v>
      </c>
      <c r="D1342">
        <v>2</v>
      </c>
      <c r="E1342" t="s">
        <v>206</v>
      </c>
    </row>
    <row r="1343" spans="1:6" x14ac:dyDescent="0.25">
      <c r="A1343">
        <v>114</v>
      </c>
      <c r="B1343">
        <v>206</v>
      </c>
      <c r="C1343">
        <v>4</v>
      </c>
      <c r="D1343">
        <v>4</v>
      </c>
      <c r="E1343" t="s">
        <v>206</v>
      </c>
    </row>
    <row r="1344" spans="1:6" x14ac:dyDescent="0.25">
      <c r="A1344">
        <v>114</v>
      </c>
      <c r="B1344">
        <v>207</v>
      </c>
      <c r="C1344">
        <v>1</v>
      </c>
      <c r="D1344">
        <v>1</v>
      </c>
      <c r="E1344" t="s">
        <v>206</v>
      </c>
    </row>
    <row r="1345" spans="1:6" x14ac:dyDescent="0.25">
      <c r="A1345">
        <v>114</v>
      </c>
      <c r="B1345">
        <v>208</v>
      </c>
      <c r="C1345">
        <v>1</v>
      </c>
      <c r="D1345">
        <v>1</v>
      </c>
      <c r="E1345" t="s">
        <v>206</v>
      </c>
    </row>
    <row r="1346" spans="1:6" x14ac:dyDescent="0.25">
      <c r="A1346">
        <v>114</v>
      </c>
      <c r="B1346">
        <v>210</v>
      </c>
      <c r="C1346">
        <v>3</v>
      </c>
      <c r="D1346">
        <v>3</v>
      </c>
      <c r="E1346" t="s">
        <v>206</v>
      </c>
    </row>
    <row r="1347" spans="1:6" x14ac:dyDescent="0.25">
      <c r="A1347">
        <v>114</v>
      </c>
      <c r="B1347">
        <v>219</v>
      </c>
      <c r="C1347">
        <v>4</v>
      </c>
      <c r="D1347">
        <v>4</v>
      </c>
      <c r="E1347" t="s">
        <v>206</v>
      </c>
    </row>
    <row r="1348" spans="1:6" x14ac:dyDescent="0.25">
      <c r="A1348">
        <v>114</v>
      </c>
      <c r="B1348">
        <v>220</v>
      </c>
      <c r="C1348">
        <v>1</v>
      </c>
      <c r="D1348">
        <v>1</v>
      </c>
      <c r="E1348" t="s">
        <v>206</v>
      </c>
    </row>
    <row r="1349" spans="1:6" x14ac:dyDescent="0.25">
      <c r="A1349">
        <v>114</v>
      </c>
      <c r="B1349">
        <v>221</v>
      </c>
      <c r="C1349">
        <v>1</v>
      </c>
      <c r="D1349">
        <v>1</v>
      </c>
      <c r="E1349" t="s">
        <v>206</v>
      </c>
    </row>
    <row r="1350" spans="1:6" x14ac:dyDescent="0.25">
      <c r="A1350">
        <v>114</v>
      </c>
      <c r="B1350">
        <v>222</v>
      </c>
      <c r="C1350">
        <v>8</v>
      </c>
      <c r="D1350">
        <v>8</v>
      </c>
      <c r="E1350" t="s">
        <v>206</v>
      </c>
    </row>
    <row r="1351" spans="1:6" x14ac:dyDescent="0.25">
      <c r="A1351">
        <v>114</v>
      </c>
      <c r="B1351">
        <v>223</v>
      </c>
      <c r="C1351">
        <v>1</v>
      </c>
      <c r="D1351">
        <v>1</v>
      </c>
      <c r="E1351" t="s">
        <v>206</v>
      </c>
    </row>
    <row r="1352" spans="1:6" x14ac:dyDescent="0.25">
      <c r="A1352">
        <v>114</v>
      </c>
      <c r="B1352">
        <v>225</v>
      </c>
      <c r="C1352">
        <v>1</v>
      </c>
      <c r="D1352">
        <v>1</v>
      </c>
      <c r="E1352" t="s">
        <v>206</v>
      </c>
      <c r="F1352">
        <f>SUM(D1341:D1352)</f>
        <v>28</v>
      </c>
    </row>
    <row r="1353" spans="1:6" x14ac:dyDescent="0.25">
      <c r="A1353">
        <v>85</v>
      </c>
      <c r="B1353">
        <v>203</v>
      </c>
      <c r="C1353">
        <v>5</v>
      </c>
      <c r="D1353">
        <v>5</v>
      </c>
      <c r="E1353" t="s">
        <v>237</v>
      </c>
    </row>
    <row r="1354" spans="1:6" x14ac:dyDescent="0.25">
      <c r="A1354">
        <v>85</v>
      </c>
      <c r="B1354">
        <v>204</v>
      </c>
      <c r="C1354">
        <v>7</v>
      </c>
      <c r="D1354">
        <v>7</v>
      </c>
      <c r="E1354" t="s">
        <v>237</v>
      </c>
    </row>
    <row r="1355" spans="1:6" x14ac:dyDescent="0.25">
      <c r="A1355">
        <v>85</v>
      </c>
      <c r="B1355">
        <v>205</v>
      </c>
      <c r="C1355">
        <v>3</v>
      </c>
      <c r="D1355">
        <v>3</v>
      </c>
      <c r="E1355" t="s">
        <v>237</v>
      </c>
    </row>
    <row r="1356" spans="1:6" x14ac:dyDescent="0.25">
      <c r="A1356">
        <v>85</v>
      </c>
      <c r="B1356">
        <v>206</v>
      </c>
      <c r="C1356">
        <v>4</v>
      </c>
      <c r="D1356">
        <v>4</v>
      </c>
      <c r="E1356" t="s">
        <v>237</v>
      </c>
    </row>
    <row r="1357" spans="1:6" x14ac:dyDescent="0.25">
      <c r="A1357">
        <v>85</v>
      </c>
      <c r="B1357">
        <v>207</v>
      </c>
      <c r="C1357">
        <v>3</v>
      </c>
      <c r="D1357">
        <v>3</v>
      </c>
      <c r="E1357" t="s">
        <v>237</v>
      </c>
    </row>
    <row r="1358" spans="1:6" x14ac:dyDescent="0.25">
      <c r="A1358">
        <v>85</v>
      </c>
      <c r="B1358">
        <v>208</v>
      </c>
      <c r="C1358">
        <v>7</v>
      </c>
      <c r="D1358">
        <v>7</v>
      </c>
      <c r="E1358" t="s">
        <v>237</v>
      </c>
    </row>
    <row r="1359" spans="1:6" x14ac:dyDescent="0.25">
      <c r="A1359">
        <v>85</v>
      </c>
      <c r="B1359">
        <v>209</v>
      </c>
      <c r="C1359">
        <v>2</v>
      </c>
      <c r="D1359">
        <v>2</v>
      </c>
      <c r="E1359" t="s">
        <v>237</v>
      </c>
    </row>
    <row r="1360" spans="1:6" x14ac:dyDescent="0.25">
      <c r="A1360">
        <v>85</v>
      </c>
      <c r="B1360">
        <v>210</v>
      </c>
      <c r="C1360">
        <v>1</v>
      </c>
      <c r="D1360">
        <v>1</v>
      </c>
      <c r="E1360" t="s">
        <v>237</v>
      </c>
    </row>
    <row r="1361" spans="1:5" x14ac:dyDescent="0.25">
      <c r="A1361">
        <v>85</v>
      </c>
      <c r="B1361">
        <v>211</v>
      </c>
      <c r="C1361">
        <v>3</v>
      </c>
      <c r="D1361">
        <v>3</v>
      </c>
      <c r="E1361" t="s">
        <v>237</v>
      </c>
    </row>
    <row r="1362" spans="1:5" x14ac:dyDescent="0.25">
      <c r="A1362">
        <v>85</v>
      </c>
      <c r="B1362">
        <v>212</v>
      </c>
      <c r="C1362">
        <v>4</v>
      </c>
      <c r="D1362">
        <v>4</v>
      </c>
      <c r="E1362" t="s">
        <v>237</v>
      </c>
    </row>
    <row r="1363" spans="1:5" x14ac:dyDescent="0.25">
      <c r="A1363">
        <v>85</v>
      </c>
      <c r="B1363">
        <v>213</v>
      </c>
      <c r="C1363">
        <v>1</v>
      </c>
      <c r="D1363">
        <v>1</v>
      </c>
      <c r="E1363" t="s">
        <v>237</v>
      </c>
    </row>
    <row r="1364" spans="1:5" x14ac:dyDescent="0.25">
      <c r="A1364">
        <v>85</v>
      </c>
      <c r="B1364">
        <v>214</v>
      </c>
      <c r="C1364">
        <v>2</v>
      </c>
      <c r="D1364">
        <v>2</v>
      </c>
      <c r="E1364" t="s">
        <v>237</v>
      </c>
    </row>
    <row r="1365" spans="1:5" x14ac:dyDescent="0.25">
      <c r="A1365">
        <v>85</v>
      </c>
      <c r="B1365">
        <v>215</v>
      </c>
      <c r="C1365">
        <v>2</v>
      </c>
      <c r="D1365">
        <v>2</v>
      </c>
      <c r="E1365" t="s">
        <v>237</v>
      </c>
    </row>
    <row r="1366" spans="1:5" x14ac:dyDescent="0.25">
      <c r="A1366">
        <v>85</v>
      </c>
      <c r="B1366">
        <v>314</v>
      </c>
      <c r="C1366">
        <v>2</v>
      </c>
      <c r="D1366">
        <v>2</v>
      </c>
      <c r="E1366" t="s">
        <v>237</v>
      </c>
    </row>
    <row r="1367" spans="1:5" x14ac:dyDescent="0.25">
      <c r="A1367">
        <v>85</v>
      </c>
      <c r="B1367">
        <v>315</v>
      </c>
      <c r="C1367">
        <v>1</v>
      </c>
      <c r="D1367">
        <v>1</v>
      </c>
      <c r="E1367" t="s">
        <v>237</v>
      </c>
    </row>
    <row r="1368" spans="1:5" x14ac:dyDescent="0.25">
      <c r="A1368">
        <v>85</v>
      </c>
      <c r="B1368">
        <v>316</v>
      </c>
      <c r="C1368">
        <v>1</v>
      </c>
      <c r="D1368">
        <v>1</v>
      </c>
      <c r="E1368" t="s">
        <v>237</v>
      </c>
    </row>
    <row r="1369" spans="1:5" x14ac:dyDescent="0.25">
      <c r="A1369">
        <v>85</v>
      </c>
      <c r="B1369">
        <v>317</v>
      </c>
      <c r="C1369">
        <v>2</v>
      </c>
      <c r="D1369">
        <v>2</v>
      </c>
      <c r="E1369" t="s">
        <v>237</v>
      </c>
    </row>
    <row r="1370" spans="1:5" x14ac:dyDescent="0.25">
      <c r="A1370">
        <v>85</v>
      </c>
      <c r="B1370">
        <v>318</v>
      </c>
      <c r="C1370">
        <v>2</v>
      </c>
      <c r="D1370">
        <v>2</v>
      </c>
      <c r="E1370" t="s">
        <v>237</v>
      </c>
    </row>
    <row r="1371" spans="1:5" x14ac:dyDescent="0.25">
      <c r="A1371">
        <v>85</v>
      </c>
      <c r="B1371">
        <v>319</v>
      </c>
      <c r="C1371">
        <v>1</v>
      </c>
      <c r="D1371">
        <v>1</v>
      </c>
      <c r="E1371" t="s">
        <v>237</v>
      </c>
    </row>
    <row r="1372" spans="1:5" x14ac:dyDescent="0.25">
      <c r="A1372">
        <v>85</v>
      </c>
      <c r="B1372">
        <v>320</v>
      </c>
      <c r="C1372">
        <v>1</v>
      </c>
      <c r="D1372">
        <v>1</v>
      </c>
      <c r="E1372" t="s">
        <v>237</v>
      </c>
    </row>
    <row r="1373" spans="1:5" x14ac:dyDescent="0.25">
      <c r="A1373">
        <v>85</v>
      </c>
      <c r="B1373">
        <v>321</v>
      </c>
      <c r="C1373">
        <v>1</v>
      </c>
      <c r="D1373">
        <v>1</v>
      </c>
      <c r="E1373" t="s">
        <v>237</v>
      </c>
    </row>
    <row r="1374" spans="1:5" x14ac:dyDescent="0.25">
      <c r="A1374">
        <v>85</v>
      </c>
      <c r="B1374">
        <v>336</v>
      </c>
      <c r="C1374">
        <v>1</v>
      </c>
      <c r="D1374">
        <v>1</v>
      </c>
      <c r="E1374" t="s">
        <v>237</v>
      </c>
    </row>
    <row r="1375" spans="1:5" x14ac:dyDescent="0.25">
      <c r="A1375">
        <v>85</v>
      </c>
      <c r="B1375">
        <v>337</v>
      </c>
      <c r="C1375">
        <v>1</v>
      </c>
      <c r="D1375">
        <v>1</v>
      </c>
      <c r="E1375" t="s">
        <v>237</v>
      </c>
    </row>
    <row r="1376" spans="1:5" x14ac:dyDescent="0.25">
      <c r="A1376">
        <v>85</v>
      </c>
      <c r="B1376">
        <v>340</v>
      </c>
      <c r="C1376">
        <v>2</v>
      </c>
      <c r="D1376">
        <v>2</v>
      </c>
      <c r="E1376" t="s">
        <v>237</v>
      </c>
    </row>
    <row r="1377" spans="1:6" x14ac:dyDescent="0.25">
      <c r="A1377">
        <v>85</v>
      </c>
      <c r="B1377">
        <v>341</v>
      </c>
      <c r="C1377">
        <v>1</v>
      </c>
      <c r="D1377">
        <v>1</v>
      </c>
      <c r="E1377" t="s">
        <v>237</v>
      </c>
    </row>
    <row r="1378" spans="1:6" x14ac:dyDescent="0.25">
      <c r="A1378">
        <v>85</v>
      </c>
      <c r="B1378">
        <v>342</v>
      </c>
      <c r="C1378">
        <v>1</v>
      </c>
      <c r="D1378">
        <v>1</v>
      </c>
      <c r="E1378" t="s">
        <v>237</v>
      </c>
    </row>
    <row r="1379" spans="1:6" x14ac:dyDescent="0.25">
      <c r="A1379">
        <v>85</v>
      </c>
      <c r="B1379">
        <v>374</v>
      </c>
      <c r="C1379">
        <v>1</v>
      </c>
      <c r="D1379">
        <v>1</v>
      </c>
      <c r="E1379" t="s">
        <v>237</v>
      </c>
    </row>
    <row r="1380" spans="1:6" x14ac:dyDescent="0.25">
      <c r="A1380">
        <v>85</v>
      </c>
      <c r="B1380">
        <v>391</v>
      </c>
      <c r="C1380">
        <v>1</v>
      </c>
      <c r="D1380">
        <v>1</v>
      </c>
      <c r="E1380" t="s">
        <v>237</v>
      </c>
    </row>
    <row r="1381" spans="1:6" x14ac:dyDescent="0.25">
      <c r="A1381">
        <v>85</v>
      </c>
      <c r="B1381">
        <v>393</v>
      </c>
      <c r="C1381">
        <v>2</v>
      </c>
      <c r="D1381">
        <v>2</v>
      </c>
      <c r="E1381" t="s">
        <v>237</v>
      </c>
    </row>
    <row r="1382" spans="1:6" x14ac:dyDescent="0.25">
      <c r="A1382">
        <v>85</v>
      </c>
      <c r="B1382">
        <v>395</v>
      </c>
      <c r="C1382">
        <v>1</v>
      </c>
      <c r="D1382">
        <v>1</v>
      </c>
      <c r="E1382" t="s">
        <v>237</v>
      </c>
      <c r="F1382">
        <f>SUM(D1353:D1382)</f>
        <v>66</v>
      </c>
    </row>
    <row r="1383" spans="1:6" x14ac:dyDescent="0.25">
      <c r="A1383">
        <v>116</v>
      </c>
      <c r="B1383">
        <v>1</v>
      </c>
      <c r="C1383">
        <v>9</v>
      </c>
      <c r="D1383">
        <v>9</v>
      </c>
      <c r="E1383" t="s">
        <v>214</v>
      </c>
    </row>
    <row r="1384" spans="1:6" x14ac:dyDescent="0.25">
      <c r="A1384">
        <v>116</v>
      </c>
      <c r="B1384">
        <v>2</v>
      </c>
      <c r="C1384">
        <v>14</v>
      </c>
      <c r="D1384">
        <v>14</v>
      </c>
      <c r="E1384" t="s">
        <v>214</v>
      </c>
    </row>
    <row r="1385" spans="1:6" x14ac:dyDescent="0.25">
      <c r="A1385">
        <v>116</v>
      </c>
      <c r="B1385">
        <v>3</v>
      </c>
      <c r="C1385">
        <v>15</v>
      </c>
      <c r="D1385">
        <v>15</v>
      </c>
      <c r="E1385" t="s">
        <v>214</v>
      </c>
    </row>
    <row r="1386" spans="1:6" x14ac:dyDescent="0.25">
      <c r="A1386">
        <v>116</v>
      </c>
      <c r="B1386">
        <v>4</v>
      </c>
      <c r="C1386">
        <v>7</v>
      </c>
      <c r="D1386">
        <v>7</v>
      </c>
      <c r="E1386" t="s">
        <v>214</v>
      </c>
    </row>
    <row r="1387" spans="1:6" x14ac:dyDescent="0.25">
      <c r="A1387">
        <v>116</v>
      </c>
      <c r="B1387">
        <v>5</v>
      </c>
      <c r="C1387">
        <v>15</v>
      </c>
      <c r="D1387">
        <v>15</v>
      </c>
      <c r="E1387" t="s">
        <v>214</v>
      </c>
    </row>
    <row r="1388" spans="1:6" x14ac:dyDescent="0.25">
      <c r="A1388">
        <v>116</v>
      </c>
      <c r="B1388">
        <v>6</v>
      </c>
      <c r="C1388">
        <v>13</v>
      </c>
      <c r="D1388">
        <v>13</v>
      </c>
      <c r="E1388" t="s">
        <v>214</v>
      </c>
    </row>
    <row r="1389" spans="1:6" x14ac:dyDescent="0.25">
      <c r="A1389">
        <v>116</v>
      </c>
      <c r="B1389">
        <v>7</v>
      </c>
      <c r="C1389">
        <v>13</v>
      </c>
      <c r="D1389">
        <v>13</v>
      </c>
      <c r="E1389" t="s">
        <v>214</v>
      </c>
    </row>
    <row r="1390" spans="1:6" x14ac:dyDescent="0.25">
      <c r="A1390">
        <v>116</v>
      </c>
      <c r="B1390">
        <v>8</v>
      </c>
      <c r="C1390">
        <v>11</v>
      </c>
      <c r="D1390">
        <v>11</v>
      </c>
      <c r="E1390" t="s">
        <v>214</v>
      </c>
    </row>
    <row r="1391" spans="1:6" x14ac:dyDescent="0.25">
      <c r="A1391">
        <v>116</v>
      </c>
      <c r="B1391">
        <v>9</v>
      </c>
      <c r="C1391">
        <v>10</v>
      </c>
      <c r="D1391">
        <v>10</v>
      </c>
      <c r="E1391" t="s">
        <v>214</v>
      </c>
    </row>
    <row r="1392" spans="1:6" x14ac:dyDescent="0.25">
      <c r="A1392">
        <v>116</v>
      </c>
      <c r="B1392">
        <v>10</v>
      </c>
      <c r="C1392">
        <v>8</v>
      </c>
      <c r="D1392">
        <v>8</v>
      </c>
      <c r="E1392" t="s">
        <v>214</v>
      </c>
    </row>
    <row r="1393" spans="1:5" x14ac:dyDescent="0.25">
      <c r="A1393">
        <v>116</v>
      </c>
      <c r="B1393">
        <v>31</v>
      </c>
      <c r="C1393">
        <v>4</v>
      </c>
      <c r="D1393">
        <v>4</v>
      </c>
      <c r="E1393" t="s">
        <v>214</v>
      </c>
    </row>
    <row r="1394" spans="1:5" x14ac:dyDescent="0.25">
      <c r="A1394">
        <v>116</v>
      </c>
      <c r="B1394">
        <v>32</v>
      </c>
      <c r="C1394">
        <v>9</v>
      </c>
      <c r="D1394">
        <v>9</v>
      </c>
      <c r="E1394" t="s">
        <v>214</v>
      </c>
    </row>
    <row r="1395" spans="1:5" x14ac:dyDescent="0.25">
      <c r="A1395">
        <v>116</v>
      </c>
      <c r="B1395">
        <v>33</v>
      </c>
      <c r="C1395">
        <v>7</v>
      </c>
      <c r="D1395">
        <v>7</v>
      </c>
      <c r="E1395" t="s">
        <v>214</v>
      </c>
    </row>
    <row r="1396" spans="1:5" x14ac:dyDescent="0.25">
      <c r="A1396">
        <v>116</v>
      </c>
      <c r="B1396">
        <v>34</v>
      </c>
      <c r="C1396">
        <v>13</v>
      </c>
      <c r="D1396">
        <v>13</v>
      </c>
      <c r="E1396" t="s">
        <v>214</v>
      </c>
    </row>
    <row r="1397" spans="1:5" x14ac:dyDescent="0.25">
      <c r="A1397">
        <v>116</v>
      </c>
      <c r="B1397">
        <v>37</v>
      </c>
      <c r="C1397">
        <v>9</v>
      </c>
      <c r="D1397">
        <v>9</v>
      </c>
      <c r="E1397" t="s">
        <v>214</v>
      </c>
    </row>
    <row r="1398" spans="1:5" x14ac:dyDescent="0.25">
      <c r="A1398">
        <v>116</v>
      </c>
      <c r="B1398">
        <v>38</v>
      </c>
      <c r="C1398">
        <v>12</v>
      </c>
      <c r="D1398">
        <v>12</v>
      </c>
      <c r="E1398" t="s">
        <v>214</v>
      </c>
    </row>
    <row r="1399" spans="1:5" x14ac:dyDescent="0.25">
      <c r="A1399">
        <v>116</v>
      </c>
      <c r="B1399">
        <v>39</v>
      </c>
      <c r="C1399">
        <v>4</v>
      </c>
      <c r="D1399">
        <v>4</v>
      </c>
      <c r="E1399" t="s">
        <v>214</v>
      </c>
    </row>
    <row r="1400" spans="1:5" x14ac:dyDescent="0.25">
      <c r="A1400">
        <v>116</v>
      </c>
      <c r="B1400">
        <v>40</v>
      </c>
      <c r="C1400">
        <v>7</v>
      </c>
      <c r="D1400">
        <v>7</v>
      </c>
      <c r="E1400" t="s">
        <v>214</v>
      </c>
    </row>
    <row r="1401" spans="1:5" x14ac:dyDescent="0.25">
      <c r="A1401">
        <v>116</v>
      </c>
      <c r="B1401">
        <v>41</v>
      </c>
      <c r="C1401">
        <v>10</v>
      </c>
      <c r="D1401">
        <v>10</v>
      </c>
      <c r="E1401" t="s">
        <v>214</v>
      </c>
    </row>
    <row r="1402" spans="1:5" x14ac:dyDescent="0.25">
      <c r="A1402">
        <v>116</v>
      </c>
      <c r="B1402">
        <v>42</v>
      </c>
      <c r="C1402">
        <v>7</v>
      </c>
      <c r="D1402">
        <v>7</v>
      </c>
      <c r="E1402" t="s">
        <v>214</v>
      </c>
    </row>
    <row r="1403" spans="1:5" x14ac:dyDescent="0.25">
      <c r="A1403">
        <v>116</v>
      </c>
      <c r="B1403">
        <v>191</v>
      </c>
      <c r="C1403">
        <v>12</v>
      </c>
      <c r="D1403">
        <v>12</v>
      </c>
      <c r="E1403" t="s">
        <v>214</v>
      </c>
    </row>
    <row r="1404" spans="1:5" x14ac:dyDescent="0.25">
      <c r="A1404">
        <v>116</v>
      </c>
      <c r="B1404">
        <v>192</v>
      </c>
      <c r="C1404">
        <v>10</v>
      </c>
      <c r="D1404">
        <v>10</v>
      </c>
      <c r="E1404" t="s">
        <v>214</v>
      </c>
    </row>
    <row r="1405" spans="1:5" x14ac:dyDescent="0.25">
      <c r="A1405">
        <v>116</v>
      </c>
      <c r="B1405">
        <v>193</v>
      </c>
      <c r="C1405">
        <v>9</v>
      </c>
      <c r="D1405">
        <v>9</v>
      </c>
      <c r="E1405" t="s">
        <v>214</v>
      </c>
    </row>
    <row r="1406" spans="1:5" x14ac:dyDescent="0.25">
      <c r="A1406">
        <v>116</v>
      </c>
      <c r="B1406">
        <v>194</v>
      </c>
      <c r="C1406">
        <v>17</v>
      </c>
      <c r="D1406">
        <v>17</v>
      </c>
      <c r="E1406" t="s">
        <v>214</v>
      </c>
    </row>
    <row r="1407" spans="1:5" x14ac:dyDescent="0.25">
      <c r="A1407">
        <v>116</v>
      </c>
      <c r="B1407">
        <v>195</v>
      </c>
      <c r="C1407">
        <v>15</v>
      </c>
      <c r="D1407">
        <v>15</v>
      </c>
      <c r="E1407" t="s">
        <v>214</v>
      </c>
    </row>
    <row r="1408" spans="1:5" x14ac:dyDescent="0.25">
      <c r="A1408">
        <v>116</v>
      </c>
      <c r="B1408">
        <v>196</v>
      </c>
      <c r="C1408">
        <v>11</v>
      </c>
      <c r="D1408">
        <v>11</v>
      </c>
      <c r="E1408" t="s">
        <v>214</v>
      </c>
    </row>
    <row r="1409" spans="1:5" x14ac:dyDescent="0.25">
      <c r="A1409">
        <v>116</v>
      </c>
      <c r="B1409">
        <v>197</v>
      </c>
      <c r="C1409">
        <v>6</v>
      </c>
      <c r="D1409">
        <v>6</v>
      </c>
      <c r="E1409" t="s">
        <v>214</v>
      </c>
    </row>
    <row r="1410" spans="1:5" x14ac:dyDescent="0.25">
      <c r="A1410">
        <v>116</v>
      </c>
      <c r="B1410">
        <v>198</v>
      </c>
      <c r="C1410">
        <v>9</v>
      </c>
      <c r="D1410">
        <v>9</v>
      </c>
      <c r="E1410" t="s">
        <v>214</v>
      </c>
    </row>
    <row r="1411" spans="1:5" x14ac:dyDescent="0.25">
      <c r="A1411">
        <v>116</v>
      </c>
      <c r="B1411">
        <v>199</v>
      </c>
      <c r="C1411">
        <v>11</v>
      </c>
      <c r="D1411">
        <v>11</v>
      </c>
      <c r="E1411" t="s">
        <v>214</v>
      </c>
    </row>
    <row r="1412" spans="1:5" x14ac:dyDescent="0.25">
      <c r="A1412">
        <v>116</v>
      </c>
      <c r="B1412">
        <v>200</v>
      </c>
      <c r="C1412">
        <v>9</v>
      </c>
      <c r="D1412">
        <v>9</v>
      </c>
      <c r="E1412" t="s">
        <v>214</v>
      </c>
    </row>
    <row r="1413" spans="1:5" x14ac:dyDescent="0.25">
      <c r="A1413">
        <v>116</v>
      </c>
      <c r="B1413">
        <v>201</v>
      </c>
      <c r="C1413">
        <v>15</v>
      </c>
      <c r="D1413">
        <v>15</v>
      </c>
      <c r="E1413" t="s">
        <v>214</v>
      </c>
    </row>
    <row r="1414" spans="1:5" x14ac:dyDescent="0.25">
      <c r="A1414">
        <v>116</v>
      </c>
      <c r="B1414">
        <v>202</v>
      </c>
      <c r="C1414">
        <v>19</v>
      </c>
      <c r="D1414">
        <v>19</v>
      </c>
      <c r="E1414" t="s">
        <v>214</v>
      </c>
    </row>
    <row r="1415" spans="1:5" x14ac:dyDescent="0.25">
      <c r="A1415">
        <v>116</v>
      </c>
      <c r="B1415">
        <v>203</v>
      </c>
      <c r="C1415">
        <v>7</v>
      </c>
      <c r="D1415">
        <v>7</v>
      </c>
      <c r="E1415" t="s">
        <v>214</v>
      </c>
    </row>
    <row r="1416" spans="1:5" x14ac:dyDescent="0.25">
      <c r="A1416">
        <v>116</v>
      </c>
      <c r="B1416">
        <v>204</v>
      </c>
      <c r="C1416">
        <v>6</v>
      </c>
      <c r="D1416">
        <v>6</v>
      </c>
      <c r="E1416" t="s">
        <v>214</v>
      </c>
    </row>
    <row r="1417" spans="1:5" x14ac:dyDescent="0.25">
      <c r="A1417">
        <v>116</v>
      </c>
      <c r="B1417">
        <v>207</v>
      </c>
      <c r="C1417">
        <v>13</v>
      </c>
      <c r="D1417">
        <v>13</v>
      </c>
      <c r="E1417" t="s">
        <v>214</v>
      </c>
    </row>
    <row r="1418" spans="1:5" x14ac:dyDescent="0.25">
      <c r="A1418">
        <v>116</v>
      </c>
      <c r="B1418">
        <v>208</v>
      </c>
      <c r="C1418">
        <v>9</v>
      </c>
      <c r="D1418">
        <v>9</v>
      </c>
      <c r="E1418" t="s">
        <v>214</v>
      </c>
    </row>
    <row r="1419" spans="1:5" x14ac:dyDescent="0.25">
      <c r="A1419">
        <v>116</v>
      </c>
      <c r="B1419">
        <v>213</v>
      </c>
      <c r="C1419">
        <v>17</v>
      </c>
      <c r="D1419">
        <v>17</v>
      </c>
      <c r="E1419" t="s">
        <v>214</v>
      </c>
    </row>
    <row r="1420" spans="1:5" x14ac:dyDescent="0.25">
      <c r="A1420">
        <v>116</v>
      </c>
      <c r="B1420">
        <v>214</v>
      </c>
      <c r="C1420">
        <v>13</v>
      </c>
      <c r="D1420">
        <v>13</v>
      </c>
      <c r="E1420" t="s">
        <v>214</v>
      </c>
    </row>
    <row r="1421" spans="1:5" x14ac:dyDescent="0.25">
      <c r="A1421">
        <v>116</v>
      </c>
      <c r="B1421">
        <v>215</v>
      </c>
      <c r="C1421">
        <v>9</v>
      </c>
      <c r="D1421">
        <v>9</v>
      </c>
      <c r="E1421" t="s">
        <v>214</v>
      </c>
    </row>
    <row r="1422" spans="1:5" x14ac:dyDescent="0.25">
      <c r="A1422">
        <v>116</v>
      </c>
      <c r="B1422">
        <v>271</v>
      </c>
      <c r="C1422">
        <v>4</v>
      </c>
      <c r="D1422">
        <v>4</v>
      </c>
      <c r="E1422" t="s">
        <v>214</v>
      </c>
    </row>
    <row r="1423" spans="1:5" x14ac:dyDescent="0.25">
      <c r="A1423">
        <v>116</v>
      </c>
      <c r="B1423">
        <v>272</v>
      </c>
      <c r="C1423">
        <v>10</v>
      </c>
      <c r="D1423">
        <v>10</v>
      </c>
      <c r="E1423" t="s">
        <v>214</v>
      </c>
    </row>
    <row r="1424" spans="1:5" x14ac:dyDescent="0.25">
      <c r="A1424">
        <v>116</v>
      </c>
      <c r="B1424">
        <v>284</v>
      </c>
      <c r="C1424">
        <v>7</v>
      </c>
      <c r="D1424">
        <v>7</v>
      </c>
      <c r="E1424" t="s">
        <v>214</v>
      </c>
    </row>
    <row r="1425" spans="1:5" x14ac:dyDescent="0.25">
      <c r="A1425">
        <v>116</v>
      </c>
      <c r="B1425">
        <v>286</v>
      </c>
      <c r="C1425">
        <v>17</v>
      </c>
      <c r="D1425">
        <v>17</v>
      </c>
      <c r="E1425" t="s">
        <v>214</v>
      </c>
    </row>
    <row r="1426" spans="1:5" x14ac:dyDescent="0.25">
      <c r="A1426">
        <v>116</v>
      </c>
      <c r="B1426">
        <v>289</v>
      </c>
      <c r="C1426">
        <v>11</v>
      </c>
      <c r="D1426">
        <v>11</v>
      </c>
      <c r="E1426" t="s">
        <v>214</v>
      </c>
    </row>
    <row r="1427" spans="1:5" x14ac:dyDescent="0.25">
      <c r="A1427">
        <v>116</v>
      </c>
      <c r="B1427">
        <v>292</v>
      </c>
      <c r="C1427">
        <v>8</v>
      </c>
      <c r="D1427">
        <v>8</v>
      </c>
      <c r="E1427" t="s">
        <v>214</v>
      </c>
    </row>
    <row r="1428" spans="1:5" x14ac:dyDescent="0.25">
      <c r="A1428">
        <v>116</v>
      </c>
      <c r="B1428">
        <v>293</v>
      </c>
      <c r="C1428">
        <v>8</v>
      </c>
      <c r="D1428">
        <v>8</v>
      </c>
      <c r="E1428" t="s">
        <v>214</v>
      </c>
    </row>
    <row r="1429" spans="1:5" x14ac:dyDescent="0.25">
      <c r="A1429">
        <v>116</v>
      </c>
      <c r="B1429">
        <v>298</v>
      </c>
      <c r="C1429">
        <v>9</v>
      </c>
      <c r="D1429">
        <v>9</v>
      </c>
      <c r="E1429" t="s">
        <v>214</v>
      </c>
    </row>
    <row r="1430" spans="1:5" x14ac:dyDescent="0.25">
      <c r="A1430">
        <v>116</v>
      </c>
      <c r="B1430">
        <v>303</v>
      </c>
      <c r="C1430">
        <v>17</v>
      </c>
      <c r="D1430">
        <v>17</v>
      </c>
      <c r="E1430" t="s">
        <v>214</v>
      </c>
    </row>
    <row r="1431" spans="1:5" x14ac:dyDescent="0.25">
      <c r="A1431">
        <v>116</v>
      </c>
      <c r="B1431">
        <v>308</v>
      </c>
      <c r="C1431">
        <v>9</v>
      </c>
      <c r="D1431">
        <v>9</v>
      </c>
      <c r="E1431" t="s">
        <v>214</v>
      </c>
    </row>
    <row r="1432" spans="1:5" x14ac:dyDescent="0.25">
      <c r="A1432">
        <v>116</v>
      </c>
      <c r="B1432">
        <v>315</v>
      </c>
      <c r="C1432">
        <v>4</v>
      </c>
      <c r="D1432">
        <v>4</v>
      </c>
      <c r="E1432" t="s">
        <v>214</v>
      </c>
    </row>
    <row r="1433" spans="1:5" x14ac:dyDescent="0.25">
      <c r="A1433">
        <v>116</v>
      </c>
      <c r="B1433">
        <v>316</v>
      </c>
      <c r="C1433">
        <v>11</v>
      </c>
      <c r="D1433">
        <v>11</v>
      </c>
      <c r="E1433" t="s">
        <v>214</v>
      </c>
    </row>
    <row r="1434" spans="1:5" x14ac:dyDescent="0.25">
      <c r="A1434">
        <v>116</v>
      </c>
      <c r="B1434">
        <v>320</v>
      </c>
      <c r="C1434">
        <v>7</v>
      </c>
      <c r="D1434">
        <v>7</v>
      </c>
      <c r="E1434" t="s">
        <v>214</v>
      </c>
    </row>
    <row r="1435" spans="1:5" x14ac:dyDescent="0.25">
      <c r="A1435">
        <v>116</v>
      </c>
      <c r="B1435">
        <v>324</v>
      </c>
      <c r="C1435">
        <v>7</v>
      </c>
      <c r="D1435">
        <v>7</v>
      </c>
      <c r="E1435" t="s">
        <v>214</v>
      </c>
    </row>
    <row r="1436" spans="1:5" x14ac:dyDescent="0.25">
      <c r="A1436">
        <v>116</v>
      </c>
      <c r="B1436">
        <v>327</v>
      </c>
      <c r="C1436">
        <v>12</v>
      </c>
      <c r="D1436">
        <v>12</v>
      </c>
      <c r="E1436" t="s">
        <v>214</v>
      </c>
    </row>
    <row r="1437" spans="1:5" x14ac:dyDescent="0.25">
      <c r="A1437">
        <v>116</v>
      </c>
      <c r="B1437">
        <v>330</v>
      </c>
      <c r="C1437">
        <v>7</v>
      </c>
      <c r="D1437">
        <v>7</v>
      </c>
      <c r="E1437" t="s">
        <v>214</v>
      </c>
    </row>
    <row r="1438" spans="1:5" x14ac:dyDescent="0.25">
      <c r="A1438">
        <v>116</v>
      </c>
      <c r="B1438">
        <v>338</v>
      </c>
      <c r="C1438">
        <v>8</v>
      </c>
      <c r="D1438">
        <v>8</v>
      </c>
      <c r="E1438" t="s">
        <v>214</v>
      </c>
    </row>
    <row r="1439" spans="1:5" x14ac:dyDescent="0.25">
      <c r="A1439">
        <v>116</v>
      </c>
      <c r="B1439">
        <v>340</v>
      </c>
      <c r="C1439">
        <v>10</v>
      </c>
      <c r="D1439">
        <v>10</v>
      </c>
      <c r="E1439" t="s">
        <v>214</v>
      </c>
    </row>
    <row r="1440" spans="1:5" x14ac:dyDescent="0.25">
      <c r="A1440">
        <v>116</v>
      </c>
      <c r="B1440">
        <v>346</v>
      </c>
      <c r="C1440">
        <v>15</v>
      </c>
      <c r="D1440">
        <v>15</v>
      </c>
      <c r="E1440" t="s">
        <v>214</v>
      </c>
    </row>
    <row r="1441" spans="1:5" x14ac:dyDescent="0.25">
      <c r="A1441">
        <v>116</v>
      </c>
      <c r="B1441">
        <v>349</v>
      </c>
      <c r="C1441">
        <v>5</v>
      </c>
      <c r="D1441">
        <v>5</v>
      </c>
      <c r="E1441" t="s">
        <v>214</v>
      </c>
    </row>
    <row r="1442" spans="1:5" x14ac:dyDescent="0.25">
      <c r="A1442">
        <v>116</v>
      </c>
      <c r="B1442">
        <v>353</v>
      </c>
      <c r="C1442">
        <v>8</v>
      </c>
      <c r="D1442">
        <v>8</v>
      </c>
      <c r="E1442" t="s">
        <v>214</v>
      </c>
    </row>
    <row r="1443" spans="1:5" x14ac:dyDescent="0.25">
      <c r="A1443">
        <v>116</v>
      </c>
      <c r="B1443">
        <v>356</v>
      </c>
      <c r="C1443">
        <v>13</v>
      </c>
      <c r="D1443">
        <v>13</v>
      </c>
      <c r="E1443" t="s">
        <v>214</v>
      </c>
    </row>
    <row r="1444" spans="1:5" x14ac:dyDescent="0.25">
      <c r="A1444">
        <v>116</v>
      </c>
      <c r="B1444">
        <v>360</v>
      </c>
      <c r="C1444">
        <v>4</v>
      </c>
      <c r="D1444">
        <v>4</v>
      </c>
      <c r="E1444" t="s">
        <v>214</v>
      </c>
    </row>
    <row r="1445" spans="1:5" x14ac:dyDescent="0.25">
      <c r="A1445">
        <v>116</v>
      </c>
      <c r="B1445">
        <v>362</v>
      </c>
      <c r="C1445">
        <v>3</v>
      </c>
      <c r="D1445">
        <v>3</v>
      </c>
      <c r="E1445" t="s">
        <v>214</v>
      </c>
    </row>
    <row r="1446" spans="1:5" x14ac:dyDescent="0.25">
      <c r="A1446">
        <v>116</v>
      </c>
      <c r="B1446">
        <v>365</v>
      </c>
      <c r="C1446">
        <v>15</v>
      </c>
      <c r="D1446">
        <v>15</v>
      </c>
      <c r="E1446" t="s">
        <v>214</v>
      </c>
    </row>
    <row r="1447" spans="1:5" x14ac:dyDescent="0.25">
      <c r="A1447">
        <v>116</v>
      </c>
      <c r="B1447">
        <v>367</v>
      </c>
      <c r="C1447">
        <v>8</v>
      </c>
      <c r="D1447">
        <v>8</v>
      </c>
      <c r="E1447" t="s">
        <v>214</v>
      </c>
    </row>
    <row r="1448" spans="1:5" x14ac:dyDescent="0.25">
      <c r="A1448">
        <v>116</v>
      </c>
      <c r="B1448">
        <v>371</v>
      </c>
      <c r="C1448">
        <v>13</v>
      </c>
      <c r="D1448">
        <v>13</v>
      </c>
      <c r="E1448" t="s">
        <v>214</v>
      </c>
    </row>
    <row r="1449" spans="1:5" x14ac:dyDescent="0.25">
      <c r="A1449">
        <v>116</v>
      </c>
      <c r="B1449">
        <v>377</v>
      </c>
      <c r="C1449">
        <v>13</v>
      </c>
      <c r="D1449">
        <v>13</v>
      </c>
      <c r="E1449" t="s">
        <v>214</v>
      </c>
    </row>
    <row r="1450" spans="1:5" x14ac:dyDescent="0.25">
      <c r="A1450">
        <v>116</v>
      </c>
      <c r="B1450">
        <v>464</v>
      </c>
      <c r="C1450">
        <v>11</v>
      </c>
      <c r="D1450">
        <v>11</v>
      </c>
      <c r="E1450" t="s">
        <v>214</v>
      </c>
    </row>
    <row r="1451" spans="1:5" x14ac:dyDescent="0.25">
      <c r="A1451">
        <v>116</v>
      </c>
      <c r="B1451">
        <v>468</v>
      </c>
      <c r="C1451">
        <v>16</v>
      </c>
      <c r="D1451">
        <v>16</v>
      </c>
      <c r="E1451" t="s">
        <v>214</v>
      </c>
    </row>
    <row r="1452" spans="1:5" x14ac:dyDescent="0.25">
      <c r="A1452">
        <v>116</v>
      </c>
      <c r="B1452">
        <v>469</v>
      </c>
      <c r="C1452">
        <v>5</v>
      </c>
      <c r="D1452">
        <v>5</v>
      </c>
      <c r="E1452" t="s">
        <v>214</v>
      </c>
    </row>
    <row r="1453" spans="1:5" x14ac:dyDescent="0.25">
      <c r="A1453">
        <v>116</v>
      </c>
      <c r="B1453">
        <v>472</v>
      </c>
      <c r="C1453">
        <v>10</v>
      </c>
      <c r="D1453">
        <v>10</v>
      </c>
      <c r="E1453" t="s">
        <v>214</v>
      </c>
    </row>
    <row r="1454" spans="1:5" x14ac:dyDescent="0.25">
      <c r="A1454">
        <v>116</v>
      </c>
      <c r="B1454">
        <v>477</v>
      </c>
      <c r="C1454">
        <v>3</v>
      </c>
      <c r="D1454">
        <v>3</v>
      </c>
      <c r="E1454" t="s">
        <v>214</v>
      </c>
    </row>
    <row r="1455" spans="1:5" x14ac:dyDescent="0.25">
      <c r="A1455">
        <v>116</v>
      </c>
      <c r="B1455">
        <v>482</v>
      </c>
      <c r="C1455">
        <v>6</v>
      </c>
      <c r="D1455">
        <v>6</v>
      </c>
      <c r="E1455" t="s">
        <v>214</v>
      </c>
    </row>
    <row r="1456" spans="1:5" x14ac:dyDescent="0.25">
      <c r="A1456">
        <v>116</v>
      </c>
      <c r="B1456">
        <v>490</v>
      </c>
      <c r="C1456">
        <v>5</v>
      </c>
      <c r="D1456">
        <v>5</v>
      </c>
      <c r="E1456" t="s">
        <v>214</v>
      </c>
    </row>
    <row r="1457" spans="1:6" x14ac:dyDescent="0.25">
      <c r="A1457">
        <v>116</v>
      </c>
      <c r="B1457">
        <v>495</v>
      </c>
      <c r="C1457">
        <v>5</v>
      </c>
      <c r="D1457">
        <v>5</v>
      </c>
      <c r="E1457" t="s">
        <v>214</v>
      </c>
      <c r="F1457">
        <f>SUM(D1383:D1457)</f>
        <v>738</v>
      </c>
    </row>
    <row r="1458" spans="1:6" x14ac:dyDescent="0.25">
      <c r="A1458">
        <v>116</v>
      </c>
      <c r="B1458">
        <v>23</v>
      </c>
      <c r="C1458">
        <v>8</v>
      </c>
      <c r="D1458">
        <v>8</v>
      </c>
      <c r="E1458" t="s">
        <v>215</v>
      </c>
    </row>
    <row r="1459" spans="1:6" x14ac:dyDescent="0.25">
      <c r="A1459">
        <v>116</v>
      </c>
      <c r="B1459">
        <v>24</v>
      </c>
      <c r="C1459">
        <v>8</v>
      </c>
      <c r="D1459">
        <v>8</v>
      </c>
      <c r="E1459" t="s">
        <v>215</v>
      </c>
    </row>
    <row r="1460" spans="1:6" x14ac:dyDescent="0.25">
      <c r="A1460">
        <v>116</v>
      </c>
      <c r="B1460">
        <v>25</v>
      </c>
      <c r="C1460">
        <v>7</v>
      </c>
      <c r="D1460">
        <v>7</v>
      </c>
      <c r="E1460" t="s">
        <v>215</v>
      </c>
    </row>
    <row r="1461" spans="1:6" x14ac:dyDescent="0.25">
      <c r="A1461">
        <v>116</v>
      </c>
      <c r="B1461">
        <v>26</v>
      </c>
      <c r="C1461">
        <v>7</v>
      </c>
      <c r="D1461">
        <v>7</v>
      </c>
      <c r="E1461" t="s">
        <v>215</v>
      </c>
    </row>
    <row r="1462" spans="1:6" x14ac:dyDescent="0.25">
      <c r="A1462">
        <v>116</v>
      </c>
      <c r="B1462">
        <v>27</v>
      </c>
      <c r="C1462">
        <v>1</v>
      </c>
      <c r="D1462">
        <v>1</v>
      </c>
      <c r="E1462" t="s">
        <v>215</v>
      </c>
    </row>
    <row r="1463" spans="1:6" x14ac:dyDescent="0.25">
      <c r="A1463">
        <v>116</v>
      </c>
      <c r="B1463">
        <v>28</v>
      </c>
      <c r="C1463">
        <v>4</v>
      </c>
      <c r="D1463">
        <v>4</v>
      </c>
      <c r="E1463" t="s">
        <v>215</v>
      </c>
    </row>
    <row r="1464" spans="1:6" x14ac:dyDescent="0.25">
      <c r="A1464">
        <v>116</v>
      </c>
      <c r="B1464">
        <v>29</v>
      </c>
      <c r="C1464">
        <v>2</v>
      </c>
      <c r="D1464">
        <v>2</v>
      </c>
      <c r="E1464" t="s">
        <v>215</v>
      </c>
    </row>
    <row r="1465" spans="1:6" x14ac:dyDescent="0.25">
      <c r="A1465">
        <v>116</v>
      </c>
      <c r="B1465">
        <v>35</v>
      </c>
      <c r="C1465">
        <v>3</v>
      </c>
      <c r="D1465">
        <v>3</v>
      </c>
      <c r="E1465" t="s">
        <v>215</v>
      </c>
    </row>
    <row r="1466" spans="1:6" x14ac:dyDescent="0.25">
      <c r="A1466">
        <v>116</v>
      </c>
      <c r="B1466">
        <v>36</v>
      </c>
      <c r="C1466">
        <v>2</v>
      </c>
      <c r="D1466">
        <v>2</v>
      </c>
      <c r="E1466" t="s">
        <v>215</v>
      </c>
    </row>
    <row r="1467" spans="1:6" x14ac:dyDescent="0.25">
      <c r="A1467">
        <v>116</v>
      </c>
      <c r="B1467">
        <v>72</v>
      </c>
      <c r="C1467">
        <v>2</v>
      </c>
      <c r="D1467">
        <v>2</v>
      </c>
      <c r="E1467" t="s">
        <v>215</v>
      </c>
    </row>
    <row r="1468" spans="1:6" x14ac:dyDescent="0.25">
      <c r="A1468">
        <v>116</v>
      </c>
      <c r="B1468">
        <v>73</v>
      </c>
      <c r="C1468">
        <v>1</v>
      </c>
      <c r="D1468">
        <v>1</v>
      </c>
      <c r="E1468" t="s">
        <v>215</v>
      </c>
    </row>
    <row r="1469" spans="1:6" x14ac:dyDescent="0.25">
      <c r="A1469">
        <v>116</v>
      </c>
      <c r="B1469">
        <v>74</v>
      </c>
      <c r="C1469">
        <v>1</v>
      </c>
      <c r="D1469">
        <v>1</v>
      </c>
      <c r="E1469" t="s">
        <v>215</v>
      </c>
    </row>
    <row r="1470" spans="1:6" x14ac:dyDescent="0.25">
      <c r="A1470">
        <v>116</v>
      </c>
      <c r="B1470">
        <v>75</v>
      </c>
      <c r="C1470">
        <v>2</v>
      </c>
      <c r="D1470">
        <v>2</v>
      </c>
      <c r="E1470" t="s">
        <v>215</v>
      </c>
    </row>
    <row r="1471" spans="1:6" x14ac:dyDescent="0.25">
      <c r="A1471">
        <v>116</v>
      </c>
      <c r="B1471">
        <v>76</v>
      </c>
      <c r="C1471">
        <v>7</v>
      </c>
      <c r="D1471">
        <v>7</v>
      </c>
      <c r="E1471" t="s">
        <v>215</v>
      </c>
    </row>
    <row r="1472" spans="1:6" x14ac:dyDescent="0.25">
      <c r="A1472">
        <v>116</v>
      </c>
      <c r="B1472">
        <v>77</v>
      </c>
      <c r="C1472">
        <v>3</v>
      </c>
      <c r="D1472">
        <v>3</v>
      </c>
      <c r="E1472" t="s">
        <v>215</v>
      </c>
    </row>
    <row r="1473" spans="1:5" x14ac:dyDescent="0.25">
      <c r="A1473">
        <v>116</v>
      </c>
      <c r="B1473">
        <v>78</v>
      </c>
      <c r="C1473">
        <v>3</v>
      </c>
      <c r="D1473">
        <v>3</v>
      </c>
      <c r="E1473" t="s">
        <v>215</v>
      </c>
    </row>
    <row r="1474" spans="1:5" x14ac:dyDescent="0.25">
      <c r="A1474">
        <v>116</v>
      </c>
      <c r="B1474">
        <v>79</v>
      </c>
      <c r="C1474">
        <v>4</v>
      </c>
      <c r="D1474">
        <v>4</v>
      </c>
      <c r="E1474" t="s">
        <v>215</v>
      </c>
    </row>
    <row r="1475" spans="1:5" x14ac:dyDescent="0.25">
      <c r="A1475">
        <v>116</v>
      </c>
      <c r="B1475">
        <v>80</v>
      </c>
      <c r="C1475">
        <v>1</v>
      </c>
      <c r="D1475">
        <v>1</v>
      </c>
      <c r="E1475" t="s">
        <v>215</v>
      </c>
    </row>
    <row r="1476" spans="1:5" x14ac:dyDescent="0.25">
      <c r="A1476">
        <v>116</v>
      </c>
      <c r="B1476">
        <v>81</v>
      </c>
      <c r="C1476">
        <v>3</v>
      </c>
      <c r="D1476">
        <v>3</v>
      </c>
      <c r="E1476" t="s">
        <v>215</v>
      </c>
    </row>
    <row r="1477" spans="1:5" x14ac:dyDescent="0.25">
      <c r="A1477">
        <v>116</v>
      </c>
      <c r="B1477">
        <v>82</v>
      </c>
      <c r="C1477">
        <v>1</v>
      </c>
      <c r="D1477">
        <v>1</v>
      </c>
      <c r="E1477" t="s">
        <v>215</v>
      </c>
    </row>
    <row r="1478" spans="1:5" x14ac:dyDescent="0.25">
      <c r="A1478">
        <v>116</v>
      </c>
      <c r="B1478">
        <v>83</v>
      </c>
      <c r="C1478">
        <v>2</v>
      </c>
      <c r="D1478">
        <v>2</v>
      </c>
      <c r="E1478" t="s">
        <v>215</v>
      </c>
    </row>
    <row r="1479" spans="1:5" x14ac:dyDescent="0.25">
      <c r="A1479">
        <v>116</v>
      </c>
      <c r="B1479">
        <v>84</v>
      </c>
      <c r="C1479">
        <v>7</v>
      </c>
      <c r="D1479">
        <v>7</v>
      </c>
      <c r="E1479" t="s">
        <v>215</v>
      </c>
    </row>
    <row r="1480" spans="1:5" x14ac:dyDescent="0.25">
      <c r="A1480">
        <v>116</v>
      </c>
      <c r="B1480">
        <v>85</v>
      </c>
      <c r="C1480">
        <v>3</v>
      </c>
      <c r="D1480">
        <v>3</v>
      </c>
      <c r="E1480" t="s">
        <v>215</v>
      </c>
    </row>
    <row r="1481" spans="1:5" x14ac:dyDescent="0.25">
      <c r="A1481">
        <v>116</v>
      </c>
      <c r="B1481">
        <v>86</v>
      </c>
      <c r="C1481">
        <v>2</v>
      </c>
      <c r="D1481">
        <v>2</v>
      </c>
      <c r="E1481" t="s">
        <v>215</v>
      </c>
    </row>
    <row r="1482" spans="1:5" x14ac:dyDescent="0.25">
      <c r="A1482">
        <v>116</v>
      </c>
      <c r="B1482">
        <v>87</v>
      </c>
      <c r="C1482">
        <v>5</v>
      </c>
      <c r="D1482">
        <v>5</v>
      </c>
      <c r="E1482" t="s">
        <v>215</v>
      </c>
    </row>
    <row r="1483" spans="1:5" x14ac:dyDescent="0.25">
      <c r="A1483">
        <v>116</v>
      </c>
      <c r="B1483">
        <v>88</v>
      </c>
      <c r="C1483">
        <v>6</v>
      </c>
      <c r="D1483">
        <v>6</v>
      </c>
      <c r="E1483" t="s">
        <v>215</v>
      </c>
    </row>
    <row r="1484" spans="1:5" x14ac:dyDescent="0.25">
      <c r="A1484">
        <v>116</v>
      </c>
      <c r="B1484">
        <v>89</v>
      </c>
      <c r="C1484">
        <v>2</v>
      </c>
      <c r="D1484">
        <v>2</v>
      </c>
      <c r="E1484" t="s">
        <v>215</v>
      </c>
    </row>
    <row r="1485" spans="1:5" x14ac:dyDescent="0.25">
      <c r="A1485">
        <v>116</v>
      </c>
      <c r="B1485">
        <v>90</v>
      </c>
      <c r="C1485">
        <v>8</v>
      </c>
      <c r="D1485">
        <v>8</v>
      </c>
      <c r="E1485" t="s">
        <v>215</v>
      </c>
    </row>
    <row r="1486" spans="1:5" x14ac:dyDescent="0.25">
      <c r="A1486">
        <v>116</v>
      </c>
      <c r="B1486">
        <v>91</v>
      </c>
      <c r="C1486">
        <v>9</v>
      </c>
      <c r="D1486">
        <v>9</v>
      </c>
      <c r="E1486" t="s">
        <v>215</v>
      </c>
    </row>
    <row r="1487" spans="1:5" x14ac:dyDescent="0.25">
      <c r="A1487">
        <v>116</v>
      </c>
      <c r="B1487">
        <v>92</v>
      </c>
      <c r="C1487">
        <v>5</v>
      </c>
      <c r="D1487">
        <v>5</v>
      </c>
      <c r="E1487" t="s">
        <v>215</v>
      </c>
    </row>
    <row r="1488" spans="1:5" x14ac:dyDescent="0.25">
      <c r="A1488">
        <v>116</v>
      </c>
      <c r="B1488">
        <v>93</v>
      </c>
      <c r="C1488">
        <v>7</v>
      </c>
      <c r="D1488">
        <v>7</v>
      </c>
      <c r="E1488" t="s">
        <v>215</v>
      </c>
    </row>
    <row r="1489" spans="1:5" x14ac:dyDescent="0.25">
      <c r="A1489">
        <v>116</v>
      </c>
      <c r="B1489">
        <v>94</v>
      </c>
      <c r="C1489">
        <v>3</v>
      </c>
      <c r="D1489">
        <v>3</v>
      </c>
      <c r="E1489" t="s">
        <v>215</v>
      </c>
    </row>
    <row r="1490" spans="1:5" x14ac:dyDescent="0.25">
      <c r="A1490">
        <v>116</v>
      </c>
      <c r="B1490">
        <v>95</v>
      </c>
      <c r="C1490">
        <v>2</v>
      </c>
      <c r="D1490">
        <v>2</v>
      </c>
      <c r="E1490" t="s">
        <v>215</v>
      </c>
    </row>
    <row r="1491" spans="1:5" x14ac:dyDescent="0.25">
      <c r="A1491">
        <v>116</v>
      </c>
      <c r="B1491">
        <v>96</v>
      </c>
      <c r="C1491">
        <v>2</v>
      </c>
      <c r="D1491">
        <v>2</v>
      </c>
      <c r="E1491" t="s">
        <v>215</v>
      </c>
    </row>
    <row r="1492" spans="1:5" x14ac:dyDescent="0.25">
      <c r="A1492">
        <v>116</v>
      </c>
      <c r="B1492">
        <v>97</v>
      </c>
      <c r="C1492">
        <v>4</v>
      </c>
      <c r="D1492">
        <v>4</v>
      </c>
      <c r="E1492" t="s">
        <v>215</v>
      </c>
    </row>
    <row r="1493" spans="1:5" x14ac:dyDescent="0.25">
      <c r="A1493">
        <v>116</v>
      </c>
      <c r="B1493">
        <v>98</v>
      </c>
      <c r="C1493">
        <v>5</v>
      </c>
      <c r="D1493">
        <v>5</v>
      </c>
      <c r="E1493" t="s">
        <v>215</v>
      </c>
    </row>
    <row r="1494" spans="1:5" x14ac:dyDescent="0.25">
      <c r="A1494">
        <v>116</v>
      </c>
      <c r="B1494">
        <v>105</v>
      </c>
      <c r="C1494">
        <v>6</v>
      </c>
      <c r="D1494">
        <v>6</v>
      </c>
      <c r="E1494" t="s">
        <v>215</v>
      </c>
    </row>
    <row r="1495" spans="1:5" x14ac:dyDescent="0.25">
      <c r="A1495">
        <v>116</v>
      </c>
      <c r="B1495">
        <v>119</v>
      </c>
      <c r="C1495">
        <v>24</v>
      </c>
      <c r="D1495">
        <v>24</v>
      </c>
      <c r="E1495" t="s">
        <v>215</v>
      </c>
    </row>
    <row r="1496" spans="1:5" x14ac:dyDescent="0.25">
      <c r="A1496">
        <v>116</v>
      </c>
      <c r="B1496">
        <v>120</v>
      </c>
      <c r="C1496">
        <v>13</v>
      </c>
      <c r="D1496">
        <v>13</v>
      </c>
      <c r="E1496" t="s">
        <v>215</v>
      </c>
    </row>
    <row r="1497" spans="1:5" x14ac:dyDescent="0.25">
      <c r="A1497">
        <v>116</v>
      </c>
      <c r="B1497">
        <v>121</v>
      </c>
      <c r="C1497">
        <v>16</v>
      </c>
      <c r="D1497">
        <v>16</v>
      </c>
      <c r="E1497" t="s">
        <v>215</v>
      </c>
    </row>
    <row r="1498" spans="1:5" x14ac:dyDescent="0.25">
      <c r="A1498">
        <v>116</v>
      </c>
      <c r="B1498">
        <v>122</v>
      </c>
      <c r="C1498">
        <v>17</v>
      </c>
      <c r="D1498">
        <v>17</v>
      </c>
      <c r="E1498" t="s">
        <v>215</v>
      </c>
    </row>
    <row r="1499" spans="1:5" x14ac:dyDescent="0.25">
      <c r="A1499">
        <v>116</v>
      </c>
      <c r="B1499">
        <v>123</v>
      </c>
      <c r="C1499">
        <v>12</v>
      </c>
      <c r="D1499">
        <v>12</v>
      </c>
      <c r="E1499" t="s">
        <v>215</v>
      </c>
    </row>
    <row r="1500" spans="1:5" x14ac:dyDescent="0.25">
      <c r="A1500">
        <v>116</v>
      </c>
      <c r="B1500">
        <v>124</v>
      </c>
      <c r="C1500">
        <v>21</v>
      </c>
      <c r="D1500">
        <v>21</v>
      </c>
      <c r="E1500" t="s">
        <v>215</v>
      </c>
    </row>
    <row r="1501" spans="1:5" x14ac:dyDescent="0.25">
      <c r="A1501">
        <v>116</v>
      </c>
      <c r="B1501">
        <v>125</v>
      </c>
      <c r="C1501">
        <v>14</v>
      </c>
      <c r="D1501">
        <v>14</v>
      </c>
      <c r="E1501" t="s">
        <v>215</v>
      </c>
    </row>
    <row r="1502" spans="1:5" x14ac:dyDescent="0.25">
      <c r="A1502">
        <v>116</v>
      </c>
      <c r="B1502">
        <v>126</v>
      </c>
      <c r="C1502">
        <v>21</v>
      </c>
      <c r="D1502">
        <v>21</v>
      </c>
      <c r="E1502" t="s">
        <v>215</v>
      </c>
    </row>
    <row r="1503" spans="1:5" x14ac:dyDescent="0.25">
      <c r="A1503">
        <v>116</v>
      </c>
      <c r="B1503">
        <v>127</v>
      </c>
      <c r="C1503">
        <v>17</v>
      </c>
      <c r="D1503">
        <v>17</v>
      </c>
      <c r="E1503" t="s">
        <v>215</v>
      </c>
    </row>
    <row r="1504" spans="1:5" x14ac:dyDescent="0.25">
      <c r="A1504">
        <v>116</v>
      </c>
      <c r="B1504">
        <v>128</v>
      </c>
      <c r="C1504">
        <v>19</v>
      </c>
      <c r="D1504">
        <v>19</v>
      </c>
      <c r="E1504" t="s">
        <v>215</v>
      </c>
    </row>
    <row r="1505" spans="1:5" x14ac:dyDescent="0.25">
      <c r="A1505">
        <v>116</v>
      </c>
      <c r="B1505">
        <v>150</v>
      </c>
      <c r="C1505">
        <v>4</v>
      </c>
      <c r="D1505">
        <v>4</v>
      </c>
      <c r="E1505" t="s">
        <v>215</v>
      </c>
    </row>
    <row r="1506" spans="1:5" x14ac:dyDescent="0.25">
      <c r="A1506">
        <v>116</v>
      </c>
      <c r="B1506">
        <v>173</v>
      </c>
      <c r="C1506">
        <v>4</v>
      </c>
      <c r="D1506">
        <v>4</v>
      </c>
      <c r="E1506" t="s">
        <v>215</v>
      </c>
    </row>
    <row r="1507" spans="1:5" x14ac:dyDescent="0.25">
      <c r="A1507">
        <v>116</v>
      </c>
      <c r="B1507">
        <v>174</v>
      </c>
      <c r="C1507">
        <v>4</v>
      </c>
      <c r="D1507">
        <v>4</v>
      </c>
      <c r="E1507" t="s">
        <v>215</v>
      </c>
    </row>
    <row r="1508" spans="1:5" x14ac:dyDescent="0.25">
      <c r="A1508">
        <v>116</v>
      </c>
      <c r="B1508">
        <v>175</v>
      </c>
      <c r="C1508">
        <v>5</v>
      </c>
      <c r="D1508">
        <v>5</v>
      </c>
      <c r="E1508" t="s">
        <v>215</v>
      </c>
    </row>
    <row r="1509" spans="1:5" x14ac:dyDescent="0.25">
      <c r="A1509">
        <v>116</v>
      </c>
      <c r="B1509">
        <v>176</v>
      </c>
      <c r="C1509">
        <v>2</v>
      </c>
      <c r="D1509">
        <v>2</v>
      </c>
      <c r="E1509" t="s">
        <v>215</v>
      </c>
    </row>
    <row r="1510" spans="1:5" x14ac:dyDescent="0.25">
      <c r="A1510">
        <v>116</v>
      </c>
      <c r="B1510">
        <v>177</v>
      </c>
      <c r="C1510">
        <v>1</v>
      </c>
      <c r="D1510">
        <v>1</v>
      </c>
      <c r="E1510" t="s">
        <v>215</v>
      </c>
    </row>
    <row r="1511" spans="1:5" x14ac:dyDescent="0.25">
      <c r="A1511">
        <v>116</v>
      </c>
      <c r="B1511">
        <v>178</v>
      </c>
      <c r="C1511">
        <v>3</v>
      </c>
      <c r="D1511">
        <v>3</v>
      </c>
      <c r="E1511" t="s">
        <v>215</v>
      </c>
    </row>
    <row r="1512" spans="1:5" x14ac:dyDescent="0.25">
      <c r="A1512">
        <v>116</v>
      </c>
      <c r="B1512">
        <v>179</v>
      </c>
      <c r="C1512">
        <v>3</v>
      </c>
      <c r="D1512">
        <v>3</v>
      </c>
      <c r="E1512" t="s">
        <v>215</v>
      </c>
    </row>
    <row r="1513" spans="1:5" x14ac:dyDescent="0.25">
      <c r="A1513">
        <v>116</v>
      </c>
      <c r="B1513">
        <v>180</v>
      </c>
      <c r="C1513">
        <v>3</v>
      </c>
      <c r="D1513">
        <v>3</v>
      </c>
      <c r="E1513" t="s">
        <v>215</v>
      </c>
    </row>
    <row r="1514" spans="1:5" x14ac:dyDescent="0.25">
      <c r="A1514">
        <v>116</v>
      </c>
      <c r="B1514">
        <v>188</v>
      </c>
      <c r="C1514">
        <v>13</v>
      </c>
      <c r="D1514">
        <v>13</v>
      </c>
      <c r="E1514" t="s">
        <v>215</v>
      </c>
    </row>
    <row r="1515" spans="1:5" x14ac:dyDescent="0.25">
      <c r="A1515">
        <v>116</v>
      </c>
      <c r="B1515">
        <v>189</v>
      </c>
      <c r="C1515">
        <v>6</v>
      </c>
      <c r="D1515">
        <v>6</v>
      </c>
      <c r="E1515" t="s">
        <v>215</v>
      </c>
    </row>
    <row r="1516" spans="1:5" x14ac:dyDescent="0.25">
      <c r="A1516">
        <v>116</v>
      </c>
      <c r="B1516">
        <v>211</v>
      </c>
      <c r="C1516">
        <v>3</v>
      </c>
      <c r="D1516">
        <v>3</v>
      </c>
      <c r="E1516" t="s">
        <v>215</v>
      </c>
    </row>
    <row r="1517" spans="1:5" x14ac:dyDescent="0.25">
      <c r="A1517">
        <v>116</v>
      </c>
      <c r="B1517">
        <v>212</v>
      </c>
      <c r="C1517">
        <v>2</v>
      </c>
      <c r="D1517">
        <v>2</v>
      </c>
      <c r="E1517" t="s">
        <v>215</v>
      </c>
    </row>
    <row r="1518" spans="1:5" x14ac:dyDescent="0.25">
      <c r="A1518">
        <v>116</v>
      </c>
      <c r="B1518">
        <v>266</v>
      </c>
      <c r="C1518">
        <v>2</v>
      </c>
      <c r="D1518">
        <v>2</v>
      </c>
      <c r="E1518" t="s">
        <v>215</v>
      </c>
    </row>
    <row r="1519" spans="1:5" x14ac:dyDescent="0.25">
      <c r="A1519">
        <v>116</v>
      </c>
      <c r="B1519">
        <v>267</v>
      </c>
      <c r="C1519">
        <v>5</v>
      </c>
      <c r="D1519">
        <v>5</v>
      </c>
      <c r="E1519" t="s">
        <v>215</v>
      </c>
    </row>
    <row r="1520" spans="1:5" x14ac:dyDescent="0.25">
      <c r="A1520">
        <v>116</v>
      </c>
      <c r="B1520">
        <v>273</v>
      </c>
      <c r="C1520">
        <v>3</v>
      </c>
      <c r="D1520">
        <v>3</v>
      </c>
      <c r="E1520" t="s">
        <v>215</v>
      </c>
    </row>
    <row r="1521" spans="1:5" x14ac:dyDescent="0.25">
      <c r="A1521">
        <v>116</v>
      </c>
      <c r="B1521">
        <v>275</v>
      </c>
      <c r="C1521">
        <v>9</v>
      </c>
      <c r="D1521">
        <v>9</v>
      </c>
      <c r="E1521" t="s">
        <v>215</v>
      </c>
    </row>
    <row r="1522" spans="1:5" x14ac:dyDescent="0.25">
      <c r="A1522">
        <v>116</v>
      </c>
      <c r="B1522">
        <v>296</v>
      </c>
      <c r="C1522">
        <v>5</v>
      </c>
      <c r="D1522">
        <v>5</v>
      </c>
      <c r="E1522" t="s">
        <v>215</v>
      </c>
    </row>
    <row r="1523" spans="1:5" x14ac:dyDescent="0.25">
      <c r="A1523">
        <v>116</v>
      </c>
      <c r="B1523">
        <v>299</v>
      </c>
      <c r="C1523">
        <v>4</v>
      </c>
      <c r="D1523">
        <v>4</v>
      </c>
      <c r="E1523" t="s">
        <v>215</v>
      </c>
    </row>
    <row r="1524" spans="1:5" x14ac:dyDescent="0.25">
      <c r="A1524">
        <v>116</v>
      </c>
      <c r="B1524">
        <v>300</v>
      </c>
      <c r="C1524">
        <v>5</v>
      </c>
      <c r="D1524">
        <v>5</v>
      </c>
      <c r="E1524" t="s">
        <v>215</v>
      </c>
    </row>
    <row r="1525" spans="1:5" x14ac:dyDescent="0.25">
      <c r="A1525">
        <v>116</v>
      </c>
      <c r="B1525">
        <v>305</v>
      </c>
      <c r="C1525">
        <v>11</v>
      </c>
      <c r="D1525">
        <v>11</v>
      </c>
      <c r="E1525" t="s">
        <v>215</v>
      </c>
    </row>
    <row r="1526" spans="1:5" x14ac:dyDescent="0.25">
      <c r="A1526">
        <v>116</v>
      </c>
      <c r="B1526">
        <v>306</v>
      </c>
      <c r="C1526">
        <v>3</v>
      </c>
      <c r="D1526">
        <v>3</v>
      </c>
      <c r="E1526" t="s">
        <v>215</v>
      </c>
    </row>
    <row r="1527" spans="1:5" x14ac:dyDescent="0.25">
      <c r="A1527">
        <v>116</v>
      </c>
      <c r="B1527">
        <v>323</v>
      </c>
      <c r="C1527">
        <v>4</v>
      </c>
      <c r="D1527">
        <v>4</v>
      </c>
      <c r="E1527" t="s">
        <v>215</v>
      </c>
    </row>
    <row r="1528" spans="1:5" x14ac:dyDescent="0.25">
      <c r="A1528">
        <v>116</v>
      </c>
      <c r="B1528">
        <v>325</v>
      </c>
      <c r="C1528">
        <v>5</v>
      </c>
      <c r="D1528">
        <v>5</v>
      </c>
      <c r="E1528" t="s">
        <v>215</v>
      </c>
    </row>
    <row r="1529" spans="1:5" x14ac:dyDescent="0.25">
      <c r="A1529">
        <v>116</v>
      </c>
      <c r="B1529">
        <v>326</v>
      </c>
      <c r="C1529">
        <v>6</v>
      </c>
      <c r="D1529">
        <v>6</v>
      </c>
      <c r="E1529" t="s">
        <v>215</v>
      </c>
    </row>
    <row r="1530" spans="1:5" x14ac:dyDescent="0.25">
      <c r="A1530">
        <v>116</v>
      </c>
      <c r="B1530">
        <v>333</v>
      </c>
      <c r="C1530">
        <v>5</v>
      </c>
      <c r="D1530">
        <v>5</v>
      </c>
      <c r="E1530" t="s">
        <v>215</v>
      </c>
    </row>
    <row r="1531" spans="1:5" x14ac:dyDescent="0.25">
      <c r="A1531">
        <v>116</v>
      </c>
      <c r="B1531">
        <v>334</v>
      </c>
      <c r="C1531">
        <v>4</v>
      </c>
      <c r="D1531">
        <v>4</v>
      </c>
      <c r="E1531" t="s">
        <v>215</v>
      </c>
    </row>
    <row r="1532" spans="1:5" x14ac:dyDescent="0.25">
      <c r="A1532">
        <v>116</v>
      </c>
      <c r="B1532">
        <v>335</v>
      </c>
      <c r="C1532">
        <v>2</v>
      </c>
      <c r="D1532">
        <v>2</v>
      </c>
      <c r="E1532" t="s">
        <v>215</v>
      </c>
    </row>
    <row r="1533" spans="1:5" x14ac:dyDescent="0.25">
      <c r="A1533">
        <v>116</v>
      </c>
      <c r="B1533">
        <v>363</v>
      </c>
      <c r="C1533">
        <v>8</v>
      </c>
      <c r="D1533">
        <v>8</v>
      </c>
      <c r="E1533" t="s">
        <v>215</v>
      </c>
    </row>
    <row r="1534" spans="1:5" x14ac:dyDescent="0.25">
      <c r="A1534">
        <v>116</v>
      </c>
      <c r="B1534">
        <v>366</v>
      </c>
      <c r="C1534">
        <v>4</v>
      </c>
      <c r="D1534">
        <v>4</v>
      </c>
      <c r="E1534" t="s">
        <v>215</v>
      </c>
    </row>
    <row r="1535" spans="1:5" x14ac:dyDescent="0.25">
      <c r="A1535">
        <v>116</v>
      </c>
      <c r="B1535">
        <v>368</v>
      </c>
      <c r="C1535">
        <v>3</v>
      </c>
      <c r="D1535">
        <v>3</v>
      </c>
      <c r="E1535" t="s">
        <v>215</v>
      </c>
    </row>
    <row r="1536" spans="1:5" x14ac:dyDescent="0.25">
      <c r="A1536">
        <v>116</v>
      </c>
      <c r="B1536">
        <v>378</v>
      </c>
      <c r="C1536">
        <v>5</v>
      </c>
      <c r="D1536">
        <v>5</v>
      </c>
      <c r="E1536" t="s">
        <v>215</v>
      </c>
    </row>
    <row r="1537" spans="1:6" x14ac:dyDescent="0.25">
      <c r="A1537">
        <v>116</v>
      </c>
      <c r="B1537">
        <v>379</v>
      </c>
      <c r="C1537">
        <v>2</v>
      </c>
      <c r="D1537">
        <v>2</v>
      </c>
      <c r="E1537" t="s">
        <v>215</v>
      </c>
    </row>
    <row r="1538" spans="1:6" x14ac:dyDescent="0.25">
      <c r="A1538">
        <v>116</v>
      </c>
      <c r="B1538">
        <v>467</v>
      </c>
      <c r="C1538">
        <v>6</v>
      </c>
      <c r="D1538">
        <v>6</v>
      </c>
      <c r="E1538" t="s">
        <v>215</v>
      </c>
    </row>
    <row r="1539" spans="1:6" x14ac:dyDescent="0.25">
      <c r="A1539">
        <v>116</v>
      </c>
      <c r="B1539">
        <v>479</v>
      </c>
      <c r="C1539">
        <v>7</v>
      </c>
      <c r="D1539">
        <v>7</v>
      </c>
      <c r="E1539" t="s">
        <v>215</v>
      </c>
    </row>
    <row r="1540" spans="1:6" x14ac:dyDescent="0.25">
      <c r="A1540">
        <v>116</v>
      </c>
      <c r="B1540">
        <v>481</v>
      </c>
      <c r="C1540">
        <v>11</v>
      </c>
      <c r="D1540">
        <v>11</v>
      </c>
      <c r="E1540" t="s">
        <v>215</v>
      </c>
    </row>
    <row r="1541" spans="1:6" x14ac:dyDescent="0.25">
      <c r="A1541">
        <v>116</v>
      </c>
      <c r="B1541">
        <v>487</v>
      </c>
      <c r="C1541">
        <v>2</v>
      </c>
      <c r="D1541">
        <v>2</v>
      </c>
      <c r="E1541" t="s">
        <v>215</v>
      </c>
    </row>
    <row r="1542" spans="1:6" x14ac:dyDescent="0.25">
      <c r="A1542">
        <v>116</v>
      </c>
      <c r="B1542">
        <v>488</v>
      </c>
      <c r="C1542">
        <v>2</v>
      </c>
      <c r="D1542">
        <v>2</v>
      </c>
      <c r="E1542" t="s">
        <v>215</v>
      </c>
    </row>
    <row r="1543" spans="1:6" x14ac:dyDescent="0.25">
      <c r="A1543">
        <v>116</v>
      </c>
      <c r="B1543">
        <v>491</v>
      </c>
      <c r="C1543">
        <v>2</v>
      </c>
      <c r="D1543">
        <v>2</v>
      </c>
      <c r="E1543" t="s">
        <v>215</v>
      </c>
    </row>
    <row r="1544" spans="1:6" x14ac:dyDescent="0.25">
      <c r="A1544">
        <v>116</v>
      </c>
      <c r="B1544">
        <v>494</v>
      </c>
      <c r="C1544">
        <v>5</v>
      </c>
      <c r="D1544">
        <v>5</v>
      </c>
      <c r="E1544" t="s">
        <v>215</v>
      </c>
    </row>
    <row r="1545" spans="1:6" x14ac:dyDescent="0.25">
      <c r="A1545">
        <v>116</v>
      </c>
      <c r="B1545">
        <v>500</v>
      </c>
      <c r="C1545">
        <v>5</v>
      </c>
      <c r="D1545">
        <v>5</v>
      </c>
      <c r="E1545" t="s">
        <v>215</v>
      </c>
    </row>
    <row r="1546" spans="1:6" x14ac:dyDescent="0.25">
      <c r="A1546">
        <v>116</v>
      </c>
      <c r="B1546">
        <v>505</v>
      </c>
      <c r="C1546">
        <v>3</v>
      </c>
      <c r="D1546">
        <v>3</v>
      </c>
      <c r="E1546" t="s">
        <v>215</v>
      </c>
      <c r="F1546">
        <f>SUM(D1458:D1546)</f>
        <v>513</v>
      </c>
    </row>
    <row r="1547" spans="1:6" x14ac:dyDescent="0.25">
      <c r="A1547">
        <v>2</v>
      </c>
      <c r="B1547">
        <v>78</v>
      </c>
      <c r="C1547">
        <v>4</v>
      </c>
      <c r="D1547">
        <v>4</v>
      </c>
      <c r="E1547" t="s">
        <v>157</v>
      </c>
    </row>
    <row r="1548" spans="1:6" x14ac:dyDescent="0.25">
      <c r="A1548">
        <v>2</v>
      </c>
      <c r="B1548">
        <v>81</v>
      </c>
      <c r="C1548">
        <v>1</v>
      </c>
      <c r="D1548">
        <v>1</v>
      </c>
      <c r="E1548" t="s">
        <v>157</v>
      </c>
    </row>
    <row r="1549" spans="1:6" x14ac:dyDescent="0.25">
      <c r="A1549">
        <v>2</v>
      </c>
      <c r="B1549">
        <v>84</v>
      </c>
      <c r="C1549">
        <v>5</v>
      </c>
      <c r="D1549">
        <v>5</v>
      </c>
      <c r="E1549" t="s">
        <v>157</v>
      </c>
    </row>
    <row r="1550" spans="1:6" x14ac:dyDescent="0.25">
      <c r="A1550">
        <v>2</v>
      </c>
      <c r="B1550">
        <v>120</v>
      </c>
      <c r="C1550">
        <v>1</v>
      </c>
      <c r="D1550">
        <v>1</v>
      </c>
      <c r="E1550" t="s">
        <v>157</v>
      </c>
    </row>
    <row r="1551" spans="1:6" x14ac:dyDescent="0.25">
      <c r="A1551">
        <v>2</v>
      </c>
      <c r="B1551">
        <v>396</v>
      </c>
      <c r="C1551">
        <v>1</v>
      </c>
      <c r="D1551">
        <v>1</v>
      </c>
      <c r="E1551" t="s">
        <v>157</v>
      </c>
    </row>
    <row r="1552" spans="1:6" x14ac:dyDescent="0.25">
      <c r="A1552">
        <v>2</v>
      </c>
      <c r="B1552">
        <v>472</v>
      </c>
      <c r="C1552">
        <v>1</v>
      </c>
      <c r="D1552">
        <v>1</v>
      </c>
      <c r="E1552" t="s">
        <v>157</v>
      </c>
    </row>
    <row r="1553" spans="1:6" x14ac:dyDescent="0.25">
      <c r="A1553">
        <v>2</v>
      </c>
      <c r="B1553">
        <v>728</v>
      </c>
      <c r="C1553">
        <v>1</v>
      </c>
      <c r="D1553">
        <v>1</v>
      </c>
      <c r="E1553" t="s">
        <v>157</v>
      </c>
    </row>
    <row r="1554" spans="1:6" x14ac:dyDescent="0.25">
      <c r="A1554">
        <v>2</v>
      </c>
      <c r="B1554">
        <v>762</v>
      </c>
      <c r="C1554">
        <v>2</v>
      </c>
      <c r="D1554">
        <v>2</v>
      </c>
      <c r="E1554" t="s">
        <v>157</v>
      </c>
      <c r="F1554">
        <f>SUM(D1547:D1554)</f>
        <v>16</v>
      </c>
    </row>
    <row r="1555" spans="1:6" x14ac:dyDescent="0.25">
      <c r="A1555">
        <v>112</v>
      </c>
      <c r="B1555">
        <v>362</v>
      </c>
      <c r="C1555">
        <v>4</v>
      </c>
      <c r="D1555">
        <v>4</v>
      </c>
      <c r="E1555" t="s">
        <v>197</v>
      </c>
    </row>
    <row r="1556" spans="1:6" x14ac:dyDescent="0.25">
      <c r="A1556">
        <v>112</v>
      </c>
      <c r="B1556">
        <v>513</v>
      </c>
      <c r="C1556">
        <v>1</v>
      </c>
      <c r="D1556">
        <v>1</v>
      </c>
      <c r="E1556" t="s">
        <v>197</v>
      </c>
    </row>
    <row r="1557" spans="1:6" x14ac:dyDescent="0.25">
      <c r="A1557">
        <v>112</v>
      </c>
      <c r="B1557">
        <v>553</v>
      </c>
      <c r="C1557">
        <v>1</v>
      </c>
      <c r="D1557">
        <v>1</v>
      </c>
      <c r="E1557" t="s">
        <v>197</v>
      </c>
    </row>
    <row r="1558" spans="1:6" x14ac:dyDescent="0.25">
      <c r="A1558">
        <v>112</v>
      </c>
      <c r="B1558">
        <v>563</v>
      </c>
      <c r="C1558">
        <v>1</v>
      </c>
      <c r="D1558">
        <v>1</v>
      </c>
      <c r="E1558" t="s">
        <v>197</v>
      </c>
      <c r="F1558">
        <v>7</v>
      </c>
    </row>
    <row r="1559" spans="1:6" x14ac:dyDescent="0.25">
      <c r="A1559">
        <v>83</v>
      </c>
      <c r="B1559">
        <v>87</v>
      </c>
      <c r="C1559">
        <v>2</v>
      </c>
      <c r="D1559">
        <v>2</v>
      </c>
      <c r="E1559" t="s">
        <v>175</v>
      </c>
    </row>
    <row r="1560" spans="1:6" x14ac:dyDescent="0.25">
      <c r="A1560">
        <v>83</v>
      </c>
      <c r="B1560">
        <v>88</v>
      </c>
      <c r="C1560">
        <v>2</v>
      </c>
      <c r="D1560">
        <v>2</v>
      </c>
      <c r="E1560" t="s">
        <v>175</v>
      </c>
    </row>
    <row r="1561" spans="1:6" x14ac:dyDescent="0.25">
      <c r="A1561">
        <v>83</v>
      </c>
      <c r="B1561">
        <v>89</v>
      </c>
      <c r="C1561">
        <v>1</v>
      </c>
      <c r="D1561">
        <v>1</v>
      </c>
      <c r="E1561" t="s">
        <v>175</v>
      </c>
    </row>
    <row r="1562" spans="1:6" x14ac:dyDescent="0.25">
      <c r="A1562">
        <v>83</v>
      </c>
      <c r="B1562">
        <v>90</v>
      </c>
      <c r="C1562">
        <v>1</v>
      </c>
      <c r="D1562">
        <v>1</v>
      </c>
      <c r="E1562" t="s">
        <v>175</v>
      </c>
    </row>
    <row r="1563" spans="1:6" x14ac:dyDescent="0.25">
      <c r="A1563">
        <v>83</v>
      </c>
      <c r="B1563">
        <v>91</v>
      </c>
      <c r="C1563">
        <v>3</v>
      </c>
      <c r="D1563">
        <v>3</v>
      </c>
      <c r="E1563" t="s">
        <v>175</v>
      </c>
    </row>
    <row r="1564" spans="1:6" x14ac:dyDescent="0.25">
      <c r="A1564">
        <v>83</v>
      </c>
      <c r="B1564">
        <v>92</v>
      </c>
      <c r="C1564">
        <v>2</v>
      </c>
      <c r="D1564">
        <v>2</v>
      </c>
      <c r="E1564" t="s">
        <v>175</v>
      </c>
    </row>
    <row r="1565" spans="1:6" x14ac:dyDescent="0.25">
      <c r="A1565">
        <v>83</v>
      </c>
      <c r="B1565">
        <v>93</v>
      </c>
      <c r="C1565">
        <v>2</v>
      </c>
      <c r="D1565">
        <v>2</v>
      </c>
      <c r="E1565" t="s">
        <v>175</v>
      </c>
    </row>
    <row r="1566" spans="1:6" x14ac:dyDescent="0.25">
      <c r="A1566">
        <v>83</v>
      </c>
      <c r="B1566">
        <v>95</v>
      </c>
      <c r="C1566">
        <v>1</v>
      </c>
      <c r="D1566">
        <v>1</v>
      </c>
      <c r="E1566" t="s">
        <v>175</v>
      </c>
    </row>
    <row r="1567" spans="1:6" x14ac:dyDescent="0.25">
      <c r="A1567">
        <v>83</v>
      </c>
      <c r="B1567">
        <v>96</v>
      </c>
      <c r="C1567">
        <v>1</v>
      </c>
      <c r="D1567">
        <v>1</v>
      </c>
      <c r="E1567" t="s">
        <v>175</v>
      </c>
    </row>
    <row r="1568" spans="1:6" x14ac:dyDescent="0.25">
      <c r="A1568">
        <v>83</v>
      </c>
      <c r="B1568">
        <v>98</v>
      </c>
      <c r="C1568">
        <v>2</v>
      </c>
      <c r="D1568">
        <v>2</v>
      </c>
      <c r="E1568" t="s">
        <v>175</v>
      </c>
    </row>
    <row r="1569" spans="1:5" x14ac:dyDescent="0.25">
      <c r="A1569">
        <v>83</v>
      </c>
      <c r="B1569">
        <v>99</v>
      </c>
      <c r="C1569">
        <v>1</v>
      </c>
      <c r="D1569">
        <v>1</v>
      </c>
      <c r="E1569" t="s">
        <v>175</v>
      </c>
    </row>
    <row r="1570" spans="1:5" x14ac:dyDescent="0.25">
      <c r="A1570">
        <v>83</v>
      </c>
      <c r="B1570">
        <v>100</v>
      </c>
      <c r="C1570">
        <v>4</v>
      </c>
      <c r="D1570">
        <v>4</v>
      </c>
      <c r="E1570" t="s">
        <v>175</v>
      </c>
    </row>
    <row r="1571" spans="1:5" x14ac:dyDescent="0.25">
      <c r="A1571">
        <v>83</v>
      </c>
      <c r="B1571">
        <v>101</v>
      </c>
      <c r="C1571">
        <v>1</v>
      </c>
      <c r="D1571">
        <v>1</v>
      </c>
      <c r="E1571" t="s">
        <v>175</v>
      </c>
    </row>
    <row r="1572" spans="1:5" x14ac:dyDescent="0.25">
      <c r="A1572">
        <v>83</v>
      </c>
      <c r="B1572">
        <v>124</v>
      </c>
      <c r="C1572">
        <v>1</v>
      </c>
      <c r="D1572">
        <v>1</v>
      </c>
      <c r="E1572" t="s">
        <v>175</v>
      </c>
    </row>
    <row r="1573" spans="1:5" x14ac:dyDescent="0.25">
      <c r="A1573">
        <v>83</v>
      </c>
      <c r="B1573">
        <v>127</v>
      </c>
      <c r="C1573">
        <v>2</v>
      </c>
      <c r="D1573">
        <v>2</v>
      </c>
      <c r="E1573" t="s">
        <v>175</v>
      </c>
    </row>
    <row r="1574" spans="1:5" x14ac:dyDescent="0.25">
      <c r="A1574">
        <v>83</v>
      </c>
      <c r="B1574">
        <v>128</v>
      </c>
      <c r="C1574">
        <v>1</v>
      </c>
      <c r="D1574">
        <v>1</v>
      </c>
      <c r="E1574" t="s">
        <v>175</v>
      </c>
    </row>
    <row r="1575" spans="1:5" x14ac:dyDescent="0.25">
      <c r="A1575">
        <v>83</v>
      </c>
      <c r="B1575">
        <v>451</v>
      </c>
      <c r="C1575">
        <v>1</v>
      </c>
      <c r="D1575">
        <v>1</v>
      </c>
      <c r="E1575" t="s">
        <v>175</v>
      </c>
    </row>
    <row r="1576" spans="1:5" x14ac:dyDescent="0.25">
      <c r="A1576">
        <v>83</v>
      </c>
      <c r="B1576">
        <v>478</v>
      </c>
      <c r="C1576">
        <v>1</v>
      </c>
      <c r="D1576">
        <v>1</v>
      </c>
      <c r="E1576" t="s">
        <v>175</v>
      </c>
    </row>
    <row r="1577" spans="1:5" x14ac:dyDescent="0.25">
      <c r="A1577">
        <v>83</v>
      </c>
      <c r="B1577">
        <v>506</v>
      </c>
      <c r="C1577">
        <v>1</v>
      </c>
      <c r="D1577">
        <v>1</v>
      </c>
      <c r="E1577" t="s">
        <v>175</v>
      </c>
    </row>
    <row r="1578" spans="1:5" x14ac:dyDescent="0.25">
      <c r="A1578">
        <v>83</v>
      </c>
      <c r="B1578">
        <v>570</v>
      </c>
      <c r="C1578">
        <v>1</v>
      </c>
      <c r="D1578">
        <v>1</v>
      </c>
      <c r="E1578" t="s">
        <v>175</v>
      </c>
    </row>
    <row r="1579" spans="1:5" x14ac:dyDescent="0.25">
      <c r="A1579">
        <v>83</v>
      </c>
      <c r="B1579">
        <v>586</v>
      </c>
      <c r="C1579">
        <v>4</v>
      </c>
      <c r="D1579">
        <v>4</v>
      </c>
      <c r="E1579" t="s">
        <v>175</v>
      </c>
    </row>
    <row r="1580" spans="1:5" x14ac:dyDescent="0.25">
      <c r="A1580">
        <v>83</v>
      </c>
      <c r="B1580">
        <v>589</v>
      </c>
      <c r="C1580">
        <v>1</v>
      </c>
      <c r="D1580">
        <v>1</v>
      </c>
      <c r="E1580" t="s">
        <v>175</v>
      </c>
    </row>
    <row r="1581" spans="1:5" x14ac:dyDescent="0.25">
      <c r="A1581">
        <v>83</v>
      </c>
      <c r="B1581">
        <v>602</v>
      </c>
      <c r="C1581">
        <v>3</v>
      </c>
      <c r="D1581">
        <v>3</v>
      </c>
      <c r="E1581" t="s">
        <v>175</v>
      </c>
    </row>
    <row r="1582" spans="1:5" x14ac:dyDescent="0.25">
      <c r="A1582">
        <v>83</v>
      </c>
      <c r="B1582">
        <v>603</v>
      </c>
      <c r="C1582">
        <v>1</v>
      </c>
      <c r="D1582">
        <v>1</v>
      </c>
      <c r="E1582" t="s">
        <v>175</v>
      </c>
    </row>
    <row r="1583" spans="1:5" x14ac:dyDescent="0.25">
      <c r="A1583">
        <v>83</v>
      </c>
      <c r="B1583">
        <v>614</v>
      </c>
      <c r="C1583">
        <v>2</v>
      </c>
      <c r="D1583">
        <v>2</v>
      </c>
      <c r="E1583" t="s">
        <v>175</v>
      </c>
    </row>
    <row r="1584" spans="1:5" x14ac:dyDescent="0.25">
      <c r="A1584">
        <v>83</v>
      </c>
      <c r="B1584">
        <v>622</v>
      </c>
      <c r="C1584">
        <v>1</v>
      </c>
      <c r="D1584">
        <v>1</v>
      </c>
      <c r="E1584" t="s">
        <v>175</v>
      </c>
    </row>
    <row r="1585" spans="1:5" x14ac:dyDescent="0.25">
      <c r="A1585">
        <v>83</v>
      </c>
      <c r="B1585">
        <v>635</v>
      </c>
      <c r="C1585">
        <v>1</v>
      </c>
      <c r="D1585">
        <v>1</v>
      </c>
      <c r="E1585" t="s">
        <v>175</v>
      </c>
    </row>
    <row r="1586" spans="1:5" x14ac:dyDescent="0.25">
      <c r="A1586">
        <v>83</v>
      </c>
      <c r="B1586">
        <v>641</v>
      </c>
      <c r="C1586">
        <v>2</v>
      </c>
      <c r="D1586">
        <v>2</v>
      </c>
      <c r="E1586" t="s">
        <v>175</v>
      </c>
    </row>
    <row r="1587" spans="1:5" x14ac:dyDescent="0.25">
      <c r="A1587">
        <v>83</v>
      </c>
      <c r="B1587">
        <v>653</v>
      </c>
      <c r="C1587">
        <v>1</v>
      </c>
      <c r="D1587">
        <v>1</v>
      </c>
      <c r="E1587" t="s">
        <v>175</v>
      </c>
    </row>
    <row r="1588" spans="1:5" x14ac:dyDescent="0.25">
      <c r="A1588">
        <v>83</v>
      </c>
      <c r="B1588">
        <v>654</v>
      </c>
      <c r="C1588">
        <v>1</v>
      </c>
      <c r="D1588">
        <v>1</v>
      </c>
      <c r="E1588" t="s">
        <v>175</v>
      </c>
    </row>
    <row r="1589" spans="1:5" x14ac:dyDescent="0.25">
      <c r="A1589">
        <v>83</v>
      </c>
      <c r="B1589">
        <v>659</v>
      </c>
      <c r="C1589">
        <v>1</v>
      </c>
      <c r="D1589">
        <v>1</v>
      </c>
      <c r="E1589" t="s">
        <v>175</v>
      </c>
    </row>
    <row r="1590" spans="1:5" x14ac:dyDescent="0.25">
      <c r="A1590">
        <v>83</v>
      </c>
      <c r="B1590">
        <v>660</v>
      </c>
      <c r="C1590">
        <v>1</v>
      </c>
      <c r="D1590">
        <v>1</v>
      </c>
      <c r="E1590" t="s">
        <v>175</v>
      </c>
    </row>
    <row r="1591" spans="1:5" x14ac:dyDescent="0.25">
      <c r="A1591">
        <v>83</v>
      </c>
      <c r="B1591">
        <v>661</v>
      </c>
      <c r="C1591">
        <v>1</v>
      </c>
      <c r="D1591">
        <v>1</v>
      </c>
      <c r="E1591" t="s">
        <v>175</v>
      </c>
    </row>
    <row r="1592" spans="1:5" x14ac:dyDescent="0.25">
      <c r="A1592">
        <v>83</v>
      </c>
      <c r="B1592">
        <v>679</v>
      </c>
      <c r="C1592">
        <v>1</v>
      </c>
      <c r="D1592">
        <v>1</v>
      </c>
      <c r="E1592" t="s">
        <v>175</v>
      </c>
    </row>
    <row r="1593" spans="1:5" x14ac:dyDescent="0.25">
      <c r="A1593">
        <v>83</v>
      </c>
      <c r="B1593">
        <v>680</v>
      </c>
      <c r="C1593">
        <v>2</v>
      </c>
      <c r="D1593">
        <v>2</v>
      </c>
      <c r="E1593" t="s">
        <v>175</v>
      </c>
    </row>
    <row r="1594" spans="1:5" x14ac:dyDescent="0.25">
      <c r="A1594">
        <v>83</v>
      </c>
      <c r="B1594">
        <v>681</v>
      </c>
      <c r="C1594">
        <v>1</v>
      </c>
      <c r="D1594">
        <v>1</v>
      </c>
      <c r="E1594" t="s">
        <v>175</v>
      </c>
    </row>
    <row r="1595" spans="1:5" x14ac:dyDescent="0.25">
      <c r="A1595">
        <v>83</v>
      </c>
      <c r="B1595">
        <v>682</v>
      </c>
      <c r="C1595">
        <v>1</v>
      </c>
      <c r="D1595">
        <v>1</v>
      </c>
      <c r="E1595" t="s">
        <v>175</v>
      </c>
    </row>
    <row r="1596" spans="1:5" x14ac:dyDescent="0.25">
      <c r="A1596">
        <v>83</v>
      </c>
      <c r="B1596">
        <v>683</v>
      </c>
      <c r="C1596">
        <v>2</v>
      </c>
      <c r="D1596">
        <v>2</v>
      </c>
      <c r="E1596" t="s">
        <v>175</v>
      </c>
    </row>
    <row r="1597" spans="1:5" x14ac:dyDescent="0.25">
      <c r="A1597">
        <v>83</v>
      </c>
      <c r="B1597">
        <v>691</v>
      </c>
      <c r="C1597">
        <v>1</v>
      </c>
      <c r="D1597">
        <v>1</v>
      </c>
      <c r="E1597" t="s">
        <v>175</v>
      </c>
    </row>
    <row r="1598" spans="1:5" x14ac:dyDescent="0.25">
      <c r="A1598">
        <v>83</v>
      </c>
      <c r="B1598">
        <v>693</v>
      </c>
      <c r="C1598">
        <v>2</v>
      </c>
      <c r="D1598">
        <v>2</v>
      </c>
      <c r="E1598" t="s">
        <v>175</v>
      </c>
    </row>
    <row r="1599" spans="1:5" x14ac:dyDescent="0.25">
      <c r="A1599">
        <v>83</v>
      </c>
      <c r="B1599">
        <v>694</v>
      </c>
      <c r="C1599">
        <v>2</v>
      </c>
      <c r="D1599">
        <v>2</v>
      </c>
      <c r="E1599" t="s">
        <v>175</v>
      </c>
    </row>
    <row r="1600" spans="1:5" x14ac:dyDescent="0.25">
      <c r="A1600">
        <v>83</v>
      </c>
      <c r="B1600">
        <v>698</v>
      </c>
      <c r="C1600">
        <v>1</v>
      </c>
      <c r="D1600">
        <v>1</v>
      </c>
      <c r="E1600" t="s">
        <v>175</v>
      </c>
    </row>
    <row r="1601" spans="1:6" x14ac:dyDescent="0.25">
      <c r="A1601">
        <v>83</v>
      </c>
      <c r="B1601">
        <v>707</v>
      </c>
      <c r="C1601">
        <v>1</v>
      </c>
      <c r="D1601">
        <v>1</v>
      </c>
      <c r="E1601" t="s">
        <v>175</v>
      </c>
    </row>
    <row r="1602" spans="1:6" x14ac:dyDescent="0.25">
      <c r="A1602">
        <v>83</v>
      </c>
      <c r="B1602">
        <v>714</v>
      </c>
      <c r="C1602">
        <v>1</v>
      </c>
      <c r="D1602">
        <v>1</v>
      </c>
      <c r="E1602" t="s">
        <v>175</v>
      </c>
    </row>
    <row r="1603" spans="1:6" x14ac:dyDescent="0.25">
      <c r="A1603">
        <v>83</v>
      </c>
      <c r="B1603">
        <v>719</v>
      </c>
      <c r="C1603">
        <v>5</v>
      </c>
      <c r="D1603">
        <v>5</v>
      </c>
      <c r="E1603" t="s">
        <v>175</v>
      </c>
    </row>
    <row r="1604" spans="1:6" x14ac:dyDescent="0.25">
      <c r="A1604">
        <v>83</v>
      </c>
      <c r="B1604">
        <v>724</v>
      </c>
      <c r="C1604">
        <v>1</v>
      </c>
      <c r="D1604">
        <v>1</v>
      </c>
      <c r="E1604" t="s">
        <v>175</v>
      </c>
    </row>
    <row r="1605" spans="1:6" x14ac:dyDescent="0.25">
      <c r="A1605">
        <v>83</v>
      </c>
      <c r="B1605">
        <v>731</v>
      </c>
      <c r="C1605">
        <v>2</v>
      </c>
      <c r="D1605">
        <v>2</v>
      </c>
      <c r="E1605" t="s">
        <v>175</v>
      </c>
    </row>
    <row r="1606" spans="1:6" x14ac:dyDescent="0.25">
      <c r="A1606">
        <v>83</v>
      </c>
      <c r="B1606">
        <v>737</v>
      </c>
      <c r="C1606">
        <v>1</v>
      </c>
      <c r="D1606">
        <v>1</v>
      </c>
      <c r="E1606" t="s">
        <v>175</v>
      </c>
    </row>
    <row r="1607" spans="1:6" x14ac:dyDescent="0.25">
      <c r="A1607">
        <v>83</v>
      </c>
      <c r="B1607">
        <v>746</v>
      </c>
      <c r="C1607">
        <v>1</v>
      </c>
      <c r="D1607">
        <v>1</v>
      </c>
      <c r="E1607" t="s">
        <v>175</v>
      </c>
    </row>
    <row r="1608" spans="1:6" x14ac:dyDescent="0.25">
      <c r="A1608">
        <v>83</v>
      </c>
      <c r="B1608">
        <v>749</v>
      </c>
      <c r="C1608">
        <v>2</v>
      </c>
      <c r="D1608">
        <v>2</v>
      </c>
      <c r="E1608" t="s">
        <v>175</v>
      </c>
    </row>
    <row r="1609" spans="1:6" x14ac:dyDescent="0.25">
      <c r="A1609">
        <v>83</v>
      </c>
      <c r="B1609">
        <v>767</v>
      </c>
      <c r="C1609">
        <v>4</v>
      </c>
      <c r="D1609">
        <v>4</v>
      </c>
      <c r="E1609" t="s">
        <v>175</v>
      </c>
    </row>
    <row r="1610" spans="1:6" x14ac:dyDescent="0.25">
      <c r="A1610">
        <v>83</v>
      </c>
      <c r="B1610">
        <v>769</v>
      </c>
      <c r="C1610">
        <v>1</v>
      </c>
      <c r="D1610">
        <v>1</v>
      </c>
      <c r="E1610" t="s">
        <v>175</v>
      </c>
    </row>
    <row r="1611" spans="1:6" x14ac:dyDescent="0.25">
      <c r="A1611">
        <v>83</v>
      </c>
      <c r="B1611">
        <v>772</v>
      </c>
      <c r="C1611">
        <v>3</v>
      </c>
      <c r="D1611">
        <v>3</v>
      </c>
      <c r="E1611" t="s">
        <v>175</v>
      </c>
    </row>
    <row r="1612" spans="1:6" x14ac:dyDescent="0.25">
      <c r="A1612">
        <v>83</v>
      </c>
      <c r="B1612">
        <v>775</v>
      </c>
      <c r="C1612">
        <v>1</v>
      </c>
      <c r="D1612">
        <v>1</v>
      </c>
      <c r="E1612" t="s">
        <v>175</v>
      </c>
      <c r="F1612">
        <f>SUM(D1559:D1612)</f>
        <v>87</v>
      </c>
    </row>
    <row r="1613" spans="1:6" x14ac:dyDescent="0.25">
      <c r="A1613">
        <v>113</v>
      </c>
      <c r="B1613">
        <v>387</v>
      </c>
      <c r="C1613">
        <v>1</v>
      </c>
      <c r="D1613">
        <v>1</v>
      </c>
      <c r="E1613" t="s">
        <v>205</v>
      </c>
      <c r="F1613">
        <v>1</v>
      </c>
    </row>
    <row r="1614" spans="1:6" x14ac:dyDescent="0.25">
      <c r="A1614">
        <v>115</v>
      </c>
      <c r="B1614">
        <v>1</v>
      </c>
      <c r="C1614">
        <v>2</v>
      </c>
      <c r="D1614">
        <v>2</v>
      </c>
      <c r="E1614" t="s">
        <v>208</v>
      </c>
    </row>
    <row r="1615" spans="1:6" x14ac:dyDescent="0.25">
      <c r="A1615">
        <v>115</v>
      </c>
      <c r="B1615">
        <v>38</v>
      </c>
      <c r="C1615">
        <v>3</v>
      </c>
      <c r="D1615">
        <v>3</v>
      </c>
      <c r="E1615" t="s">
        <v>208</v>
      </c>
    </row>
    <row r="1616" spans="1:6" x14ac:dyDescent="0.25">
      <c r="A1616">
        <v>115</v>
      </c>
      <c r="B1616">
        <v>39</v>
      </c>
      <c r="C1616">
        <v>1</v>
      </c>
      <c r="D1616">
        <v>1</v>
      </c>
      <c r="E1616" t="s">
        <v>208</v>
      </c>
    </row>
    <row r="1617" spans="1:5" x14ac:dyDescent="0.25">
      <c r="A1617">
        <v>115</v>
      </c>
      <c r="B1617">
        <v>40</v>
      </c>
      <c r="C1617">
        <v>1</v>
      </c>
      <c r="D1617">
        <v>1</v>
      </c>
      <c r="E1617" t="s">
        <v>208</v>
      </c>
    </row>
    <row r="1618" spans="1:5" x14ac:dyDescent="0.25">
      <c r="A1618">
        <v>115</v>
      </c>
      <c r="B1618">
        <v>43</v>
      </c>
      <c r="C1618">
        <v>1</v>
      </c>
      <c r="D1618">
        <v>1</v>
      </c>
      <c r="E1618" t="s">
        <v>208</v>
      </c>
    </row>
    <row r="1619" spans="1:5" x14ac:dyDescent="0.25">
      <c r="A1619">
        <v>115</v>
      </c>
      <c r="B1619">
        <v>44</v>
      </c>
      <c r="C1619">
        <v>2</v>
      </c>
      <c r="D1619">
        <v>2</v>
      </c>
      <c r="E1619" t="s">
        <v>208</v>
      </c>
    </row>
    <row r="1620" spans="1:5" x14ac:dyDescent="0.25">
      <c r="A1620">
        <v>115</v>
      </c>
      <c r="B1620">
        <v>50</v>
      </c>
      <c r="C1620">
        <v>1</v>
      </c>
      <c r="D1620">
        <v>1</v>
      </c>
      <c r="E1620" t="s">
        <v>208</v>
      </c>
    </row>
    <row r="1621" spans="1:5" x14ac:dyDescent="0.25">
      <c r="A1621">
        <v>115</v>
      </c>
      <c r="B1621">
        <v>53</v>
      </c>
      <c r="C1621">
        <v>1</v>
      </c>
      <c r="D1621">
        <v>1</v>
      </c>
      <c r="E1621" t="s">
        <v>208</v>
      </c>
    </row>
    <row r="1622" spans="1:5" x14ac:dyDescent="0.25">
      <c r="A1622">
        <v>115</v>
      </c>
      <c r="B1622">
        <v>55</v>
      </c>
      <c r="C1622">
        <v>1</v>
      </c>
      <c r="D1622">
        <v>1</v>
      </c>
      <c r="E1622" t="s">
        <v>208</v>
      </c>
    </row>
    <row r="1623" spans="1:5" x14ac:dyDescent="0.25">
      <c r="A1623">
        <v>115</v>
      </c>
      <c r="B1623">
        <v>58</v>
      </c>
      <c r="C1623">
        <v>2</v>
      </c>
      <c r="D1623">
        <v>2</v>
      </c>
      <c r="E1623" t="s">
        <v>208</v>
      </c>
    </row>
    <row r="1624" spans="1:5" x14ac:dyDescent="0.25">
      <c r="A1624">
        <v>115</v>
      </c>
      <c r="B1624">
        <v>59</v>
      </c>
      <c r="C1624">
        <v>2</v>
      </c>
      <c r="D1624">
        <v>2</v>
      </c>
      <c r="E1624" t="s">
        <v>208</v>
      </c>
    </row>
    <row r="1625" spans="1:5" x14ac:dyDescent="0.25">
      <c r="A1625">
        <v>115</v>
      </c>
      <c r="B1625">
        <v>60</v>
      </c>
      <c r="C1625">
        <v>1</v>
      </c>
      <c r="D1625">
        <v>1</v>
      </c>
      <c r="E1625" t="s">
        <v>208</v>
      </c>
    </row>
    <row r="1626" spans="1:5" x14ac:dyDescent="0.25">
      <c r="A1626">
        <v>115</v>
      </c>
      <c r="B1626">
        <v>269</v>
      </c>
      <c r="C1626">
        <v>2</v>
      </c>
      <c r="D1626">
        <v>2</v>
      </c>
      <c r="E1626" t="s">
        <v>208</v>
      </c>
    </row>
    <row r="1627" spans="1:5" x14ac:dyDescent="0.25">
      <c r="A1627">
        <v>115</v>
      </c>
      <c r="B1627">
        <v>277</v>
      </c>
      <c r="C1627">
        <v>1</v>
      </c>
      <c r="D1627">
        <v>1</v>
      </c>
      <c r="E1627" t="s">
        <v>208</v>
      </c>
    </row>
    <row r="1628" spans="1:5" x14ac:dyDescent="0.25">
      <c r="A1628">
        <v>115</v>
      </c>
      <c r="B1628">
        <v>289</v>
      </c>
      <c r="C1628">
        <v>1</v>
      </c>
      <c r="D1628">
        <v>1</v>
      </c>
      <c r="E1628" t="s">
        <v>208</v>
      </c>
    </row>
    <row r="1629" spans="1:5" x14ac:dyDescent="0.25">
      <c r="A1629">
        <v>115</v>
      </c>
      <c r="B1629">
        <v>295</v>
      </c>
      <c r="C1629">
        <v>1</v>
      </c>
      <c r="D1629">
        <v>1</v>
      </c>
      <c r="E1629" t="s">
        <v>208</v>
      </c>
    </row>
    <row r="1630" spans="1:5" x14ac:dyDescent="0.25">
      <c r="A1630">
        <v>115</v>
      </c>
      <c r="B1630">
        <v>310</v>
      </c>
      <c r="C1630">
        <v>1</v>
      </c>
      <c r="D1630">
        <v>1</v>
      </c>
      <c r="E1630" t="s">
        <v>208</v>
      </c>
    </row>
    <row r="1631" spans="1:5" x14ac:dyDescent="0.25">
      <c r="A1631">
        <v>115</v>
      </c>
      <c r="B1631">
        <v>320</v>
      </c>
      <c r="C1631">
        <v>3</v>
      </c>
      <c r="D1631">
        <v>3</v>
      </c>
      <c r="E1631" t="s">
        <v>208</v>
      </c>
    </row>
    <row r="1632" spans="1:5" x14ac:dyDescent="0.25">
      <c r="A1632">
        <v>115</v>
      </c>
      <c r="B1632">
        <v>327</v>
      </c>
      <c r="C1632">
        <v>4</v>
      </c>
      <c r="D1632">
        <v>4</v>
      </c>
      <c r="E1632" t="s">
        <v>208</v>
      </c>
    </row>
    <row r="1633" spans="1:6" x14ac:dyDescent="0.25">
      <c r="A1633">
        <v>115</v>
      </c>
      <c r="B1633">
        <v>487</v>
      </c>
      <c r="C1633">
        <v>4</v>
      </c>
      <c r="D1633">
        <v>4</v>
      </c>
      <c r="E1633" t="s">
        <v>208</v>
      </c>
    </row>
    <row r="1634" spans="1:6" x14ac:dyDescent="0.25">
      <c r="A1634">
        <v>118</v>
      </c>
      <c r="B1634">
        <v>133</v>
      </c>
      <c r="C1634">
        <v>1</v>
      </c>
      <c r="D1634">
        <v>1</v>
      </c>
      <c r="E1634" t="s">
        <v>208</v>
      </c>
    </row>
    <row r="1635" spans="1:6" x14ac:dyDescent="0.25">
      <c r="A1635">
        <v>118</v>
      </c>
      <c r="B1635">
        <v>135</v>
      </c>
      <c r="C1635">
        <v>2</v>
      </c>
      <c r="D1635">
        <v>2</v>
      </c>
      <c r="E1635" t="s">
        <v>208</v>
      </c>
    </row>
    <row r="1636" spans="1:6" x14ac:dyDescent="0.25">
      <c r="A1636">
        <v>118</v>
      </c>
      <c r="B1636">
        <v>136</v>
      </c>
      <c r="C1636">
        <v>1</v>
      </c>
      <c r="D1636">
        <v>1</v>
      </c>
      <c r="E1636" t="s">
        <v>208</v>
      </c>
    </row>
    <row r="1637" spans="1:6" x14ac:dyDescent="0.25">
      <c r="A1637">
        <v>118</v>
      </c>
      <c r="B1637">
        <v>137</v>
      </c>
      <c r="C1637">
        <v>1</v>
      </c>
      <c r="D1637">
        <v>1</v>
      </c>
      <c r="E1637" t="s">
        <v>208</v>
      </c>
    </row>
    <row r="1638" spans="1:6" x14ac:dyDescent="0.25">
      <c r="A1638">
        <v>118</v>
      </c>
      <c r="B1638">
        <v>138</v>
      </c>
      <c r="C1638">
        <v>3</v>
      </c>
      <c r="D1638">
        <v>3</v>
      </c>
      <c r="E1638" t="s">
        <v>208</v>
      </c>
      <c r="F1638">
        <f>SUM(D1614:D1638)</f>
        <v>43</v>
      </c>
    </row>
    <row r="1639" spans="1:6" x14ac:dyDescent="0.25">
      <c r="A1639">
        <v>83</v>
      </c>
      <c r="B1639">
        <v>129</v>
      </c>
      <c r="C1639">
        <v>1</v>
      </c>
      <c r="D1639">
        <v>1</v>
      </c>
      <c r="E1639" t="s">
        <v>238</v>
      </c>
    </row>
    <row r="1640" spans="1:6" x14ac:dyDescent="0.25">
      <c r="A1640">
        <v>83</v>
      </c>
      <c r="B1640">
        <v>130</v>
      </c>
      <c r="C1640">
        <v>1</v>
      </c>
      <c r="D1640">
        <v>1</v>
      </c>
      <c r="E1640" t="s">
        <v>238</v>
      </c>
    </row>
    <row r="1641" spans="1:6" x14ac:dyDescent="0.25">
      <c r="A1641">
        <v>83</v>
      </c>
      <c r="B1641">
        <v>132</v>
      </c>
      <c r="C1641">
        <v>5</v>
      </c>
      <c r="D1641">
        <v>5</v>
      </c>
      <c r="E1641" t="s">
        <v>238</v>
      </c>
    </row>
    <row r="1642" spans="1:6" x14ac:dyDescent="0.25">
      <c r="A1642">
        <v>83</v>
      </c>
      <c r="B1642">
        <v>133</v>
      </c>
      <c r="C1642">
        <v>2</v>
      </c>
      <c r="D1642">
        <v>2</v>
      </c>
      <c r="E1642" t="s">
        <v>238</v>
      </c>
    </row>
    <row r="1643" spans="1:6" x14ac:dyDescent="0.25">
      <c r="A1643">
        <v>83</v>
      </c>
      <c r="B1643">
        <v>134</v>
      </c>
      <c r="C1643">
        <v>2</v>
      </c>
      <c r="D1643">
        <v>2</v>
      </c>
      <c r="E1643" t="s">
        <v>238</v>
      </c>
    </row>
    <row r="1644" spans="1:6" x14ac:dyDescent="0.25">
      <c r="A1644">
        <v>83</v>
      </c>
      <c r="B1644">
        <v>165</v>
      </c>
      <c r="C1644">
        <v>1</v>
      </c>
      <c r="D1644">
        <v>1</v>
      </c>
      <c r="E1644" t="s">
        <v>238</v>
      </c>
    </row>
    <row r="1645" spans="1:6" x14ac:dyDescent="0.25">
      <c r="A1645">
        <v>83</v>
      </c>
      <c r="B1645">
        <v>166</v>
      </c>
      <c r="C1645">
        <v>2</v>
      </c>
      <c r="D1645">
        <v>2</v>
      </c>
      <c r="E1645" t="s">
        <v>238</v>
      </c>
    </row>
    <row r="1646" spans="1:6" x14ac:dyDescent="0.25">
      <c r="A1646">
        <v>83</v>
      </c>
      <c r="B1646">
        <v>167</v>
      </c>
      <c r="C1646">
        <v>1</v>
      </c>
      <c r="D1646">
        <v>1</v>
      </c>
      <c r="E1646" t="s">
        <v>238</v>
      </c>
    </row>
    <row r="1647" spans="1:6" x14ac:dyDescent="0.25">
      <c r="A1647">
        <v>83</v>
      </c>
      <c r="B1647">
        <v>168</v>
      </c>
      <c r="C1647">
        <v>2</v>
      </c>
      <c r="D1647">
        <v>2</v>
      </c>
      <c r="E1647" t="s">
        <v>238</v>
      </c>
    </row>
    <row r="1648" spans="1:6" x14ac:dyDescent="0.25">
      <c r="A1648">
        <v>83</v>
      </c>
      <c r="B1648">
        <v>169</v>
      </c>
      <c r="C1648">
        <v>2</v>
      </c>
      <c r="D1648">
        <v>2</v>
      </c>
      <c r="E1648" t="s">
        <v>238</v>
      </c>
    </row>
    <row r="1649" spans="1:6" x14ac:dyDescent="0.25">
      <c r="A1649">
        <v>83</v>
      </c>
      <c r="B1649">
        <v>170</v>
      </c>
      <c r="C1649">
        <v>1</v>
      </c>
      <c r="D1649">
        <v>1</v>
      </c>
      <c r="E1649" t="s">
        <v>238</v>
      </c>
    </row>
    <row r="1650" spans="1:6" x14ac:dyDescent="0.25">
      <c r="A1650">
        <v>83</v>
      </c>
      <c r="B1650">
        <v>171</v>
      </c>
      <c r="C1650">
        <v>1</v>
      </c>
      <c r="D1650">
        <v>1</v>
      </c>
      <c r="E1650" t="s">
        <v>238</v>
      </c>
    </row>
    <row r="1651" spans="1:6" x14ac:dyDescent="0.25">
      <c r="A1651">
        <v>83</v>
      </c>
      <c r="B1651">
        <v>172</v>
      </c>
      <c r="C1651">
        <v>2</v>
      </c>
      <c r="D1651">
        <v>2</v>
      </c>
      <c r="E1651" t="s">
        <v>238</v>
      </c>
    </row>
    <row r="1652" spans="1:6" x14ac:dyDescent="0.25">
      <c r="A1652">
        <v>83</v>
      </c>
      <c r="B1652">
        <v>173</v>
      </c>
      <c r="C1652">
        <v>1</v>
      </c>
      <c r="D1652">
        <v>1</v>
      </c>
      <c r="E1652" t="s">
        <v>238</v>
      </c>
    </row>
    <row r="1653" spans="1:6" x14ac:dyDescent="0.25">
      <c r="A1653">
        <v>83</v>
      </c>
      <c r="B1653">
        <v>174</v>
      </c>
      <c r="C1653">
        <v>1</v>
      </c>
      <c r="D1653">
        <v>1</v>
      </c>
      <c r="E1653" t="s">
        <v>238</v>
      </c>
    </row>
    <row r="1654" spans="1:6" x14ac:dyDescent="0.25">
      <c r="A1654">
        <v>83</v>
      </c>
      <c r="B1654">
        <v>441</v>
      </c>
      <c r="C1654">
        <v>1</v>
      </c>
      <c r="D1654">
        <v>1</v>
      </c>
      <c r="E1654" t="s">
        <v>238</v>
      </c>
    </row>
    <row r="1655" spans="1:6" x14ac:dyDescent="0.25">
      <c r="A1655">
        <v>83</v>
      </c>
      <c r="B1655">
        <v>460</v>
      </c>
      <c r="C1655">
        <v>1</v>
      </c>
      <c r="D1655">
        <v>1</v>
      </c>
      <c r="E1655" t="s">
        <v>238</v>
      </c>
    </row>
    <row r="1656" spans="1:6" x14ac:dyDescent="0.25">
      <c r="A1656">
        <v>83</v>
      </c>
      <c r="B1656">
        <v>493</v>
      </c>
      <c r="C1656">
        <v>2</v>
      </c>
      <c r="D1656">
        <v>2</v>
      </c>
      <c r="E1656" t="s">
        <v>238</v>
      </c>
    </row>
    <row r="1657" spans="1:6" x14ac:dyDescent="0.25">
      <c r="A1657">
        <v>83</v>
      </c>
      <c r="B1657">
        <v>585</v>
      </c>
      <c r="C1657">
        <v>2</v>
      </c>
      <c r="D1657">
        <v>2</v>
      </c>
      <c r="E1657" t="s">
        <v>238</v>
      </c>
    </row>
    <row r="1658" spans="1:6" x14ac:dyDescent="0.25">
      <c r="A1658">
        <v>83</v>
      </c>
      <c r="B1658">
        <v>598</v>
      </c>
      <c r="C1658">
        <v>2</v>
      </c>
      <c r="D1658">
        <v>2</v>
      </c>
      <c r="E1658" t="s">
        <v>238</v>
      </c>
    </row>
    <row r="1659" spans="1:6" x14ac:dyDescent="0.25">
      <c r="A1659">
        <v>83</v>
      </c>
      <c r="B1659">
        <v>685</v>
      </c>
      <c r="C1659">
        <v>3</v>
      </c>
      <c r="D1659">
        <v>3</v>
      </c>
      <c r="E1659" t="s">
        <v>238</v>
      </c>
    </row>
    <row r="1660" spans="1:6" x14ac:dyDescent="0.25">
      <c r="A1660">
        <v>83</v>
      </c>
      <c r="B1660">
        <v>705</v>
      </c>
      <c r="C1660">
        <v>1</v>
      </c>
      <c r="D1660">
        <v>1</v>
      </c>
      <c r="E1660" t="s">
        <v>238</v>
      </c>
    </row>
    <row r="1661" spans="1:6" x14ac:dyDescent="0.25">
      <c r="A1661">
        <v>83</v>
      </c>
      <c r="B1661">
        <v>715</v>
      </c>
      <c r="C1661">
        <v>2</v>
      </c>
      <c r="D1661">
        <v>2</v>
      </c>
      <c r="E1661" t="s">
        <v>238</v>
      </c>
    </row>
    <row r="1662" spans="1:6" x14ac:dyDescent="0.25">
      <c r="A1662">
        <v>83</v>
      </c>
      <c r="B1662">
        <v>717</v>
      </c>
      <c r="C1662">
        <v>1</v>
      </c>
      <c r="D1662">
        <v>1</v>
      </c>
      <c r="E1662" t="s">
        <v>238</v>
      </c>
    </row>
    <row r="1663" spans="1:6" x14ac:dyDescent="0.25">
      <c r="A1663">
        <v>83</v>
      </c>
      <c r="B1663">
        <v>721</v>
      </c>
      <c r="C1663">
        <v>1</v>
      </c>
      <c r="D1663">
        <v>1</v>
      </c>
      <c r="E1663" t="s">
        <v>238</v>
      </c>
    </row>
    <row r="1664" spans="1:6" x14ac:dyDescent="0.25">
      <c r="A1664">
        <v>83</v>
      </c>
      <c r="B1664">
        <v>792</v>
      </c>
      <c r="C1664">
        <v>1</v>
      </c>
      <c r="D1664">
        <v>1</v>
      </c>
      <c r="E1664" t="s">
        <v>238</v>
      </c>
      <c r="F1664">
        <f>SUM(D1639:D1664)</f>
        <v>42</v>
      </c>
    </row>
    <row r="1665" spans="1:5" x14ac:dyDescent="0.25">
      <c r="A1665">
        <v>3</v>
      </c>
      <c r="B1665">
        <v>5</v>
      </c>
      <c r="C1665">
        <v>1</v>
      </c>
      <c r="D1665">
        <v>1</v>
      </c>
      <c r="E1665" t="s">
        <v>161</v>
      </c>
    </row>
    <row r="1666" spans="1:5" x14ac:dyDescent="0.25">
      <c r="A1666">
        <v>3</v>
      </c>
      <c r="B1666">
        <v>113</v>
      </c>
      <c r="C1666">
        <v>1</v>
      </c>
      <c r="D1666">
        <v>1</v>
      </c>
      <c r="E1666" t="s">
        <v>161</v>
      </c>
    </row>
    <row r="1667" spans="1:5" x14ac:dyDescent="0.25">
      <c r="A1667">
        <v>3</v>
      </c>
      <c r="B1667">
        <v>114</v>
      </c>
      <c r="C1667">
        <v>2</v>
      </c>
      <c r="D1667">
        <v>2</v>
      </c>
      <c r="E1667" t="s">
        <v>161</v>
      </c>
    </row>
    <row r="1668" spans="1:5" x14ac:dyDescent="0.25">
      <c r="A1668">
        <v>3</v>
      </c>
      <c r="B1668">
        <v>115</v>
      </c>
      <c r="C1668">
        <v>1</v>
      </c>
      <c r="D1668">
        <v>1</v>
      </c>
      <c r="E1668" t="s">
        <v>161</v>
      </c>
    </row>
    <row r="1669" spans="1:5" x14ac:dyDescent="0.25">
      <c r="A1669">
        <v>3</v>
      </c>
      <c r="B1669">
        <v>116</v>
      </c>
      <c r="C1669">
        <v>1</v>
      </c>
      <c r="D1669">
        <v>1</v>
      </c>
      <c r="E1669" t="s">
        <v>161</v>
      </c>
    </row>
    <row r="1670" spans="1:5" x14ac:dyDescent="0.25">
      <c r="A1670">
        <v>3</v>
      </c>
      <c r="B1670">
        <v>117</v>
      </c>
      <c r="C1670">
        <v>1</v>
      </c>
      <c r="D1670">
        <v>1</v>
      </c>
      <c r="E1670" t="s">
        <v>161</v>
      </c>
    </row>
    <row r="1671" spans="1:5" x14ac:dyDescent="0.25">
      <c r="A1671">
        <v>3</v>
      </c>
      <c r="B1671">
        <v>119</v>
      </c>
      <c r="C1671">
        <v>2</v>
      </c>
      <c r="D1671">
        <v>2</v>
      </c>
      <c r="E1671" t="s">
        <v>161</v>
      </c>
    </row>
    <row r="1672" spans="1:5" x14ac:dyDescent="0.25">
      <c r="A1672">
        <v>3</v>
      </c>
      <c r="B1672">
        <v>122</v>
      </c>
      <c r="C1672">
        <v>4</v>
      </c>
      <c r="D1672">
        <v>4</v>
      </c>
      <c r="E1672" t="s">
        <v>161</v>
      </c>
    </row>
    <row r="1673" spans="1:5" x14ac:dyDescent="0.25">
      <c r="A1673">
        <v>3</v>
      </c>
      <c r="B1673">
        <v>123</v>
      </c>
      <c r="C1673">
        <v>3</v>
      </c>
      <c r="D1673">
        <v>3</v>
      </c>
      <c r="E1673" t="s">
        <v>161</v>
      </c>
    </row>
    <row r="1674" spans="1:5" x14ac:dyDescent="0.25">
      <c r="A1674">
        <v>3</v>
      </c>
      <c r="B1674">
        <v>124</v>
      </c>
      <c r="C1674">
        <v>1</v>
      </c>
      <c r="D1674">
        <v>1</v>
      </c>
      <c r="E1674" t="s">
        <v>161</v>
      </c>
    </row>
    <row r="1675" spans="1:5" x14ac:dyDescent="0.25">
      <c r="A1675">
        <v>3</v>
      </c>
      <c r="B1675">
        <v>128</v>
      </c>
      <c r="C1675">
        <v>1</v>
      </c>
      <c r="D1675">
        <v>1</v>
      </c>
      <c r="E1675" t="s">
        <v>161</v>
      </c>
    </row>
    <row r="1676" spans="1:5" x14ac:dyDescent="0.25">
      <c r="A1676">
        <v>3</v>
      </c>
      <c r="B1676">
        <v>129</v>
      </c>
      <c r="C1676">
        <v>1</v>
      </c>
      <c r="D1676">
        <v>1</v>
      </c>
      <c r="E1676" t="s">
        <v>161</v>
      </c>
    </row>
    <row r="1677" spans="1:5" x14ac:dyDescent="0.25">
      <c r="A1677">
        <v>3</v>
      </c>
      <c r="B1677">
        <v>130</v>
      </c>
      <c r="C1677">
        <v>3</v>
      </c>
      <c r="D1677">
        <v>3</v>
      </c>
      <c r="E1677" t="s">
        <v>161</v>
      </c>
    </row>
    <row r="1678" spans="1:5" x14ac:dyDescent="0.25">
      <c r="A1678">
        <v>3</v>
      </c>
      <c r="B1678">
        <v>150</v>
      </c>
      <c r="C1678">
        <v>1</v>
      </c>
      <c r="D1678">
        <v>1</v>
      </c>
      <c r="E1678" t="s">
        <v>161</v>
      </c>
    </row>
    <row r="1679" spans="1:5" x14ac:dyDescent="0.25">
      <c r="A1679">
        <v>3</v>
      </c>
      <c r="B1679">
        <v>205</v>
      </c>
      <c r="C1679">
        <v>1</v>
      </c>
      <c r="D1679">
        <v>1</v>
      </c>
      <c r="E1679" t="s">
        <v>161</v>
      </c>
    </row>
    <row r="1680" spans="1:5" x14ac:dyDescent="0.25">
      <c r="A1680">
        <v>3</v>
      </c>
      <c r="B1680">
        <v>554</v>
      </c>
      <c r="C1680">
        <v>1</v>
      </c>
      <c r="D1680">
        <v>1</v>
      </c>
      <c r="E1680" t="s">
        <v>161</v>
      </c>
    </row>
    <row r="1681" spans="1:6" x14ac:dyDescent="0.25">
      <c r="A1681">
        <v>3</v>
      </c>
      <c r="B1681">
        <v>555</v>
      </c>
      <c r="C1681">
        <v>2</v>
      </c>
      <c r="D1681">
        <v>2</v>
      </c>
      <c r="E1681" t="s">
        <v>161</v>
      </c>
    </row>
    <row r="1682" spans="1:6" x14ac:dyDescent="0.25">
      <c r="A1682">
        <v>82</v>
      </c>
      <c r="B1682">
        <v>123</v>
      </c>
      <c r="C1682">
        <v>1</v>
      </c>
      <c r="D1682">
        <v>1</v>
      </c>
      <c r="E1682" t="s">
        <v>161</v>
      </c>
    </row>
    <row r="1683" spans="1:6" x14ac:dyDescent="0.25">
      <c r="A1683">
        <v>82</v>
      </c>
      <c r="B1683">
        <v>124</v>
      </c>
      <c r="C1683">
        <v>1</v>
      </c>
      <c r="D1683">
        <v>1</v>
      </c>
      <c r="E1683" t="s">
        <v>161</v>
      </c>
    </row>
    <row r="1684" spans="1:6" x14ac:dyDescent="0.25">
      <c r="A1684">
        <v>82</v>
      </c>
      <c r="B1684">
        <v>125</v>
      </c>
      <c r="C1684">
        <v>1</v>
      </c>
      <c r="D1684">
        <v>1</v>
      </c>
      <c r="E1684" t="s">
        <v>161</v>
      </c>
    </row>
    <row r="1685" spans="1:6" x14ac:dyDescent="0.25">
      <c r="A1685">
        <v>82</v>
      </c>
      <c r="B1685">
        <v>127</v>
      </c>
      <c r="C1685">
        <v>2</v>
      </c>
      <c r="D1685">
        <v>2</v>
      </c>
      <c r="E1685" t="s">
        <v>161</v>
      </c>
    </row>
    <row r="1686" spans="1:6" x14ac:dyDescent="0.25">
      <c r="A1686">
        <v>82</v>
      </c>
      <c r="B1686">
        <v>128</v>
      </c>
      <c r="C1686">
        <v>2</v>
      </c>
      <c r="D1686">
        <v>2</v>
      </c>
      <c r="E1686" t="s">
        <v>161</v>
      </c>
    </row>
    <row r="1687" spans="1:6" x14ac:dyDescent="0.25">
      <c r="A1687">
        <v>82</v>
      </c>
      <c r="B1687">
        <v>132</v>
      </c>
      <c r="C1687">
        <v>1</v>
      </c>
      <c r="D1687">
        <v>1</v>
      </c>
      <c r="E1687" t="s">
        <v>161</v>
      </c>
    </row>
    <row r="1688" spans="1:6" x14ac:dyDescent="0.25">
      <c r="A1688">
        <v>82</v>
      </c>
      <c r="B1688">
        <v>231</v>
      </c>
      <c r="C1688">
        <v>1</v>
      </c>
      <c r="D1688">
        <v>1</v>
      </c>
      <c r="E1688" t="s">
        <v>161</v>
      </c>
    </row>
    <row r="1689" spans="1:6" x14ac:dyDescent="0.25">
      <c r="A1689">
        <v>82</v>
      </c>
      <c r="B1689">
        <v>472</v>
      </c>
      <c r="C1689">
        <v>1</v>
      </c>
      <c r="D1689">
        <v>1</v>
      </c>
      <c r="E1689" t="s">
        <v>161</v>
      </c>
    </row>
    <row r="1690" spans="1:6" x14ac:dyDescent="0.25">
      <c r="A1690">
        <v>82</v>
      </c>
      <c r="B1690">
        <v>498</v>
      </c>
      <c r="C1690">
        <v>1</v>
      </c>
      <c r="D1690">
        <v>1</v>
      </c>
      <c r="E1690" t="s">
        <v>161</v>
      </c>
    </row>
    <row r="1691" spans="1:6" x14ac:dyDescent="0.25">
      <c r="A1691">
        <v>82</v>
      </c>
      <c r="B1691">
        <v>519</v>
      </c>
      <c r="C1691">
        <v>1</v>
      </c>
      <c r="D1691">
        <v>1</v>
      </c>
      <c r="E1691" t="s">
        <v>161</v>
      </c>
    </row>
    <row r="1692" spans="1:6" x14ac:dyDescent="0.25">
      <c r="A1692">
        <v>82</v>
      </c>
      <c r="B1692">
        <v>618</v>
      </c>
      <c r="C1692">
        <v>1</v>
      </c>
      <c r="D1692">
        <v>1</v>
      </c>
      <c r="E1692" t="s">
        <v>161</v>
      </c>
      <c r="F1692">
        <f>SUM(D1665:D1692)</f>
        <v>40</v>
      </c>
    </row>
    <row r="1693" spans="1:6" x14ac:dyDescent="0.25">
      <c r="A1693">
        <v>95</v>
      </c>
      <c r="B1693">
        <v>109</v>
      </c>
      <c r="C1693">
        <v>2</v>
      </c>
      <c r="D1693">
        <v>2</v>
      </c>
      <c r="E1693" t="s">
        <v>189</v>
      </c>
    </row>
    <row r="1694" spans="1:6" x14ac:dyDescent="0.25">
      <c r="A1694">
        <v>95</v>
      </c>
      <c r="B1694">
        <v>125</v>
      </c>
      <c r="C1694">
        <v>1</v>
      </c>
      <c r="D1694">
        <v>1</v>
      </c>
      <c r="E1694" t="s">
        <v>189</v>
      </c>
    </row>
    <row r="1695" spans="1:6" x14ac:dyDescent="0.25">
      <c r="A1695">
        <v>95</v>
      </c>
      <c r="B1695">
        <v>129</v>
      </c>
      <c r="C1695">
        <v>2</v>
      </c>
      <c r="D1695">
        <v>2</v>
      </c>
      <c r="E1695" t="s">
        <v>189</v>
      </c>
    </row>
    <row r="1696" spans="1:6" x14ac:dyDescent="0.25">
      <c r="A1696">
        <v>95</v>
      </c>
      <c r="B1696">
        <v>130</v>
      </c>
      <c r="C1696">
        <v>2</v>
      </c>
      <c r="D1696">
        <v>2</v>
      </c>
      <c r="E1696" t="s">
        <v>189</v>
      </c>
    </row>
    <row r="1697" spans="1:5" x14ac:dyDescent="0.25">
      <c r="A1697">
        <v>95</v>
      </c>
      <c r="B1697">
        <v>134</v>
      </c>
      <c r="C1697">
        <v>2</v>
      </c>
      <c r="D1697">
        <v>2</v>
      </c>
      <c r="E1697" t="s">
        <v>189</v>
      </c>
    </row>
    <row r="1698" spans="1:5" x14ac:dyDescent="0.25">
      <c r="A1698">
        <v>95</v>
      </c>
      <c r="B1698">
        <v>135</v>
      </c>
      <c r="C1698">
        <v>1</v>
      </c>
      <c r="D1698">
        <v>1</v>
      </c>
      <c r="E1698" t="s">
        <v>189</v>
      </c>
    </row>
    <row r="1699" spans="1:5" x14ac:dyDescent="0.25">
      <c r="A1699">
        <v>95</v>
      </c>
      <c r="B1699">
        <v>138</v>
      </c>
      <c r="C1699">
        <v>1</v>
      </c>
      <c r="D1699">
        <v>1</v>
      </c>
      <c r="E1699" t="s">
        <v>189</v>
      </c>
    </row>
    <row r="1700" spans="1:5" x14ac:dyDescent="0.25">
      <c r="A1700">
        <v>95</v>
      </c>
      <c r="B1700">
        <v>140</v>
      </c>
      <c r="C1700">
        <v>1</v>
      </c>
      <c r="D1700">
        <v>1</v>
      </c>
      <c r="E1700" t="s">
        <v>189</v>
      </c>
    </row>
    <row r="1701" spans="1:5" x14ac:dyDescent="0.25">
      <c r="A1701">
        <v>95</v>
      </c>
      <c r="B1701">
        <v>141</v>
      </c>
      <c r="C1701">
        <v>1</v>
      </c>
      <c r="D1701">
        <v>1</v>
      </c>
      <c r="E1701" t="s">
        <v>189</v>
      </c>
    </row>
    <row r="1702" spans="1:5" x14ac:dyDescent="0.25">
      <c r="A1702">
        <v>95</v>
      </c>
      <c r="B1702">
        <v>148</v>
      </c>
      <c r="C1702">
        <v>2</v>
      </c>
      <c r="D1702">
        <v>2</v>
      </c>
      <c r="E1702" t="s">
        <v>189</v>
      </c>
    </row>
    <row r="1703" spans="1:5" x14ac:dyDescent="0.25">
      <c r="A1703">
        <v>95</v>
      </c>
      <c r="B1703">
        <v>149</v>
      </c>
      <c r="C1703">
        <v>1</v>
      </c>
      <c r="D1703">
        <v>1</v>
      </c>
      <c r="E1703" t="s">
        <v>189</v>
      </c>
    </row>
    <row r="1704" spans="1:5" x14ac:dyDescent="0.25">
      <c r="A1704">
        <v>95</v>
      </c>
      <c r="B1704">
        <v>150</v>
      </c>
      <c r="C1704">
        <v>3</v>
      </c>
      <c r="D1704">
        <v>3</v>
      </c>
      <c r="E1704" t="s">
        <v>189</v>
      </c>
    </row>
    <row r="1705" spans="1:5" x14ac:dyDescent="0.25">
      <c r="A1705">
        <v>95</v>
      </c>
      <c r="B1705">
        <v>153</v>
      </c>
      <c r="C1705">
        <v>1</v>
      </c>
      <c r="D1705">
        <v>1</v>
      </c>
      <c r="E1705" t="s">
        <v>189</v>
      </c>
    </row>
    <row r="1706" spans="1:5" x14ac:dyDescent="0.25">
      <c r="A1706">
        <v>95</v>
      </c>
      <c r="B1706">
        <v>203</v>
      </c>
      <c r="C1706">
        <v>1</v>
      </c>
      <c r="D1706">
        <v>1</v>
      </c>
      <c r="E1706" t="s">
        <v>189</v>
      </c>
    </row>
    <row r="1707" spans="1:5" x14ac:dyDescent="0.25">
      <c r="A1707">
        <v>95</v>
      </c>
      <c r="B1707">
        <v>204</v>
      </c>
      <c r="C1707">
        <v>1</v>
      </c>
      <c r="D1707">
        <v>1</v>
      </c>
      <c r="E1707" t="s">
        <v>189</v>
      </c>
    </row>
    <row r="1708" spans="1:5" x14ac:dyDescent="0.25">
      <c r="A1708">
        <v>95</v>
      </c>
      <c r="B1708">
        <v>207</v>
      </c>
      <c r="C1708">
        <v>1</v>
      </c>
      <c r="D1708">
        <v>1</v>
      </c>
      <c r="E1708" t="s">
        <v>189</v>
      </c>
    </row>
    <row r="1709" spans="1:5" x14ac:dyDescent="0.25">
      <c r="A1709">
        <v>95</v>
      </c>
      <c r="B1709">
        <v>208</v>
      </c>
      <c r="C1709">
        <v>2</v>
      </c>
      <c r="D1709">
        <v>2</v>
      </c>
      <c r="E1709" t="s">
        <v>189</v>
      </c>
    </row>
    <row r="1710" spans="1:5" x14ac:dyDescent="0.25">
      <c r="A1710">
        <v>95</v>
      </c>
      <c r="B1710">
        <v>209</v>
      </c>
      <c r="C1710">
        <v>1</v>
      </c>
      <c r="D1710">
        <v>1</v>
      </c>
      <c r="E1710" t="s">
        <v>189</v>
      </c>
    </row>
    <row r="1711" spans="1:5" x14ac:dyDescent="0.25">
      <c r="A1711">
        <v>95</v>
      </c>
      <c r="B1711">
        <v>210</v>
      </c>
      <c r="C1711">
        <v>2</v>
      </c>
      <c r="D1711">
        <v>2</v>
      </c>
      <c r="E1711" t="s">
        <v>189</v>
      </c>
    </row>
    <row r="1712" spans="1:5" x14ac:dyDescent="0.25">
      <c r="A1712">
        <v>95</v>
      </c>
      <c r="B1712">
        <v>238</v>
      </c>
      <c r="C1712">
        <v>1</v>
      </c>
      <c r="D1712">
        <v>1</v>
      </c>
      <c r="E1712" t="s">
        <v>189</v>
      </c>
    </row>
    <row r="1713" spans="1:5" x14ac:dyDescent="0.25">
      <c r="A1713">
        <v>95</v>
      </c>
      <c r="B1713">
        <v>239</v>
      </c>
      <c r="C1713">
        <v>1</v>
      </c>
      <c r="D1713">
        <v>1</v>
      </c>
      <c r="E1713" t="s">
        <v>189</v>
      </c>
    </row>
    <row r="1714" spans="1:5" x14ac:dyDescent="0.25">
      <c r="A1714">
        <v>95</v>
      </c>
      <c r="B1714">
        <v>240</v>
      </c>
      <c r="C1714">
        <v>1</v>
      </c>
      <c r="D1714">
        <v>1</v>
      </c>
      <c r="E1714" t="s">
        <v>189</v>
      </c>
    </row>
    <row r="1715" spans="1:5" x14ac:dyDescent="0.25">
      <c r="A1715">
        <v>95</v>
      </c>
      <c r="B1715">
        <v>244</v>
      </c>
      <c r="C1715">
        <v>2</v>
      </c>
      <c r="D1715">
        <v>2</v>
      </c>
      <c r="E1715" t="s">
        <v>189</v>
      </c>
    </row>
    <row r="1716" spans="1:5" x14ac:dyDescent="0.25">
      <c r="A1716">
        <v>95</v>
      </c>
      <c r="B1716">
        <v>245</v>
      </c>
      <c r="C1716">
        <v>1</v>
      </c>
      <c r="D1716">
        <v>1</v>
      </c>
      <c r="E1716" t="s">
        <v>189</v>
      </c>
    </row>
    <row r="1717" spans="1:5" x14ac:dyDescent="0.25">
      <c r="A1717">
        <v>95</v>
      </c>
      <c r="B1717">
        <v>248</v>
      </c>
      <c r="C1717">
        <v>1</v>
      </c>
      <c r="D1717">
        <v>1</v>
      </c>
      <c r="E1717" t="s">
        <v>189</v>
      </c>
    </row>
    <row r="1718" spans="1:5" x14ac:dyDescent="0.25">
      <c r="A1718">
        <v>95</v>
      </c>
      <c r="B1718">
        <v>288</v>
      </c>
      <c r="C1718">
        <v>1</v>
      </c>
      <c r="D1718">
        <v>1</v>
      </c>
      <c r="E1718" t="s">
        <v>189</v>
      </c>
    </row>
    <row r="1719" spans="1:5" x14ac:dyDescent="0.25">
      <c r="A1719">
        <v>95</v>
      </c>
      <c r="B1719">
        <v>291</v>
      </c>
      <c r="C1719">
        <v>2</v>
      </c>
      <c r="D1719">
        <v>2</v>
      </c>
      <c r="E1719" t="s">
        <v>189</v>
      </c>
    </row>
    <row r="1720" spans="1:5" x14ac:dyDescent="0.25">
      <c r="A1720">
        <v>95</v>
      </c>
      <c r="B1720">
        <v>292</v>
      </c>
      <c r="C1720">
        <v>4</v>
      </c>
      <c r="D1720">
        <v>4</v>
      </c>
      <c r="E1720" t="s">
        <v>189</v>
      </c>
    </row>
    <row r="1721" spans="1:5" x14ac:dyDescent="0.25">
      <c r="A1721">
        <v>95</v>
      </c>
      <c r="B1721">
        <v>295</v>
      </c>
      <c r="C1721">
        <v>1</v>
      </c>
      <c r="D1721">
        <v>1</v>
      </c>
      <c r="E1721" t="s">
        <v>189</v>
      </c>
    </row>
    <row r="1722" spans="1:5" x14ac:dyDescent="0.25">
      <c r="A1722">
        <v>95</v>
      </c>
      <c r="B1722">
        <v>299</v>
      </c>
      <c r="C1722">
        <v>1</v>
      </c>
      <c r="D1722">
        <v>1</v>
      </c>
      <c r="E1722" t="s">
        <v>189</v>
      </c>
    </row>
    <row r="1723" spans="1:5" x14ac:dyDescent="0.25">
      <c r="A1723">
        <v>95</v>
      </c>
      <c r="B1723">
        <v>300</v>
      </c>
      <c r="C1723">
        <v>1</v>
      </c>
      <c r="D1723">
        <v>1</v>
      </c>
      <c r="E1723" t="s">
        <v>189</v>
      </c>
    </row>
    <row r="1724" spans="1:5" x14ac:dyDescent="0.25">
      <c r="A1724">
        <v>95</v>
      </c>
      <c r="B1724">
        <v>307</v>
      </c>
      <c r="C1724">
        <v>1</v>
      </c>
      <c r="D1724">
        <v>1</v>
      </c>
      <c r="E1724" t="s">
        <v>189</v>
      </c>
    </row>
    <row r="1725" spans="1:5" x14ac:dyDescent="0.25">
      <c r="A1725">
        <v>95</v>
      </c>
      <c r="B1725">
        <v>313</v>
      </c>
      <c r="C1725">
        <v>1</v>
      </c>
      <c r="D1725">
        <v>1</v>
      </c>
      <c r="E1725" t="s">
        <v>189</v>
      </c>
    </row>
    <row r="1726" spans="1:5" x14ac:dyDescent="0.25">
      <c r="A1726">
        <v>95</v>
      </c>
      <c r="B1726">
        <v>314</v>
      </c>
      <c r="C1726">
        <v>1</v>
      </c>
      <c r="D1726">
        <v>1</v>
      </c>
      <c r="E1726" t="s">
        <v>189</v>
      </c>
    </row>
    <row r="1727" spans="1:5" x14ac:dyDescent="0.25">
      <c r="A1727">
        <v>95</v>
      </c>
      <c r="B1727">
        <v>332</v>
      </c>
      <c r="C1727">
        <v>1</v>
      </c>
      <c r="D1727">
        <v>1</v>
      </c>
      <c r="E1727" t="s">
        <v>189</v>
      </c>
    </row>
    <row r="1728" spans="1:5" x14ac:dyDescent="0.25">
      <c r="A1728">
        <v>95</v>
      </c>
      <c r="B1728">
        <v>339</v>
      </c>
      <c r="C1728">
        <v>1</v>
      </c>
      <c r="D1728">
        <v>1</v>
      </c>
      <c r="E1728" t="s">
        <v>189</v>
      </c>
    </row>
    <row r="1729" spans="1:6" x14ac:dyDescent="0.25">
      <c r="A1729">
        <v>95</v>
      </c>
      <c r="B1729">
        <v>355</v>
      </c>
      <c r="C1729">
        <v>1</v>
      </c>
      <c r="D1729">
        <v>1</v>
      </c>
      <c r="E1729" t="s">
        <v>189</v>
      </c>
      <c r="F1729">
        <f>SUM(D1693:D1729)</f>
        <v>51</v>
      </c>
    </row>
    <row r="1730" spans="1:6" x14ac:dyDescent="0.25">
      <c r="A1730">
        <v>113</v>
      </c>
      <c r="B1730">
        <v>80</v>
      </c>
      <c r="C1730">
        <v>1</v>
      </c>
      <c r="D1730">
        <v>1</v>
      </c>
      <c r="E1730" t="s">
        <v>239</v>
      </c>
    </row>
    <row r="1731" spans="1:6" x14ac:dyDescent="0.25">
      <c r="A1731">
        <v>113</v>
      </c>
      <c r="B1731">
        <v>82</v>
      </c>
      <c r="C1731">
        <v>2</v>
      </c>
      <c r="D1731">
        <v>2</v>
      </c>
      <c r="E1731" t="s">
        <v>239</v>
      </c>
    </row>
    <row r="1732" spans="1:6" x14ac:dyDescent="0.25">
      <c r="A1732">
        <v>113</v>
      </c>
      <c r="B1732">
        <v>83</v>
      </c>
      <c r="C1732">
        <v>2</v>
      </c>
      <c r="D1732">
        <v>2</v>
      </c>
      <c r="E1732" t="s">
        <v>239</v>
      </c>
    </row>
    <row r="1733" spans="1:6" x14ac:dyDescent="0.25">
      <c r="A1733">
        <v>113</v>
      </c>
      <c r="B1733">
        <v>84</v>
      </c>
      <c r="C1733">
        <v>3</v>
      </c>
      <c r="D1733">
        <v>3</v>
      </c>
      <c r="E1733" t="s">
        <v>239</v>
      </c>
    </row>
    <row r="1734" spans="1:6" x14ac:dyDescent="0.25">
      <c r="A1734">
        <v>113</v>
      </c>
      <c r="B1734">
        <v>85</v>
      </c>
      <c r="C1734">
        <v>1</v>
      </c>
      <c r="D1734">
        <v>1</v>
      </c>
      <c r="E1734" t="s">
        <v>239</v>
      </c>
    </row>
    <row r="1735" spans="1:6" x14ac:dyDescent="0.25">
      <c r="A1735">
        <v>113</v>
      </c>
      <c r="B1735">
        <v>86</v>
      </c>
      <c r="C1735">
        <v>1</v>
      </c>
      <c r="D1735">
        <v>1</v>
      </c>
      <c r="E1735" t="s">
        <v>239</v>
      </c>
    </row>
    <row r="1736" spans="1:6" x14ac:dyDescent="0.25">
      <c r="A1736">
        <v>113</v>
      </c>
      <c r="B1736">
        <v>87</v>
      </c>
      <c r="C1736">
        <v>2</v>
      </c>
      <c r="D1736">
        <v>2</v>
      </c>
      <c r="E1736" t="s">
        <v>239</v>
      </c>
    </row>
    <row r="1737" spans="1:6" x14ac:dyDescent="0.25">
      <c r="A1737">
        <v>113</v>
      </c>
      <c r="B1737">
        <v>88</v>
      </c>
      <c r="C1737">
        <v>1</v>
      </c>
      <c r="D1737">
        <v>1</v>
      </c>
      <c r="E1737" t="s">
        <v>239</v>
      </c>
    </row>
    <row r="1738" spans="1:6" x14ac:dyDescent="0.25">
      <c r="A1738">
        <v>113</v>
      </c>
      <c r="B1738">
        <v>89</v>
      </c>
      <c r="C1738">
        <v>2</v>
      </c>
      <c r="D1738">
        <v>2</v>
      </c>
      <c r="E1738" t="s">
        <v>239</v>
      </c>
    </row>
    <row r="1739" spans="1:6" x14ac:dyDescent="0.25">
      <c r="A1739">
        <v>113</v>
      </c>
      <c r="B1739">
        <v>90</v>
      </c>
      <c r="C1739">
        <v>1</v>
      </c>
      <c r="D1739">
        <v>1</v>
      </c>
      <c r="E1739" t="s">
        <v>239</v>
      </c>
    </row>
    <row r="1740" spans="1:6" x14ac:dyDescent="0.25">
      <c r="A1740">
        <v>113</v>
      </c>
      <c r="B1740">
        <v>137</v>
      </c>
      <c r="C1740">
        <v>2</v>
      </c>
      <c r="D1740">
        <v>2</v>
      </c>
      <c r="E1740" t="s">
        <v>239</v>
      </c>
    </row>
    <row r="1741" spans="1:6" x14ac:dyDescent="0.25">
      <c r="A1741">
        <v>113</v>
      </c>
      <c r="B1741">
        <v>138</v>
      </c>
      <c r="C1741">
        <v>1</v>
      </c>
      <c r="D1741">
        <v>1</v>
      </c>
      <c r="E1741" t="s">
        <v>239</v>
      </c>
    </row>
    <row r="1742" spans="1:6" x14ac:dyDescent="0.25">
      <c r="A1742">
        <v>113</v>
      </c>
      <c r="B1742">
        <v>139</v>
      </c>
      <c r="C1742">
        <v>2</v>
      </c>
      <c r="D1742">
        <v>2</v>
      </c>
      <c r="E1742" t="s">
        <v>239</v>
      </c>
    </row>
    <row r="1743" spans="1:6" x14ac:dyDescent="0.25">
      <c r="A1743">
        <v>113</v>
      </c>
      <c r="B1743">
        <v>142</v>
      </c>
      <c r="C1743">
        <v>1</v>
      </c>
      <c r="D1743">
        <v>1</v>
      </c>
      <c r="E1743" t="s">
        <v>239</v>
      </c>
    </row>
    <row r="1744" spans="1:6" x14ac:dyDescent="0.25">
      <c r="A1744">
        <v>113</v>
      </c>
      <c r="B1744">
        <v>144</v>
      </c>
      <c r="C1744">
        <v>2</v>
      </c>
      <c r="D1744">
        <v>2</v>
      </c>
      <c r="E1744" t="s">
        <v>239</v>
      </c>
    </row>
    <row r="1745" spans="1:6" x14ac:dyDescent="0.25">
      <c r="A1745">
        <v>113</v>
      </c>
      <c r="B1745">
        <v>145</v>
      </c>
      <c r="C1745">
        <v>1</v>
      </c>
      <c r="D1745">
        <v>1</v>
      </c>
      <c r="E1745" t="s">
        <v>239</v>
      </c>
    </row>
    <row r="1746" spans="1:6" x14ac:dyDescent="0.25">
      <c r="A1746">
        <v>113</v>
      </c>
      <c r="B1746">
        <v>146</v>
      </c>
      <c r="C1746">
        <v>1</v>
      </c>
      <c r="D1746">
        <v>1</v>
      </c>
      <c r="E1746" t="s">
        <v>239</v>
      </c>
    </row>
    <row r="1747" spans="1:6" x14ac:dyDescent="0.25">
      <c r="A1747">
        <v>113</v>
      </c>
      <c r="B1747">
        <v>147</v>
      </c>
      <c r="C1747">
        <v>6</v>
      </c>
      <c r="D1747">
        <v>6</v>
      </c>
      <c r="E1747" t="s">
        <v>239</v>
      </c>
    </row>
    <row r="1748" spans="1:6" x14ac:dyDescent="0.25">
      <c r="A1748">
        <v>113</v>
      </c>
      <c r="B1748">
        <v>148</v>
      </c>
      <c r="C1748">
        <v>1</v>
      </c>
      <c r="D1748">
        <v>1</v>
      </c>
      <c r="E1748" t="s">
        <v>239</v>
      </c>
    </row>
    <row r="1749" spans="1:6" x14ac:dyDescent="0.25">
      <c r="A1749">
        <v>113</v>
      </c>
      <c r="B1749">
        <v>149</v>
      </c>
      <c r="C1749">
        <v>3</v>
      </c>
      <c r="D1749">
        <v>3</v>
      </c>
      <c r="E1749" t="s">
        <v>239</v>
      </c>
    </row>
    <row r="1750" spans="1:6" x14ac:dyDescent="0.25">
      <c r="A1750">
        <v>113</v>
      </c>
      <c r="B1750">
        <v>150</v>
      </c>
      <c r="C1750">
        <v>2</v>
      </c>
      <c r="D1750">
        <v>2</v>
      </c>
      <c r="E1750" t="s">
        <v>239</v>
      </c>
    </row>
    <row r="1751" spans="1:6" x14ac:dyDescent="0.25">
      <c r="A1751">
        <v>113</v>
      </c>
      <c r="B1751">
        <v>161</v>
      </c>
      <c r="C1751">
        <v>2</v>
      </c>
      <c r="D1751">
        <v>2</v>
      </c>
      <c r="E1751" t="s">
        <v>239</v>
      </c>
    </row>
    <row r="1752" spans="1:6" x14ac:dyDescent="0.25">
      <c r="A1752">
        <v>113</v>
      </c>
      <c r="B1752">
        <v>162</v>
      </c>
      <c r="C1752">
        <v>3</v>
      </c>
      <c r="D1752">
        <v>3</v>
      </c>
      <c r="E1752" t="s">
        <v>239</v>
      </c>
    </row>
    <row r="1753" spans="1:6" x14ac:dyDescent="0.25">
      <c r="A1753">
        <v>113</v>
      </c>
      <c r="B1753">
        <v>163</v>
      </c>
      <c r="C1753">
        <v>4</v>
      </c>
      <c r="D1753">
        <v>4</v>
      </c>
      <c r="E1753" t="s">
        <v>239</v>
      </c>
    </row>
    <row r="1754" spans="1:6" x14ac:dyDescent="0.25">
      <c r="A1754">
        <v>113</v>
      </c>
      <c r="B1754">
        <v>277</v>
      </c>
      <c r="C1754">
        <v>3</v>
      </c>
      <c r="D1754">
        <v>3</v>
      </c>
      <c r="E1754" t="s">
        <v>239</v>
      </c>
    </row>
    <row r="1755" spans="1:6" x14ac:dyDescent="0.25">
      <c r="A1755">
        <v>113</v>
      </c>
      <c r="B1755">
        <v>282</v>
      </c>
      <c r="C1755">
        <v>6</v>
      </c>
      <c r="D1755">
        <v>6</v>
      </c>
      <c r="E1755" t="s">
        <v>239</v>
      </c>
    </row>
    <row r="1756" spans="1:6" x14ac:dyDescent="0.25">
      <c r="A1756">
        <v>113</v>
      </c>
      <c r="B1756">
        <v>299</v>
      </c>
      <c r="C1756">
        <v>1</v>
      </c>
      <c r="D1756">
        <v>1</v>
      </c>
      <c r="E1756" t="s">
        <v>239</v>
      </c>
    </row>
    <row r="1757" spans="1:6" x14ac:dyDescent="0.25">
      <c r="A1757">
        <v>113</v>
      </c>
      <c r="B1757">
        <v>312</v>
      </c>
      <c r="C1757">
        <v>1</v>
      </c>
      <c r="D1757">
        <v>1</v>
      </c>
      <c r="E1757" t="s">
        <v>239</v>
      </c>
    </row>
    <row r="1758" spans="1:6" x14ac:dyDescent="0.25">
      <c r="A1758">
        <v>113</v>
      </c>
      <c r="B1758">
        <v>442</v>
      </c>
      <c r="C1758">
        <v>2</v>
      </c>
      <c r="D1758">
        <v>2</v>
      </c>
      <c r="E1758" t="s">
        <v>239</v>
      </c>
      <c r="F1758">
        <f>SUM(D1730:D1758)</f>
        <v>60</v>
      </c>
    </row>
    <row r="1759" spans="1:6" x14ac:dyDescent="0.25">
      <c r="A1759">
        <v>115</v>
      </c>
      <c r="B1759">
        <v>29</v>
      </c>
      <c r="C1759">
        <v>1</v>
      </c>
      <c r="D1759">
        <v>1</v>
      </c>
      <c r="E1759" t="s">
        <v>210</v>
      </c>
    </row>
    <row r="1760" spans="1:6" x14ac:dyDescent="0.25">
      <c r="A1760">
        <v>115</v>
      </c>
      <c r="B1760">
        <v>30</v>
      </c>
      <c r="C1760">
        <v>1</v>
      </c>
      <c r="D1760">
        <v>1</v>
      </c>
      <c r="E1760" t="s">
        <v>210</v>
      </c>
    </row>
    <row r="1761" spans="1:6" x14ac:dyDescent="0.25">
      <c r="A1761">
        <v>115</v>
      </c>
      <c r="B1761">
        <v>122</v>
      </c>
      <c r="C1761">
        <v>2</v>
      </c>
      <c r="D1761">
        <v>2</v>
      </c>
      <c r="E1761" t="s">
        <v>210</v>
      </c>
    </row>
    <row r="1762" spans="1:6" x14ac:dyDescent="0.25">
      <c r="A1762">
        <v>115</v>
      </c>
      <c r="B1762">
        <v>123</v>
      </c>
      <c r="C1762">
        <v>3</v>
      </c>
      <c r="D1762">
        <v>3</v>
      </c>
      <c r="E1762" t="s">
        <v>210</v>
      </c>
    </row>
    <row r="1763" spans="1:6" x14ac:dyDescent="0.25">
      <c r="A1763">
        <v>115</v>
      </c>
      <c r="B1763">
        <v>263</v>
      </c>
      <c r="C1763">
        <v>1</v>
      </c>
      <c r="D1763">
        <v>1</v>
      </c>
      <c r="E1763" t="s">
        <v>210</v>
      </c>
    </row>
    <row r="1764" spans="1:6" x14ac:dyDescent="0.25">
      <c r="A1764">
        <v>115</v>
      </c>
      <c r="B1764">
        <v>265</v>
      </c>
      <c r="C1764">
        <v>1</v>
      </c>
      <c r="D1764">
        <v>1</v>
      </c>
      <c r="E1764" t="s">
        <v>210</v>
      </c>
    </row>
    <row r="1765" spans="1:6" x14ac:dyDescent="0.25">
      <c r="A1765">
        <v>115</v>
      </c>
      <c r="B1765">
        <v>268</v>
      </c>
      <c r="C1765">
        <v>1</v>
      </c>
      <c r="D1765">
        <v>1</v>
      </c>
      <c r="E1765" t="s">
        <v>210</v>
      </c>
    </row>
    <row r="1766" spans="1:6" x14ac:dyDescent="0.25">
      <c r="A1766">
        <v>115</v>
      </c>
      <c r="B1766">
        <v>286</v>
      </c>
      <c r="C1766">
        <v>1</v>
      </c>
      <c r="D1766">
        <v>1</v>
      </c>
      <c r="E1766" t="s">
        <v>210</v>
      </c>
    </row>
    <row r="1767" spans="1:6" x14ac:dyDescent="0.25">
      <c r="A1767">
        <v>115</v>
      </c>
      <c r="B1767">
        <v>292</v>
      </c>
      <c r="C1767">
        <v>2</v>
      </c>
      <c r="D1767">
        <v>2</v>
      </c>
      <c r="E1767" t="s">
        <v>210</v>
      </c>
    </row>
    <row r="1768" spans="1:6" x14ac:dyDescent="0.25">
      <c r="A1768">
        <v>115</v>
      </c>
      <c r="B1768">
        <v>300</v>
      </c>
      <c r="C1768">
        <v>2</v>
      </c>
      <c r="D1768">
        <v>2</v>
      </c>
      <c r="E1768" t="s">
        <v>210</v>
      </c>
    </row>
    <row r="1769" spans="1:6" x14ac:dyDescent="0.25">
      <c r="A1769">
        <v>115</v>
      </c>
      <c r="B1769">
        <v>306</v>
      </c>
      <c r="C1769">
        <v>1</v>
      </c>
      <c r="D1769">
        <v>1</v>
      </c>
      <c r="E1769" t="s">
        <v>210</v>
      </c>
    </row>
    <row r="1770" spans="1:6" x14ac:dyDescent="0.25">
      <c r="A1770">
        <v>115</v>
      </c>
      <c r="B1770">
        <v>313</v>
      </c>
      <c r="C1770">
        <v>1</v>
      </c>
      <c r="D1770">
        <v>1</v>
      </c>
      <c r="E1770" t="s">
        <v>210</v>
      </c>
    </row>
    <row r="1771" spans="1:6" x14ac:dyDescent="0.25">
      <c r="A1771">
        <v>115</v>
      </c>
      <c r="B1771">
        <v>328</v>
      </c>
      <c r="C1771">
        <v>2</v>
      </c>
      <c r="D1771">
        <v>2</v>
      </c>
      <c r="E1771" t="s">
        <v>210</v>
      </c>
    </row>
    <row r="1772" spans="1:6" x14ac:dyDescent="0.25">
      <c r="A1772">
        <v>115</v>
      </c>
      <c r="B1772">
        <v>481</v>
      </c>
      <c r="C1772">
        <v>2</v>
      </c>
      <c r="D1772">
        <v>2</v>
      </c>
      <c r="E1772" t="s">
        <v>210</v>
      </c>
    </row>
    <row r="1773" spans="1:6" x14ac:dyDescent="0.25">
      <c r="A1773">
        <v>115</v>
      </c>
      <c r="B1773">
        <v>485</v>
      </c>
      <c r="C1773">
        <v>3</v>
      </c>
      <c r="D1773">
        <v>3</v>
      </c>
      <c r="E1773" t="s">
        <v>210</v>
      </c>
    </row>
    <row r="1774" spans="1:6" x14ac:dyDescent="0.25">
      <c r="A1774">
        <v>115</v>
      </c>
      <c r="B1774">
        <v>486</v>
      </c>
      <c r="C1774">
        <v>2</v>
      </c>
      <c r="D1774">
        <v>2</v>
      </c>
      <c r="E1774" t="s">
        <v>210</v>
      </c>
    </row>
    <row r="1775" spans="1:6" x14ac:dyDescent="0.25">
      <c r="A1775">
        <v>115</v>
      </c>
      <c r="B1775">
        <v>491</v>
      </c>
      <c r="C1775">
        <v>2</v>
      </c>
      <c r="D1775">
        <v>2</v>
      </c>
      <c r="E1775" t="s">
        <v>210</v>
      </c>
      <c r="F1775">
        <f>SUM(D1759:D1775)</f>
        <v>28</v>
      </c>
    </row>
    <row r="1776" spans="1:6" x14ac:dyDescent="0.25">
      <c r="A1776">
        <v>112</v>
      </c>
      <c r="B1776">
        <v>7</v>
      </c>
      <c r="C1776">
        <v>1</v>
      </c>
      <c r="D1776">
        <v>1</v>
      </c>
      <c r="E1776" t="s">
        <v>194</v>
      </c>
    </row>
    <row r="1777" spans="1:5" x14ac:dyDescent="0.25">
      <c r="A1777">
        <v>112</v>
      </c>
      <c r="B1777">
        <v>9</v>
      </c>
      <c r="C1777">
        <v>1</v>
      </c>
      <c r="D1777">
        <v>1</v>
      </c>
      <c r="E1777" t="s">
        <v>194</v>
      </c>
    </row>
    <row r="1778" spans="1:5" x14ac:dyDescent="0.25">
      <c r="A1778">
        <v>112</v>
      </c>
      <c r="B1778">
        <v>18</v>
      </c>
      <c r="C1778">
        <v>1</v>
      </c>
      <c r="D1778">
        <v>1</v>
      </c>
      <c r="E1778" t="s">
        <v>194</v>
      </c>
    </row>
    <row r="1779" spans="1:5" x14ac:dyDescent="0.25">
      <c r="A1779">
        <v>112</v>
      </c>
      <c r="B1779">
        <v>20</v>
      </c>
      <c r="C1779">
        <v>2</v>
      </c>
      <c r="D1779">
        <v>2</v>
      </c>
      <c r="E1779" t="s">
        <v>194</v>
      </c>
    </row>
    <row r="1780" spans="1:5" x14ac:dyDescent="0.25">
      <c r="A1780">
        <v>112</v>
      </c>
      <c r="B1780">
        <v>21</v>
      </c>
      <c r="C1780">
        <v>1</v>
      </c>
      <c r="D1780">
        <v>1</v>
      </c>
      <c r="E1780" t="s">
        <v>194</v>
      </c>
    </row>
    <row r="1781" spans="1:5" x14ac:dyDescent="0.25">
      <c r="A1781">
        <v>112</v>
      </c>
      <c r="B1781">
        <v>43</v>
      </c>
      <c r="C1781">
        <v>1</v>
      </c>
      <c r="D1781">
        <v>1</v>
      </c>
      <c r="E1781" t="s">
        <v>194</v>
      </c>
    </row>
    <row r="1782" spans="1:5" x14ac:dyDescent="0.25">
      <c r="A1782">
        <v>112</v>
      </c>
      <c r="B1782">
        <v>47</v>
      </c>
      <c r="C1782">
        <v>1</v>
      </c>
      <c r="D1782">
        <v>1</v>
      </c>
      <c r="E1782" t="s">
        <v>194</v>
      </c>
    </row>
    <row r="1783" spans="1:5" x14ac:dyDescent="0.25">
      <c r="A1783">
        <v>112</v>
      </c>
      <c r="B1783">
        <v>95</v>
      </c>
      <c r="C1783">
        <v>2</v>
      </c>
      <c r="D1783">
        <v>2</v>
      </c>
      <c r="E1783" t="s">
        <v>194</v>
      </c>
    </row>
    <row r="1784" spans="1:5" x14ac:dyDescent="0.25">
      <c r="A1784">
        <v>112</v>
      </c>
      <c r="B1784">
        <v>96</v>
      </c>
      <c r="C1784">
        <v>2</v>
      </c>
      <c r="D1784">
        <v>2</v>
      </c>
      <c r="E1784" t="s">
        <v>194</v>
      </c>
    </row>
    <row r="1785" spans="1:5" x14ac:dyDescent="0.25">
      <c r="A1785">
        <v>112</v>
      </c>
      <c r="B1785">
        <v>98</v>
      </c>
      <c r="C1785">
        <v>2</v>
      </c>
      <c r="D1785">
        <v>2</v>
      </c>
      <c r="E1785" t="s">
        <v>194</v>
      </c>
    </row>
    <row r="1786" spans="1:5" x14ac:dyDescent="0.25">
      <c r="A1786">
        <v>112</v>
      </c>
      <c r="B1786">
        <v>100</v>
      </c>
      <c r="C1786">
        <v>1</v>
      </c>
      <c r="D1786">
        <v>1</v>
      </c>
      <c r="E1786" t="s">
        <v>194</v>
      </c>
    </row>
    <row r="1787" spans="1:5" x14ac:dyDescent="0.25">
      <c r="A1787">
        <v>112</v>
      </c>
      <c r="B1787">
        <v>101</v>
      </c>
      <c r="C1787">
        <v>1</v>
      </c>
      <c r="D1787">
        <v>1</v>
      </c>
      <c r="E1787" t="s">
        <v>194</v>
      </c>
    </row>
    <row r="1788" spans="1:5" x14ac:dyDescent="0.25">
      <c r="A1788">
        <v>112</v>
      </c>
      <c r="B1788">
        <v>103</v>
      </c>
      <c r="C1788">
        <v>1</v>
      </c>
      <c r="D1788">
        <v>1</v>
      </c>
      <c r="E1788" t="s">
        <v>194</v>
      </c>
    </row>
    <row r="1789" spans="1:5" x14ac:dyDescent="0.25">
      <c r="A1789">
        <v>112</v>
      </c>
      <c r="B1789">
        <v>142</v>
      </c>
      <c r="C1789">
        <v>1</v>
      </c>
      <c r="D1789">
        <v>1</v>
      </c>
      <c r="E1789" t="s">
        <v>194</v>
      </c>
    </row>
    <row r="1790" spans="1:5" x14ac:dyDescent="0.25">
      <c r="A1790">
        <v>112</v>
      </c>
      <c r="B1790">
        <v>143</v>
      </c>
      <c r="C1790">
        <v>1</v>
      </c>
      <c r="D1790">
        <v>1</v>
      </c>
      <c r="E1790" t="s">
        <v>194</v>
      </c>
    </row>
    <row r="1791" spans="1:5" x14ac:dyDescent="0.25">
      <c r="A1791">
        <v>112</v>
      </c>
      <c r="B1791">
        <v>277</v>
      </c>
      <c r="C1791">
        <v>1</v>
      </c>
      <c r="D1791">
        <v>1</v>
      </c>
      <c r="E1791" t="s">
        <v>194</v>
      </c>
    </row>
    <row r="1792" spans="1:5" x14ac:dyDescent="0.25">
      <c r="A1792">
        <v>112</v>
      </c>
      <c r="B1792">
        <v>305</v>
      </c>
      <c r="C1792">
        <v>2</v>
      </c>
      <c r="D1792">
        <v>2</v>
      </c>
      <c r="E1792" t="s">
        <v>194</v>
      </c>
    </row>
    <row r="1793" spans="1:6" x14ac:dyDescent="0.25">
      <c r="A1793">
        <v>112</v>
      </c>
      <c r="B1793">
        <v>306</v>
      </c>
      <c r="C1793">
        <v>1</v>
      </c>
      <c r="D1793">
        <v>1</v>
      </c>
      <c r="E1793" t="s">
        <v>194</v>
      </c>
    </row>
    <row r="1794" spans="1:6" x14ac:dyDescent="0.25">
      <c r="A1794">
        <v>112</v>
      </c>
      <c r="B1794">
        <v>330</v>
      </c>
      <c r="C1794">
        <v>2</v>
      </c>
      <c r="D1794">
        <v>2</v>
      </c>
      <c r="E1794" t="s">
        <v>194</v>
      </c>
      <c r="F1794">
        <f>SUM(D1776:D1794)</f>
        <v>25</v>
      </c>
    </row>
    <row r="1795" spans="1:6" x14ac:dyDescent="0.25">
      <c r="A1795">
        <v>94</v>
      </c>
      <c r="B1795">
        <v>331</v>
      </c>
      <c r="C1795">
        <v>2</v>
      </c>
      <c r="D1795">
        <v>2</v>
      </c>
      <c r="E1795" t="s">
        <v>184</v>
      </c>
    </row>
    <row r="1796" spans="1:6" x14ac:dyDescent="0.25">
      <c r="A1796">
        <v>94</v>
      </c>
      <c r="B1796">
        <v>333</v>
      </c>
      <c r="C1796">
        <v>2</v>
      </c>
      <c r="D1796">
        <v>2</v>
      </c>
      <c r="E1796" t="s">
        <v>184</v>
      </c>
    </row>
    <row r="1797" spans="1:6" x14ac:dyDescent="0.25">
      <c r="A1797">
        <v>94</v>
      </c>
      <c r="B1797">
        <v>334</v>
      </c>
      <c r="C1797">
        <v>2</v>
      </c>
      <c r="D1797">
        <v>2</v>
      </c>
      <c r="E1797" t="s">
        <v>184</v>
      </c>
    </row>
    <row r="1798" spans="1:6" x14ac:dyDescent="0.25">
      <c r="A1798">
        <v>94</v>
      </c>
      <c r="B1798">
        <v>335</v>
      </c>
      <c r="C1798">
        <v>1</v>
      </c>
      <c r="D1798">
        <v>1</v>
      </c>
      <c r="E1798" t="s">
        <v>184</v>
      </c>
    </row>
    <row r="1799" spans="1:6" x14ac:dyDescent="0.25">
      <c r="A1799">
        <v>94</v>
      </c>
      <c r="B1799">
        <v>337</v>
      </c>
      <c r="C1799">
        <v>2</v>
      </c>
      <c r="D1799">
        <v>2</v>
      </c>
      <c r="E1799" t="s">
        <v>184</v>
      </c>
    </row>
    <row r="1800" spans="1:6" x14ac:dyDescent="0.25">
      <c r="A1800">
        <v>94</v>
      </c>
      <c r="B1800">
        <v>338</v>
      </c>
      <c r="C1800">
        <v>2</v>
      </c>
      <c r="D1800">
        <v>2</v>
      </c>
      <c r="E1800" t="s">
        <v>184</v>
      </c>
    </row>
    <row r="1801" spans="1:6" x14ac:dyDescent="0.25">
      <c r="A1801">
        <v>94</v>
      </c>
      <c r="B1801">
        <v>827</v>
      </c>
      <c r="C1801">
        <v>1</v>
      </c>
      <c r="D1801">
        <v>1</v>
      </c>
      <c r="E1801" t="s">
        <v>184</v>
      </c>
    </row>
    <row r="1802" spans="1:6" x14ac:dyDescent="0.25">
      <c r="A1802">
        <v>94</v>
      </c>
      <c r="B1802">
        <v>841</v>
      </c>
      <c r="C1802">
        <v>2</v>
      </c>
      <c r="D1802">
        <v>2</v>
      </c>
      <c r="E1802" t="s">
        <v>184</v>
      </c>
    </row>
    <row r="1803" spans="1:6" x14ac:dyDescent="0.25">
      <c r="A1803">
        <v>94</v>
      </c>
      <c r="B1803">
        <v>905</v>
      </c>
      <c r="C1803">
        <v>1</v>
      </c>
      <c r="D1803">
        <v>1</v>
      </c>
      <c r="E1803" t="s">
        <v>184</v>
      </c>
    </row>
    <row r="1804" spans="1:6" x14ac:dyDescent="0.25">
      <c r="A1804">
        <v>94</v>
      </c>
      <c r="B1804">
        <v>920</v>
      </c>
      <c r="C1804">
        <v>1</v>
      </c>
      <c r="D1804">
        <v>1</v>
      </c>
      <c r="E1804" t="s">
        <v>184</v>
      </c>
    </row>
    <row r="1805" spans="1:6" x14ac:dyDescent="0.25">
      <c r="A1805">
        <v>94</v>
      </c>
      <c r="B1805">
        <v>923</v>
      </c>
      <c r="C1805">
        <v>1</v>
      </c>
      <c r="D1805">
        <v>1</v>
      </c>
      <c r="E1805" t="s">
        <v>184</v>
      </c>
    </row>
    <row r="1806" spans="1:6" x14ac:dyDescent="0.25">
      <c r="A1806">
        <v>94</v>
      </c>
      <c r="B1806">
        <v>928</v>
      </c>
      <c r="C1806">
        <v>1</v>
      </c>
      <c r="D1806">
        <v>1</v>
      </c>
      <c r="E1806" t="s">
        <v>184</v>
      </c>
    </row>
    <row r="1807" spans="1:6" x14ac:dyDescent="0.25">
      <c r="A1807">
        <v>94</v>
      </c>
      <c r="B1807">
        <v>938</v>
      </c>
      <c r="C1807">
        <v>2</v>
      </c>
      <c r="D1807">
        <v>2</v>
      </c>
      <c r="E1807" t="s">
        <v>184</v>
      </c>
      <c r="F1807">
        <f>SUM(D1795:D1807)</f>
        <v>20</v>
      </c>
    </row>
    <row r="1808" spans="1:6" x14ac:dyDescent="0.25">
      <c r="A1808">
        <v>94</v>
      </c>
      <c r="B1808">
        <v>366</v>
      </c>
      <c r="C1808">
        <v>1</v>
      </c>
      <c r="D1808">
        <v>1</v>
      </c>
      <c r="E1808" t="s">
        <v>185</v>
      </c>
    </row>
    <row r="1809" spans="1:5" x14ac:dyDescent="0.25">
      <c r="A1809">
        <v>94</v>
      </c>
      <c r="B1809">
        <v>368</v>
      </c>
      <c r="C1809">
        <v>1</v>
      </c>
      <c r="D1809">
        <v>1</v>
      </c>
      <c r="E1809" t="s">
        <v>185</v>
      </c>
    </row>
    <row r="1810" spans="1:5" x14ac:dyDescent="0.25">
      <c r="A1810">
        <v>94</v>
      </c>
      <c r="B1810">
        <v>370</v>
      </c>
      <c r="C1810">
        <v>1</v>
      </c>
      <c r="D1810">
        <v>1</v>
      </c>
      <c r="E1810" t="s">
        <v>185</v>
      </c>
    </row>
    <row r="1811" spans="1:5" x14ac:dyDescent="0.25">
      <c r="A1811">
        <v>94</v>
      </c>
      <c r="B1811">
        <v>784</v>
      </c>
      <c r="C1811">
        <v>1</v>
      </c>
      <c r="D1811">
        <v>1</v>
      </c>
      <c r="E1811" t="s">
        <v>185</v>
      </c>
    </row>
    <row r="1812" spans="1:5" x14ac:dyDescent="0.25">
      <c r="A1812">
        <v>114</v>
      </c>
      <c r="B1812">
        <v>11</v>
      </c>
      <c r="C1812">
        <v>1</v>
      </c>
      <c r="D1812">
        <v>1</v>
      </c>
      <c r="E1812" t="s">
        <v>185</v>
      </c>
    </row>
    <row r="1813" spans="1:5" x14ac:dyDescent="0.25">
      <c r="A1813">
        <v>114</v>
      </c>
      <c r="B1813">
        <v>12</v>
      </c>
      <c r="C1813">
        <v>3</v>
      </c>
      <c r="D1813">
        <v>3</v>
      </c>
      <c r="E1813" t="s">
        <v>185</v>
      </c>
    </row>
    <row r="1814" spans="1:5" x14ac:dyDescent="0.25">
      <c r="A1814">
        <v>114</v>
      </c>
      <c r="B1814">
        <v>13</v>
      </c>
      <c r="C1814">
        <v>1</v>
      </c>
      <c r="D1814">
        <v>1</v>
      </c>
      <c r="E1814" t="s">
        <v>185</v>
      </c>
    </row>
    <row r="1815" spans="1:5" x14ac:dyDescent="0.25">
      <c r="A1815">
        <v>114</v>
      </c>
      <c r="B1815">
        <v>14</v>
      </c>
      <c r="C1815">
        <v>1</v>
      </c>
      <c r="D1815">
        <v>1</v>
      </c>
      <c r="E1815" t="s">
        <v>185</v>
      </c>
    </row>
    <row r="1816" spans="1:5" x14ac:dyDescent="0.25">
      <c r="A1816">
        <v>114</v>
      </c>
      <c r="B1816">
        <v>15</v>
      </c>
      <c r="C1816">
        <v>1</v>
      </c>
      <c r="D1816">
        <v>1</v>
      </c>
      <c r="E1816" t="s">
        <v>185</v>
      </c>
    </row>
    <row r="1817" spans="1:5" x14ac:dyDescent="0.25">
      <c r="A1817">
        <v>114</v>
      </c>
      <c r="B1817">
        <v>16</v>
      </c>
      <c r="C1817">
        <v>1</v>
      </c>
      <c r="D1817">
        <v>1</v>
      </c>
      <c r="E1817" t="s">
        <v>185</v>
      </c>
    </row>
    <row r="1818" spans="1:5" x14ac:dyDescent="0.25">
      <c r="A1818">
        <v>114</v>
      </c>
      <c r="B1818">
        <v>96</v>
      </c>
      <c r="C1818">
        <v>3</v>
      </c>
      <c r="D1818">
        <v>3</v>
      </c>
      <c r="E1818" t="s">
        <v>185</v>
      </c>
    </row>
    <row r="1819" spans="1:5" x14ac:dyDescent="0.25">
      <c r="A1819">
        <v>114</v>
      </c>
      <c r="B1819">
        <v>97</v>
      </c>
      <c r="C1819">
        <v>2</v>
      </c>
      <c r="D1819">
        <v>2</v>
      </c>
      <c r="E1819" t="s">
        <v>185</v>
      </c>
    </row>
    <row r="1820" spans="1:5" x14ac:dyDescent="0.25">
      <c r="A1820">
        <v>114</v>
      </c>
      <c r="B1820">
        <v>100</v>
      </c>
      <c r="C1820">
        <v>2</v>
      </c>
      <c r="D1820">
        <v>2</v>
      </c>
      <c r="E1820" t="s">
        <v>185</v>
      </c>
    </row>
    <row r="1821" spans="1:5" x14ac:dyDescent="0.25">
      <c r="A1821">
        <v>114</v>
      </c>
      <c r="B1821">
        <v>101</v>
      </c>
      <c r="C1821">
        <v>4</v>
      </c>
      <c r="D1821">
        <v>4</v>
      </c>
      <c r="E1821" t="s">
        <v>185</v>
      </c>
    </row>
    <row r="1822" spans="1:5" x14ac:dyDescent="0.25">
      <c r="A1822">
        <v>114</v>
      </c>
      <c r="B1822">
        <v>102</v>
      </c>
      <c r="C1822">
        <v>1</v>
      </c>
      <c r="D1822">
        <v>1</v>
      </c>
      <c r="E1822" t="s">
        <v>185</v>
      </c>
    </row>
    <row r="1823" spans="1:5" x14ac:dyDescent="0.25">
      <c r="A1823">
        <v>114</v>
      </c>
      <c r="B1823">
        <v>135</v>
      </c>
      <c r="C1823">
        <v>2</v>
      </c>
      <c r="D1823">
        <v>2</v>
      </c>
      <c r="E1823" t="s">
        <v>185</v>
      </c>
    </row>
    <row r="1824" spans="1:5" x14ac:dyDescent="0.25">
      <c r="A1824">
        <v>114</v>
      </c>
      <c r="B1824">
        <v>136</v>
      </c>
      <c r="C1824">
        <v>1</v>
      </c>
      <c r="D1824">
        <v>1</v>
      </c>
      <c r="E1824" t="s">
        <v>185</v>
      </c>
    </row>
    <row r="1825" spans="1:5" x14ac:dyDescent="0.25">
      <c r="A1825">
        <v>114</v>
      </c>
      <c r="B1825">
        <v>137</v>
      </c>
      <c r="C1825">
        <v>2</v>
      </c>
      <c r="D1825">
        <v>2</v>
      </c>
      <c r="E1825" t="s">
        <v>185</v>
      </c>
    </row>
    <row r="1826" spans="1:5" x14ac:dyDescent="0.25">
      <c r="A1826">
        <v>114</v>
      </c>
      <c r="B1826">
        <v>139</v>
      </c>
      <c r="C1826">
        <v>1</v>
      </c>
      <c r="D1826">
        <v>1</v>
      </c>
      <c r="E1826" t="s">
        <v>185</v>
      </c>
    </row>
    <row r="1827" spans="1:5" x14ac:dyDescent="0.25">
      <c r="A1827">
        <v>114</v>
      </c>
      <c r="B1827">
        <v>140</v>
      </c>
      <c r="C1827">
        <v>1</v>
      </c>
      <c r="D1827">
        <v>1</v>
      </c>
      <c r="E1827" t="s">
        <v>185</v>
      </c>
    </row>
    <row r="1828" spans="1:5" x14ac:dyDescent="0.25">
      <c r="A1828">
        <v>114</v>
      </c>
      <c r="B1828">
        <v>141</v>
      </c>
      <c r="C1828">
        <v>2</v>
      </c>
      <c r="D1828">
        <v>2</v>
      </c>
      <c r="E1828" t="s">
        <v>185</v>
      </c>
    </row>
    <row r="1829" spans="1:5" x14ac:dyDescent="0.25">
      <c r="A1829">
        <v>114</v>
      </c>
      <c r="B1829">
        <v>143</v>
      </c>
      <c r="C1829">
        <v>3</v>
      </c>
      <c r="D1829">
        <v>3</v>
      </c>
      <c r="E1829" t="s">
        <v>185</v>
      </c>
    </row>
    <row r="1830" spans="1:5" x14ac:dyDescent="0.25">
      <c r="A1830">
        <v>114</v>
      </c>
      <c r="B1830">
        <v>145</v>
      </c>
      <c r="C1830">
        <v>1</v>
      </c>
      <c r="D1830">
        <v>1</v>
      </c>
      <c r="E1830" t="s">
        <v>185</v>
      </c>
    </row>
    <row r="1831" spans="1:5" x14ac:dyDescent="0.25">
      <c r="A1831">
        <v>114</v>
      </c>
      <c r="B1831">
        <v>147</v>
      </c>
      <c r="C1831">
        <v>1</v>
      </c>
      <c r="D1831">
        <v>1</v>
      </c>
      <c r="E1831" t="s">
        <v>185</v>
      </c>
    </row>
    <row r="1832" spans="1:5" x14ac:dyDescent="0.25">
      <c r="A1832">
        <v>114</v>
      </c>
      <c r="B1832">
        <v>149</v>
      </c>
      <c r="C1832">
        <v>2</v>
      </c>
      <c r="D1832">
        <v>2</v>
      </c>
      <c r="E1832" t="s">
        <v>185</v>
      </c>
    </row>
    <row r="1833" spans="1:5" x14ac:dyDescent="0.25">
      <c r="A1833">
        <v>114</v>
      </c>
      <c r="B1833">
        <v>216</v>
      </c>
      <c r="C1833">
        <v>3</v>
      </c>
      <c r="D1833">
        <v>3</v>
      </c>
      <c r="E1833" t="s">
        <v>185</v>
      </c>
    </row>
    <row r="1834" spans="1:5" x14ac:dyDescent="0.25">
      <c r="A1834">
        <v>114</v>
      </c>
      <c r="B1834">
        <v>273</v>
      </c>
      <c r="C1834">
        <v>1</v>
      </c>
      <c r="D1834">
        <v>1</v>
      </c>
      <c r="E1834" t="s">
        <v>185</v>
      </c>
    </row>
    <row r="1835" spans="1:5" x14ac:dyDescent="0.25">
      <c r="A1835">
        <v>114</v>
      </c>
      <c r="B1835">
        <v>285</v>
      </c>
      <c r="C1835">
        <v>1</v>
      </c>
      <c r="D1835">
        <v>1</v>
      </c>
      <c r="E1835" t="s">
        <v>185</v>
      </c>
    </row>
    <row r="1836" spans="1:5" x14ac:dyDescent="0.25">
      <c r="A1836">
        <v>114</v>
      </c>
      <c r="B1836">
        <v>290</v>
      </c>
      <c r="C1836">
        <v>2</v>
      </c>
      <c r="D1836">
        <v>2</v>
      </c>
      <c r="E1836" t="s">
        <v>185</v>
      </c>
    </row>
    <row r="1837" spans="1:5" x14ac:dyDescent="0.25">
      <c r="A1837">
        <v>114</v>
      </c>
      <c r="B1837">
        <v>305</v>
      </c>
      <c r="C1837">
        <v>1</v>
      </c>
      <c r="D1837">
        <v>1</v>
      </c>
      <c r="E1837" t="s">
        <v>185</v>
      </c>
    </row>
    <row r="1838" spans="1:5" x14ac:dyDescent="0.25">
      <c r="A1838">
        <v>114</v>
      </c>
      <c r="B1838">
        <v>308</v>
      </c>
      <c r="C1838">
        <v>2</v>
      </c>
      <c r="D1838">
        <v>2</v>
      </c>
      <c r="E1838" t="s">
        <v>185</v>
      </c>
    </row>
    <row r="1839" spans="1:5" x14ac:dyDescent="0.25">
      <c r="A1839">
        <v>114</v>
      </c>
      <c r="B1839">
        <v>311</v>
      </c>
      <c r="C1839">
        <v>2</v>
      </c>
      <c r="D1839">
        <v>2</v>
      </c>
      <c r="E1839" t="s">
        <v>185</v>
      </c>
    </row>
    <row r="1840" spans="1:5" x14ac:dyDescent="0.25">
      <c r="A1840">
        <v>114</v>
      </c>
      <c r="B1840">
        <v>317</v>
      </c>
      <c r="C1840">
        <v>3</v>
      </c>
      <c r="D1840">
        <v>3</v>
      </c>
      <c r="E1840" t="s">
        <v>185</v>
      </c>
    </row>
    <row r="1841" spans="1:6" x14ac:dyDescent="0.25">
      <c r="A1841">
        <v>114</v>
      </c>
      <c r="B1841">
        <v>331</v>
      </c>
      <c r="C1841">
        <v>1</v>
      </c>
      <c r="D1841">
        <v>1</v>
      </c>
      <c r="E1841" t="s">
        <v>185</v>
      </c>
    </row>
    <row r="1842" spans="1:6" x14ac:dyDescent="0.25">
      <c r="A1842">
        <v>114</v>
      </c>
      <c r="B1842">
        <v>334</v>
      </c>
      <c r="C1842">
        <v>1</v>
      </c>
      <c r="D1842">
        <v>1</v>
      </c>
      <c r="E1842" t="s">
        <v>185</v>
      </c>
    </row>
    <row r="1843" spans="1:6" x14ac:dyDescent="0.25">
      <c r="A1843">
        <v>114</v>
      </c>
      <c r="B1843">
        <v>342</v>
      </c>
      <c r="C1843">
        <v>2</v>
      </c>
      <c r="D1843">
        <v>2</v>
      </c>
      <c r="E1843" t="s">
        <v>185</v>
      </c>
    </row>
    <row r="1844" spans="1:6" x14ac:dyDescent="0.25">
      <c r="A1844">
        <v>114</v>
      </c>
      <c r="B1844">
        <v>351</v>
      </c>
      <c r="C1844">
        <v>1</v>
      </c>
      <c r="D1844">
        <v>1</v>
      </c>
      <c r="E1844" t="s">
        <v>185</v>
      </c>
    </row>
    <row r="1845" spans="1:6" x14ac:dyDescent="0.25">
      <c r="A1845">
        <v>114</v>
      </c>
      <c r="B1845">
        <v>358</v>
      </c>
      <c r="C1845">
        <v>3</v>
      </c>
      <c r="D1845">
        <v>3</v>
      </c>
      <c r="E1845" t="s">
        <v>185</v>
      </c>
    </row>
    <row r="1846" spans="1:6" x14ac:dyDescent="0.25">
      <c r="A1846">
        <v>114</v>
      </c>
      <c r="B1846">
        <v>363</v>
      </c>
      <c r="C1846">
        <v>1</v>
      </c>
      <c r="D1846">
        <v>1</v>
      </c>
      <c r="E1846" t="s">
        <v>185</v>
      </c>
      <c r="F1846">
        <f>SUM(D1808:D1846)</f>
        <v>64</v>
      </c>
    </row>
    <row r="1847" spans="1:6" x14ac:dyDescent="0.25">
      <c r="A1847">
        <v>83</v>
      </c>
      <c r="B1847">
        <v>155</v>
      </c>
      <c r="C1847">
        <v>2</v>
      </c>
      <c r="D1847">
        <v>2</v>
      </c>
      <c r="E1847" t="s">
        <v>240</v>
      </c>
    </row>
    <row r="1848" spans="1:6" x14ac:dyDescent="0.25">
      <c r="A1848">
        <v>83</v>
      </c>
      <c r="B1848">
        <v>156</v>
      </c>
      <c r="C1848">
        <v>1</v>
      </c>
      <c r="D1848">
        <v>1</v>
      </c>
      <c r="E1848" t="s">
        <v>240</v>
      </c>
    </row>
    <row r="1849" spans="1:6" x14ac:dyDescent="0.25">
      <c r="A1849">
        <v>83</v>
      </c>
      <c r="B1849">
        <v>157</v>
      </c>
      <c r="C1849">
        <v>2</v>
      </c>
      <c r="D1849">
        <v>2</v>
      </c>
      <c r="E1849" t="s">
        <v>240</v>
      </c>
    </row>
    <row r="1850" spans="1:6" x14ac:dyDescent="0.25">
      <c r="A1850">
        <v>83</v>
      </c>
      <c r="B1850">
        <v>420</v>
      </c>
      <c r="C1850">
        <v>1</v>
      </c>
      <c r="D1850">
        <v>1</v>
      </c>
      <c r="E1850" t="s">
        <v>240</v>
      </c>
    </row>
    <row r="1851" spans="1:6" x14ac:dyDescent="0.25">
      <c r="A1851">
        <v>83</v>
      </c>
      <c r="B1851">
        <v>462</v>
      </c>
      <c r="C1851">
        <v>1</v>
      </c>
      <c r="D1851">
        <v>1</v>
      </c>
      <c r="E1851" t="s">
        <v>240</v>
      </c>
    </row>
    <row r="1852" spans="1:6" x14ac:dyDescent="0.25">
      <c r="A1852">
        <v>83</v>
      </c>
      <c r="B1852">
        <v>530</v>
      </c>
      <c r="C1852">
        <v>2</v>
      </c>
      <c r="D1852">
        <v>2</v>
      </c>
      <c r="E1852" t="s">
        <v>240</v>
      </c>
    </row>
    <row r="1853" spans="1:6" x14ac:dyDescent="0.25">
      <c r="A1853">
        <v>83</v>
      </c>
      <c r="B1853">
        <v>565</v>
      </c>
      <c r="C1853">
        <v>1</v>
      </c>
      <c r="D1853">
        <v>1</v>
      </c>
      <c r="E1853" t="s">
        <v>240</v>
      </c>
    </row>
    <row r="1854" spans="1:6" x14ac:dyDescent="0.25">
      <c r="A1854">
        <v>83</v>
      </c>
      <c r="B1854">
        <v>579</v>
      </c>
      <c r="C1854">
        <v>1</v>
      </c>
      <c r="D1854">
        <v>1</v>
      </c>
      <c r="E1854" t="s">
        <v>240</v>
      </c>
    </row>
    <row r="1855" spans="1:6" x14ac:dyDescent="0.25">
      <c r="A1855">
        <v>83</v>
      </c>
      <c r="B1855">
        <v>649</v>
      </c>
      <c r="C1855">
        <v>5</v>
      </c>
      <c r="D1855">
        <v>5</v>
      </c>
      <c r="E1855" t="s">
        <v>240</v>
      </c>
    </row>
    <row r="1856" spans="1:6" x14ac:dyDescent="0.25">
      <c r="A1856">
        <v>83</v>
      </c>
      <c r="B1856">
        <v>692</v>
      </c>
      <c r="C1856">
        <v>3</v>
      </c>
      <c r="D1856">
        <v>3</v>
      </c>
      <c r="E1856" t="s">
        <v>240</v>
      </c>
    </row>
    <row r="1857" spans="1:5" x14ac:dyDescent="0.25">
      <c r="A1857">
        <v>83</v>
      </c>
      <c r="B1857">
        <v>695</v>
      </c>
      <c r="C1857">
        <v>6</v>
      </c>
      <c r="D1857">
        <v>6</v>
      </c>
      <c r="E1857" t="s">
        <v>240</v>
      </c>
    </row>
    <row r="1858" spans="1:5" x14ac:dyDescent="0.25">
      <c r="A1858">
        <v>83</v>
      </c>
      <c r="B1858">
        <v>733</v>
      </c>
      <c r="C1858">
        <v>1</v>
      </c>
      <c r="D1858">
        <v>1</v>
      </c>
      <c r="E1858" t="s">
        <v>240</v>
      </c>
    </row>
    <row r="1859" spans="1:5" x14ac:dyDescent="0.25">
      <c r="A1859">
        <v>83</v>
      </c>
      <c r="B1859">
        <v>741</v>
      </c>
      <c r="C1859">
        <v>4</v>
      </c>
      <c r="D1859">
        <v>4</v>
      </c>
      <c r="E1859" t="s">
        <v>240</v>
      </c>
    </row>
    <row r="1860" spans="1:5" x14ac:dyDescent="0.25">
      <c r="A1860">
        <v>83</v>
      </c>
      <c r="B1860">
        <v>755</v>
      </c>
      <c r="C1860">
        <v>3</v>
      </c>
      <c r="D1860">
        <v>3</v>
      </c>
      <c r="E1860" t="s">
        <v>240</v>
      </c>
    </row>
    <row r="1861" spans="1:5" x14ac:dyDescent="0.25">
      <c r="A1861">
        <v>83</v>
      </c>
      <c r="B1861">
        <v>757</v>
      </c>
      <c r="C1861">
        <v>1</v>
      </c>
      <c r="D1861">
        <v>1</v>
      </c>
      <c r="E1861" t="s">
        <v>240</v>
      </c>
    </row>
    <row r="1862" spans="1:5" x14ac:dyDescent="0.25">
      <c r="A1862">
        <v>83</v>
      </c>
      <c r="B1862">
        <v>764</v>
      </c>
      <c r="C1862">
        <v>1</v>
      </c>
      <c r="D1862">
        <v>1</v>
      </c>
      <c r="E1862" t="s">
        <v>240</v>
      </c>
    </row>
    <row r="1863" spans="1:5" x14ac:dyDescent="0.25">
      <c r="A1863">
        <v>83</v>
      </c>
      <c r="B1863">
        <v>771</v>
      </c>
      <c r="C1863">
        <v>2</v>
      </c>
      <c r="D1863">
        <v>2</v>
      </c>
      <c r="E1863" t="s">
        <v>240</v>
      </c>
    </row>
    <row r="1864" spans="1:5" x14ac:dyDescent="0.25">
      <c r="A1864">
        <v>83</v>
      </c>
      <c r="B1864">
        <v>773</v>
      </c>
      <c r="C1864">
        <v>1</v>
      </c>
      <c r="D1864">
        <v>1</v>
      </c>
      <c r="E1864" t="s">
        <v>240</v>
      </c>
    </row>
    <row r="1865" spans="1:5" x14ac:dyDescent="0.25">
      <c r="A1865">
        <v>83</v>
      </c>
      <c r="B1865">
        <v>776</v>
      </c>
      <c r="C1865">
        <v>1</v>
      </c>
      <c r="D1865">
        <v>1</v>
      </c>
      <c r="E1865" t="s">
        <v>240</v>
      </c>
    </row>
    <row r="1866" spans="1:5" x14ac:dyDescent="0.25">
      <c r="A1866">
        <v>83</v>
      </c>
      <c r="B1866">
        <v>779</v>
      </c>
      <c r="C1866">
        <v>2</v>
      </c>
      <c r="D1866">
        <v>2</v>
      </c>
      <c r="E1866" t="s">
        <v>240</v>
      </c>
    </row>
    <row r="1867" spans="1:5" x14ac:dyDescent="0.25">
      <c r="A1867">
        <v>83</v>
      </c>
      <c r="B1867">
        <v>780</v>
      </c>
      <c r="C1867">
        <v>2</v>
      </c>
      <c r="D1867">
        <v>2</v>
      </c>
      <c r="E1867" t="s">
        <v>240</v>
      </c>
    </row>
    <row r="1868" spans="1:5" x14ac:dyDescent="0.25">
      <c r="A1868">
        <v>83</v>
      </c>
      <c r="B1868">
        <v>783</v>
      </c>
      <c r="C1868">
        <v>2</v>
      </c>
      <c r="D1868">
        <v>2</v>
      </c>
      <c r="E1868" t="s">
        <v>240</v>
      </c>
    </row>
    <row r="1869" spans="1:5" x14ac:dyDescent="0.25">
      <c r="A1869">
        <v>83</v>
      </c>
      <c r="B1869">
        <v>786</v>
      </c>
      <c r="C1869">
        <v>4</v>
      </c>
      <c r="D1869">
        <v>4</v>
      </c>
      <c r="E1869" t="s">
        <v>240</v>
      </c>
    </row>
    <row r="1870" spans="1:5" x14ac:dyDescent="0.25">
      <c r="A1870">
        <v>83</v>
      </c>
      <c r="B1870">
        <v>789</v>
      </c>
      <c r="C1870">
        <v>2</v>
      </c>
      <c r="D1870">
        <v>2</v>
      </c>
      <c r="E1870" t="s">
        <v>240</v>
      </c>
    </row>
    <row r="1871" spans="1:5" x14ac:dyDescent="0.25">
      <c r="A1871">
        <v>83</v>
      </c>
      <c r="B1871">
        <v>791</v>
      </c>
      <c r="C1871">
        <v>2</v>
      </c>
      <c r="D1871">
        <v>2</v>
      </c>
      <c r="E1871" t="s">
        <v>240</v>
      </c>
    </row>
    <row r="1872" spans="1:5" x14ac:dyDescent="0.25">
      <c r="A1872">
        <v>116</v>
      </c>
      <c r="B1872">
        <v>397</v>
      </c>
      <c r="C1872">
        <v>2</v>
      </c>
      <c r="D1872">
        <v>2</v>
      </c>
      <c r="E1872" t="s">
        <v>240</v>
      </c>
    </row>
    <row r="1873" spans="1:6" x14ac:dyDescent="0.25">
      <c r="A1873">
        <v>116</v>
      </c>
      <c r="B1873">
        <v>398</v>
      </c>
      <c r="C1873">
        <v>3</v>
      </c>
      <c r="D1873">
        <v>3</v>
      </c>
      <c r="E1873" t="s">
        <v>240</v>
      </c>
    </row>
    <row r="1874" spans="1:6" x14ac:dyDescent="0.25">
      <c r="A1874">
        <v>116</v>
      </c>
      <c r="B1874">
        <v>431</v>
      </c>
      <c r="C1874">
        <v>2</v>
      </c>
      <c r="D1874">
        <v>2</v>
      </c>
      <c r="E1874" t="s">
        <v>240</v>
      </c>
    </row>
    <row r="1875" spans="1:6" x14ac:dyDescent="0.25">
      <c r="A1875">
        <v>116</v>
      </c>
      <c r="B1875">
        <v>432</v>
      </c>
      <c r="C1875">
        <v>2</v>
      </c>
      <c r="D1875">
        <v>2</v>
      </c>
      <c r="E1875" t="s">
        <v>240</v>
      </c>
    </row>
    <row r="1876" spans="1:6" x14ac:dyDescent="0.25">
      <c r="A1876">
        <v>116</v>
      </c>
      <c r="B1876">
        <v>433</v>
      </c>
      <c r="C1876">
        <v>2</v>
      </c>
      <c r="D1876">
        <v>2</v>
      </c>
      <c r="E1876" t="s">
        <v>240</v>
      </c>
    </row>
    <row r="1877" spans="1:6" x14ac:dyDescent="0.25">
      <c r="A1877">
        <v>116</v>
      </c>
      <c r="B1877">
        <v>457</v>
      </c>
      <c r="C1877">
        <v>4</v>
      </c>
      <c r="D1877">
        <v>4</v>
      </c>
      <c r="E1877" t="s">
        <v>240</v>
      </c>
    </row>
    <row r="1878" spans="1:6" x14ac:dyDescent="0.25">
      <c r="A1878">
        <v>116</v>
      </c>
      <c r="B1878">
        <v>458</v>
      </c>
      <c r="C1878">
        <v>3</v>
      </c>
      <c r="D1878">
        <v>3</v>
      </c>
      <c r="E1878" t="s">
        <v>240</v>
      </c>
    </row>
    <row r="1879" spans="1:6" x14ac:dyDescent="0.25">
      <c r="A1879">
        <v>116</v>
      </c>
      <c r="B1879">
        <v>459</v>
      </c>
      <c r="C1879">
        <v>3</v>
      </c>
      <c r="D1879">
        <v>3</v>
      </c>
      <c r="E1879" t="s">
        <v>240</v>
      </c>
    </row>
    <row r="1880" spans="1:6" x14ac:dyDescent="0.25">
      <c r="A1880">
        <v>116</v>
      </c>
      <c r="B1880">
        <v>460</v>
      </c>
      <c r="C1880">
        <v>4</v>
      </c>
      <c r="D1880">
        <v>4</v>
      </c>
      <c r="E1880" t="s">
        <v>240</v>
      </c>
    </row>
    <row r="1881" spans="1:6" x14ac:dyDescent="0.25">
      <c r="A1881">
        <v>116</v>
      </c>
      <c r="B1881">
        <v>461</v>
      </c>
      <c r="C1881">
        <v>3</v>
      </c>
      <c r="D1881">
        <v>3</v>
      </c>
      <c r="E1881" t="s">
        <v>240</v>
      </c>
    </row>
    <row r="1882" spans="1:6" x14ac:dyDescent="0.25">
      <c r="A1882">
        <v>116</v>
      </c>
      <c r="B1882">
        <v>463</v>
      </c>
      <c r="C1882">
        <v>1</v>
      </c>
      <c r="D1882">
        <v>1</v>
      </c>
      <c r="E1882" t="s">
        <v>240</v>
      </c>
      <c r="F1882">
        <f>SUM(D1847:D1882)</f>
        <v>82</v>
      </c>
    </row>
    <row r="1883" spans="1:6" x14ac:dyDescent="0.25">
      <c r="A1883">
        <v>80</v>
      </c>
      <c r="B1883">
        <v>222</v>
      </c>
      <c r="C1883">
        <v>4</v>
      </c>
      <c r="D1883">
        <v>4</v>
      </c>
      <c r="E1883" t="s">
        <v>241</v>
      </c>
    </row>
    <row r="1884" spans="1:6" x14ac:dyDescent="0.25">
      <c r="A1884">
        <v>80</v>
      </c>
      <c r="B1884">
        <v>223</v>
      </c>
      <c r="C1884">
        <v>2</v>
      </c>
      <c r="D1884">
        <v>2</v>
      </c>
      <c r="E1884" t="s">
        <v>241</v>
      </c>
    </row>
    <row r="1885" spans="1:6" x14ac:dyDescent="0.25">
      <c r="A1885">
        <v>80</v>
      </c>
      <c r="B1885">
        <v>227</v>
      </c>
      <c r="C1885">
        <v>2</v>
      </c>
      <c r="D1885">
        <v>2</v>
      </c>
      <c r="E1885" t="s">
        <v>241</v>
      </c>
    </row>
    <row r="1886" spans="1:6" x14ac:dyDescent="0.25">
      <c r="A1886">
        <v>80</v>
      </c>
      <c r="B1886">
        <v>228</v>
      </c>
      <c r="C1886">
        <v>2</v>
      </c>
      <c r="D1886">
        <v>2</v>
      </c>
      <c r="E1886" t="s">
        <v>241</v>
      </c>
    </row>
    <row r="1887" spans="1:6" x14ac:dyDescent="0.25">
      <c r="A1887">
        <v>80</v>
      </c>
      <c r="B1887">
        <v>328</v>
      </c>
      <c r="C1887">
        <v>3</v>
      </c>
      <c r="D1887">
        <v>3</v>
      </c>
      <c r="E1887" t="s">
        <v>241</v>
      </c>
    </row>
    <row r="1888" spans="1:6" x14ac:dyDescent="0.25">
      <c r="A1888">
        <v>80</v>
      </c>
      <c r="B1888">
        <v>329</v>
      </c>
      <c r="C1888">
        <v>1</v>
      </c>
      <c r="D1888">
        <v>1</v>
      </c>
      <c r="E1888" t="s">
        <v>241</v>
      </c>
    </row>
    <row r="1889" spans="1:6" x14ac:dyDescent="0.25">
      <c r="A1889">
        <v>80</v>
      </c>
      <c r="B1889">
        <v>330</v>
      </c>
      <c r="C1889">
        <v>3</v>
      </c>
      <c r="D1889">
        <v>3</v>
      </c>
      <c r="E1889" t="s">
        <v>241</v>
      </c>
    </row>
    <row r="1890" spans="1:6" x14ac:dyDescent="0.25">
      <c r="A1890">
        <v>80</v>
      </c>
      <c r="B1890">
        <v>331</v>
      </c>
      <c r="C1890">
        <v>1</v>
      </c>
      <c r="D1890">
        <v>1</v>
      </c>
      <c r="E1890" t="s">
        <v>241</v>
      </c>
    </row>
    <row r="1891" spans="1:6" x14ac:dyDescent="0.25">
      <c r="A1891">
        <v>80</v>
      </c>
      <c r="B1891">
        <v>333</v>
      </c>
      <c r="C1891">
        <v>2</v>
      </c>
      <c r="D1891">
        <v>2</v>
      </c>
      <c r="E1891" t="s">
        <v>241</v>
      </c>
    </row>
    <row r="1892" spans="1:6" x14ac:dyDescent="0.25">
      <c r="A1892">
        <v>80</v>
      </c>
      <c r="B1892">
        <v>334</v>
      </c>
      <c r="C1892">
        <v>1</v>
      </c>
      <c r="D1892">
        <v>1</v>
      </c>
      <c r="E1892" t="s">
        <v>241</v>
      </c>
    </row>
    <row r="1893" spans="1:6" x14ac:dyDescent="0.25">
      <c r="A1893">
        <v>80</v>
      </c>
      <c r="B1893">
        <v>335</v>
      </c>
      <c r="C1893">
        <v>3</v>
      </c>
      <c r="D1893">
        <v>3</v>
      </c>
      <c r="E1893" t="s">
        <v>241</v>
      </c>
    </row>
    <row r="1894" spans="1:6" x14ac:dyDescent="0.25">
      <c r="A1894">
        <v>80</v>
      </c>
      <c r="B1894">
        <v>337</v>
      </c>
      <c r="C1894">
        <v>1</v>
      </c>
      <c r="D1894">
        <v>1</v>
      </c>
      <c r="E1894" t="s">
        <v>241</v>
      </c>
    </row>
    <row r="1895" spans="1:6" x14ac:dyDescent="0.25">
      <c r="A1895">
        <v>80</v>
      </c>
      <c r="B1895">
        <v>342</v>
      </c>
      <c r="C1895">
        <v>2</v>
      </c>
      <c r="D1895">
        <v>2</v>
      </c>
      <c r="E1895" t="s">
        <v>241</v>
      </c>
    </row>
    <row r="1896" spans="1:6" x14ac:dyDescent="0.25">
      <c r="A1896">
        <v>80</v>
      </c>
      <c r="B1896">
        <v>343</v>
      </c>
      <c r="C1896">
        <v>1</v>
      </c>
      <c r="D1896">
        <v>1</v>
      </c>
      <c r="E1896" t="s">
        <v>241</v>
      </c>
    </row>
    <row r="1897" spans="1:6" x14ac:dyDescent="0.25">
      <c r="A1897">
        <v>80</v>
      </c>
      <c r="B1897">
        <v>344</v>
      </c>
      <c r="C1897">
        <v>2</v>
      </c>
      <c r="D1897">
        <v>2</v>
      </c>
      <c r="E1897" t="s">
        <v>241</v>
      </c>
    </row>
    <row r="1898" spans="1:6" x14ac:dyDescent="0.25">
      <c r="A1898">
        <v>80</v>
      </c>
      <c r="B1898">
        <v>347</v>
      </c>
      <c r="C1898">
        <v>2</v>
      </c>
      <c r="D1898">
        <v>2</v>
      </c>
      <c r="E1898" t="s">
        <v>241</v>
      </c>
    </row>
    <row r="1899" spans="1:6" x14ac:dyDescent="0.25">
      <c r="A1899">
        <v>80</v>
      </c>
      <c r="B1899">
        <v>348</v>
      </c>
      <c r="C1899">
        <v>1</v>
      </c>
      <c r="D1899">
        <v>1</v>
      </c>
      <c r="E1899" t="s">
        <v>241</v>
      </c>
    </row>
    <row r="1900" spans="1:6" x14ac:dyDescent="0.25">
      <c r="A1900">
        <v>80</v>
      </c>
      <c r="B1900">
        <v>349</v>
      </c>
      <c r="C1900">
        <v>1</v>
      </c>
      <c r="D1900">
        <v>1</v>
      </c>
      <c r="E1900" t="s">
        <v>241</v>
      </c>
    </row>
    <row r="1901" spans="1:6" x14ac:dyDescent="0.25">
      <c r="A1901">
        <v>80</v>
      </c>
      <c r="B1901">
        <v>351</v>
      </c>
      <c r="C1901">
        <v>1</v>
      </c>
      <c r="D1901">
        <v>1</v>
      </c>
      <c r="E1901" t="s">
        <v>241</v>
      </c>
    </row>
    <row r="1902" spans="1:6" x14ac:dyDescent="0.25">
      <c r="A1902">
        <v>80</v>
      </c>
      <c r="B1902">
        <v>352</v>
      </c>
      <c r="C1902">
        <v>1</v>
      </c>
      <c r="D1902">
        <v>1</v>
      </c>
      <c r="E1902" t="s">
        <v>241</v>
      </c>
    </row>
    <row r="1903" spans="1:6" x14ac:dyDescent="0.25">
      <c r="A1903">
        <v>80</v>
      </c>
      <c r="B1903">
        <v>353</v>
      </c>
      <c r="C1903">
        <v>5</v>
      </c>
      <c r="D1903">
        <v>5</v>
      </c>
      <c r="E1903" t="s">
        <v>241</v>
      </c>
      <c r="F1903">
        <f>SUM(D1883:D1903)</f>
        <v>41</v>
      </c>
    </row>
    <row r="1904" spans="1:6" x14ac:dyDescent="0.25">
      <c r="A1904">
        <v>80</v>
      </c>
      <c r="B1904">
        <v>270</v>
      </c>
      <c r="C1904">
        <v>1</v>
      </c>
      <c r="D1904">
        <v>1</v>
      </c>
      <c r="E1904" t="s">
        <v>242</v>
      </c>
    </row>
    <row r="1905" spans="1:6" x14ac:dyDescent="0.25">
      <c r="A1905">
        <v>80</v>
      </c>
      <c r="B1905">
        <v>271</v>
      </c>
      <c r="C1905">
        <v>2</v>
      </c>
      <c r="D1905">
        <v>2</v>
      </c>
      <c r="E1905" t="s">
        <v>242</v>
      </c>
    </row>
    <row r="1906" spans="1:6" x14ac:dyDescent="0.25">
      <c r="A1906">
        <v>80</v>
      </c>
      <c r="B1906">
        <v>418</v>
      </c>
      <c r="C1906">
        <v>1</v>
      </c>
      <c r="D1906">
        <v>1</v>
      </c>
      <c r="E1906" t="s">
        <v>242</v>
      </c>
    </row>
    <row r="1907" spans="1:6" x14ac:dyDescent="0.25">
      <c r="A1907">
        <v>113</v>
      </c>
      <c r="B1907">
        <v>30</v>
      </c>
      <c r="C1907">
        <v>1</v>
      </c>
      <c r="D1907">
        <v>1</v>
      </c>
      <c r="E1907" t="s">
        <v>242</v>
      </c>
    </row>
    <row r="1908" spans="1:6" x14ac:dyDescent="0.25">
      <c r="A1908">
        <v>113</v>
      </c>
      <c r="B1908">
        <v>37</v>
      </c>
      <c r="C1908">
        <v>1</v>
      </c>
      <c r="D1908">
        <v>1</v>
      </c>
      <c r="E1908" t="s">
        <v>242</v>
      </c>
    </row>
    <row r="1909" spans="1:6" x14ac:dyDescent="0.25">
      <c r="A1909">
        <v>113</v>
      </c>
      <c r="B1909">
        <v>46</v>
      </c>
      <c r="C1909">
        <v>1</v>
      </c>
      <c r="D1909">
        <v>1</v>
      </c>
      <c r="E1909" t="s">
        <v>242</v>
      </c>
    </row>
    <row r="1910" spans="1:6" x14ac:dyDescent="0.25">
      <c r="A1910">
        <v>113</v>
      </c>
      <c r="B1910">
        <v>49</v>
      </c>
      <c r="C1910">
        <v>3</v>
      </c>
      <c r="D1910">
        <v>3</v>
      </c>
      <c r="E1910" t="s">
        <v>242</v>
      </c>
    </row>
    <row r="1911" spans="1:6" x14ac:dyDescent="0.25">
      <c r="A1911">
        <v>113</v>
      </c>
      <c r="B1911">
        <v>50</v>
      </c>
      <c r="C1911">
        <v>3</v>
      </c>
      <c r="D1911">
        <v>3</v>
      </c>
      <c r="E1911" t="s">
        <v>242</v>
      </c>
    </row>
    <row r="1912" spans="1:6" x14ac:dyDescent="0.25">
      <c r="A1912">
        <v>113</v>
      </c>
      <c r="B1912">
        <v>51</v>
      </c>
      <c r="C1912">
        <v>1</v>
      </c>
      <c r="D1912">
        <v>1</v>
      </c>
      <c r="E1912" t="s">
        <v>242</v>
      </c>
    </row>
    <row r="1913" spans="1:6" x14ac:dyDescent="0.25">
      <c r="A1913">
        <v>113</v>
      </c>
      <c r="B1913">
        <v>52</v>
      </c>
      <c r="C1913">
        <v>2</v>
      </c>
      <c r="D1913">
        <v>2</v>
      </c>
      <c r="E1913" t="s">
        <v>242</v>
      </c>
    </row>
    <row r="1914" spans="1:6" x14ac:dyDescent="0.25">
      <c r="A1914">
        <v>113</v>
      </c>
      <c r="B1914">
        <v>53</v>
      </c>
      <c r="C1914">
        <v>2</v>
      </c>
      <c r="D1914">
        <v>2</v>
      </c>
      <c r="E1914" t="s">
        <v>242</v>
      </c>
    </row>
    <row r="1915" spans="1:6" x14ac:dyDescent="0.25">
      <c r="A1915">
        <v>113</v>
      </c>
      <c r="B1915">
        <v>54</v>
      </c>
      <c r="C1915">
        <v>1</v>
      </c>
      <c r="D1915">
        <v>1</v>
      </c>
      <c r="E1915" t="s">
        <v>242</v>
      </c>
    </row>
    <row r="1916" spans="1:6" x14ac:dyDescent="0.25">
      <c r="A1916">
        <v>113</v>
      </c>
      <c r="B1916">
        <v>55</v>
      </c>
      <c r="C1916">
        <v>1</v>
      </c>
      <c r="D1916">
        <v>1</v>
      </c>
      <c r="E1916" t="s">
        <v>242</v>
      </c>
    </row>
    <row r="1917" spans="1:6" x14ac:dyDescent="0.25">
      <c r="A1917">
        <v>113</v>
      </c>
      <c r="B1917">
        <v>56</v>
      </c>
      <c r="C1917">
        <v>3</v>
      </c>
      <c r="D1917">
        <v>3</v>
      </c>
      <c r="E1917" t="s">
        <v>242</v>
      </c>
    </row>
    <row r="1918" spans="1:6" x14ac:dyDescent="0.25">
      <c r="A1918">
        <v>113</v>
      </c>
      <c r="B1918">
        <v>57</v>
      </c>
      <c r="C1918">
        <v>1</v>
      </c>
      <c r="D1918">
        <v>1</v>
      </c>
      <c r="E1918" t="s">
        <v>242</v>
      </c>
      <c r="F1918">
        <f>SUM(D1904:D1918)</f>
        <v>24</v>
      </c>
    </row>
    <row r="1919" spans="1:6" x14ac:dyDescent="0.25">
      <c r="A1919">
        <v>2</v>
      </c>
      <c r="B1919">
        <v>712</v>
      </c>
      <c r="C1919">
        <v>1</v>
      </c>
      <c r="D1919">
        <v>1</v>
      </c>
      <c r="E1919" t="s">
        <v>243</v>
      </c>
    </row>
    <row r="1920" spans="1:6" x14ac:dyDescent="0.25">
      <c r="A1920">
        <v>2</v>
      </c>
      <c r="B1920">
        <v>784</v>
      </c>
      <c r="C1920">
        <v>2</v>
      </c>
      <c r="D1920">
        <v>2</v>
      </c>
      <c r="E1920" t="s">
        <v>243</v>
      </c>
    </row>
    <row r="1921" spans="1:6" x14ac:dyDescent="0.25">
      <c r="A1921">
        <v>2</v>
      </c>
      <c r="B1921">
        <v>801</v>
      </c>
      <c r="C1921">
        <v>2</v>
      </c>
      <c r="D1921">
        <v>2</v>
      </c>
      <c r="E1921" t="s">
        <v>243</v>
      </c>
    </row>
    <row r="1922" spans="1:6" x14ac:dyDescent="0.25">
      <c r="A1922">
        <v>2</v>
      </c>
      <c r="B1922">
        <v>822</v>
      </c>
      <c r="C1922">
        <v>1</v>
      </c>
      <c r="D1922">
        <v>1</v>
      </c>
      <c r="E1922" t="s">
        <v>243</v>
      </c>
    </row>
    <row r="1923" spans="1:6" x14ac:dyDescent="0.25">
      <c r="A1923">
        <v>2</v>
      </c>
      <c r="B1923">
        <v>833</v>
      </c>
      <c r="C1923">
        <v>2</v>
      </c>
      <c r="D1923">
        <v>2</v>
      </c>
      <c r="E1923" t="s">
        <v>243</v>
      </c>
      <c r="F1923">
        <f>SUM(D1919:D1923)</f>
        <v>8</v>
      </c>
    </row>
    <row r="1924" spans="1:6" x14ac:dyDescent="0.25">
      <c r="A1924">
        <v>2</v>
      </c>
      <c r="B1924">
        <v>55</v>
      </c>
      <c r="C1924">
        <v>1</v>
      </c>
      <c r="D1924">
        <v>1</v>
      </c>
      <c r="E1924" t="s">
        <v>156</v>
      </c>
    </row>
    <row r="1925" spans="1:6" x14ac:dyDescent="0.25">
      <c r="A1925">
        <v>2</v>
      </c>
      <c r="B1925">
        <v>57</v>
      </c>
      <c r="C1925">
        <v>1</v>
      </c>
      <c r="D1925">
        <v>1</v>
      </c>
      <c r="E1925" t="s">
        <v>156</v>
      </c>
    </row>
    <row r="1926" spans="1:6" x14ac:dyDescent="0.25">
      <c r="A1926">
        <v>2</v>
      </c>
      <c r="B1926">
        <v>95</v>
      </c>
      <c r="C1926">
        <v>1</v>
      </c>
      <c r="D1926">
        <v>1</v>
      </c>
      <c r="E1926" t="s">
        <v>156</v>
      </c>
    </row>
    <row r="1927" spans="1:6" x14ac:dyDescent="0.25">
      <c r="A1927">
        <v>2</v>
      </c>
      <c r="B1927">
        <v>97</v>
      </c>
      <c r="C1927">
        <v>1</v>
      </c>
      <c r="D1927">
        <v>1</v>
      </c>
      <c r="E1927" t="s">
        <v>156</v>
      </c>
    </row>
    <row r="1928" spans="1:6" x14ac:dyDescent="0.25">
      <c r="A1928">
        <v>2</v>
      </c>
      <c r="B1928">
        <v>158</v>
      </c>
      <c r="C1928">
        <v>1</v>
      </c>
      <c r="D1928">
        <v>1</v>
      </c>
      <c r="E1928" t="s">
        <v>156</v>
      </c>
    </row>
    <row r="1929" spans="1:6" x14ac:dyDescent="0.25">
      <c r="A1929">
        <v>2</v>
      </c>
      <c r="B1929">
        <v>419</v>
      </c>
      <c r="C1929">
        <v>1</v>
      </c>
      <c r="D1929">
        <v>1</v>
      </c>
      <c r="E1929" t="s">
        <v>156</v>
      </c>
    </row>
    <row r="1930" spans="1:6" x14ac:dyDescent="0.25">
      <c r="A1930">
        <v>2</v>
      </c>
      <c r="B1930">
        <v>525</v>
      </c>
      <c r="C1930">
        <v>2</v>
      </c>
      <c r="D1930">
        <v>2</v>
      </c>
      <c r="E1930" t="s">
        <v>156</v>
      </c>
    </row>
    <row r="1931" spans="1:6" x14ac:dyDescent="0.25">
      <c r="A1931">
        <v>2</v>
      </c>
      <c r="B1931">
        <v>641</v>
      </c>
      <c r="C1931">
        <v>1</v>
      </c>
      <c r="D1931">
        <v>1</v>
      </c>
      <c r="E1931" t="s">
        <v>156</v>
      </c>
    </row>
    <row r="1932" spans="1:6" x14ac:dyDescent="0.25">
      <c r="A1932">
        <v>2</v>
      </c>
      <c r="B1932">
        <v>656</v>
      </c>
      <c r="C1932">
        <v>1</v>
      </c>
      <c r="D1932">
        <v>1</v>
      </c>
      <c r="E1932" t="s">
        <v>156</v>
      </c>
    </row>
    <row r="1933" spans="1:6" x14ac:dyDescent="0.25">
      <c r="A1933">
        <v>2</v>
      </c>
      <c r="B1933">
        <v>666</v>
      </c>
      <c r="C1933">
        <v>1</v>
      </c>
      <c r="D1933">
        <v>1</v>
      </c>
      <c r="E1933" t="s">
        <v>156</v>
      </c>
    </row>
    <row r="1934" spans="1:6" x14ac:dyDescent="0.25">
      <c r="A1934">
        <v>2</v>
      </c>
      <c r="B1934">
        <v>670</v>
      </c>
      <c r="C1934">
        <v>1</v>
      </c>
      <c r="D1934">
        <v>1</v>
      </c>
      <c r="E1934" t="s">
        <v>156</v>
      </c>
    </row>
    <row r="1935" spans="1:6" x14ac:dyDescent="0.25">
      <c r="A1935">
        <v>2</v>
      </c>
      <c r="B1935">
        <v>680</v>
      </c>
      <c r="C1935">
        <v>3</v>
      </c>
      <c r="D1935">
        <v>3</v>
      </c>
      <c r="E1935" t="s">
        <v>156</v>
      </c>
    </row>
    <row r="1936" spans="1:6" x14ac:dyDescent="0.25">
      <c r="A1936">
        <v>2</v>
      </c>
      <c r="B1936">
        <v>686</v>
      </c>
      <c r="C1936">
        <v>1</v>
      </c>
      <c r="D1936">
        <v>1</v>
      </c>
      <c r="E1936" t="s">
        <v>156</v>
      </c>
    </row>
    <row r="1937" spans="1:6" x14ac:dyDescent="0.25">
      <c r="A1937">
        <v>2</v>
      </c>
      <c r="B1937">
        <v>694</v>
      </c>
      <c r="C1937">
        <v>1</v>
      </c>
      <c r="D1937">
        <v>1</v>
      </c>
      <c r="E1937" t="s">
        <v>156</v>
      </c>
    </row>
    <row r="1938" spans="1:6" x14ac:dyDescent="0.25">
      <c r="A1938">
        <v>2</v>
      </c>
      <c r="B1938">
        <v>732</v>
      </c>
      <c r="C1938">
        <v>1</v>
      </c>
      <c r="D1938">
        <v>1</v>
      </c>
      <c r="E1938" t="s">
        <v>156</v>
      </c>
    </row>
    <row r="1939" spans="1:6" x14ac:dyDescent="0.25">
      <c r="A1939">
        <v>2</v>
      </c>
      <c r="B1939">
        <v>744</v>
      </c>
      <c r="C1939">
        <v>1</v>
      </c>
      <c r="D1939">
        <v>1</v>
      </c>
      <c r="E1939" t="s">
        <v>156</v>
      </c>
    </row>
    <row r="1940" spans="1:6" x14ac:dyDescent="0.25">
      <c r="A1940">
        <v>2</v>
      </c>
      <c r="B1940">
        <v>745</v>
      </c>
      <c r="C1940">
        <v>1</v>
      </c>
      <c r="D1940">
        <v>1</v>
      </c>
      <c r="E1940" t="s">
        <v>156</v>
      </c>
    </row>
    <row r="1941" spans="1:6" x14ac:dyDescent="0.25">
      <c r="A1941">
        <v>2</v>
      </c>
      <c r="B1941">
        <v>765</v>
      </c>
      <c r="C1941">
        <v>3</v>
      </c>
      <c r="D1941">
        <v>3</v>
      </c>
      <c r="E1941" t="s">
        <v>156</v>
      </c>
    </row>
    <row r="1942" spans="1:6" x14ac:dyDescent="0.25">
      <c r="A1942">
        <v>2</v>
      </c>
      <c r="B1942">
        <v>776</v>
      </c>
      <c r="C1942">
        <v>1</v>
      </c>
      <c r="D1942">
        <v>1</v>
      </c>
      <c r="E1942" t="s">
        <v>156</v>
      </c>
    </row>
    <row r="1943" spans="1:6" x14ac:dyDescent="0.25">
      <c r="A1943">
        <v>2</v>
      </c>
      <c r="B1943">
        <v>792</v>
      </c>
      <c r="C1943">
        <v>1</v>
      </c>
      <c r="D1943">
        <v>1</v>
      </c>
      <c r="E1943" t="s">
        <v>156</v>
      </c>
    </row>
    <row r="1944" spans="1:6" x14ac:dyDescent="0.25">
      <c r="A1944">
        <v>2</v>
      </c>
      <c r="B1944">
        <v>796</v>
      </c>
      <c r="C1944">
        <v>2</v>
      </c>
      <c r="D1944">
        <v>2</v>
      </c>
      <c r="E1944" t="s">
        <v>156</v>
      </c>
    </row>
    <row r="1945" spans="1:6" x14ac:dyDescent="0.25">
      <c r="A1945">
        <v>2</v>
      </c>
      <c r="B1945">
        <v>806</v>
      </c>
      <c r="C1945">
        <v>1</v>
      </c>
      <c r="D1945">
        <v>1</v>
      </c>
      <c r="E1945" t="s">
        <v>156</v>
      </c>
    </row>
    <row r="1946" spans="1:6" x14ac:dyDescent="0.25">
      <c r="A1946">
        <v>2</v>
      </c>
      <c r="B1946">
        <v>807</v>
      </c>
      <c r="C1946">
        <v>1</v>
      </c>
      <c r="D1946">
        <v>1</v>
      </c>
      <c r="E1946" t="s">
        <v>156</v>
      </c>
    </row>
    <row r="1947" spans="1:6" x14ac:dyDescent="0.25">
      <c r="A1947">
        <v>2</v>
      </c>
      <c r="B1947">
        <v>813</v>
      </c>
      <c r="C1947">
        <v>1</v>
      </c>
      <c r="D1947">
        <v>1</v>
      </c>
      <c r="E1947" t="s">
        <v>156</v>
      </c>
    </row>
    <row r="1948" spans="1:6" x14ac:dyDescent="0.25">
      <c r="A1948">
        <v>2</v>
      </c>
      <c r="B1948">
        <v>815</v>
      </c>
      <c r="C1948">
        <v>1</v>
      </c>
      <c r="D1948">
        <v>1</v>
      </c>
      <c r="E1948" t="s">
        <v>156</v>
      </c>
    </row>
    <row r="1949" spans="1:6" x14ac:dyDescent="0.25">
      <c r="A1949">
        <v>2</v>
      </c>
      <c r="B1949">
        <v>821</v>
      </c>
      <c r="C1949">
        <v>1</v>
      </c>
      <c r="D1949">
        <v>1</v>
      </c>
      <c r="E1949" t="s">
        <v>156</v>
      </c>
      <c r="F1949">
        <f>SUM(D1924:D1949)</f>
        <v>32</v>
      </c>
    </row>
    <row r="1950" spans="1:6" x14ac:dyDescent="0.25">
      <c r="A1950">
        <v>115</v>
      </c>
      <c r="B1950">
        <v>362</v>
      </c>
      <c r="C1950">
        <v>5</v>
      </c>
      <c r="D1950">
        <v>5</v>
      </c>
      <c r="E1950" t="s">
        <v>244</v>
      </c>
    </row>
    <row r="1951" spans="1:6" x14ac:dyDescent="0.25">
      <c r="A1951">
        <v>115</v>
      </c>
      <c r="B1951">
        <v>401</v>
      </c>
      <c r="C1951">
        <v>3</v>
      </c>
      <c r="D1951">
        <v>3</v>
      </c>
      <c r="E1951" t="s">
        <v>244</v>
      </c>
    </row>
    <row r="1952" spans="1:6" x14ac:dyDescent="0.25">
      <c r="A1952">
        <v>115</v>
      </c>
      <c r="B1952">
        <v>402</v>
      </c>
      <c r="C1952">
        <v>4</v>
      </c>
      <c r="D1952">
        <v>4</v>
      </c>
      <c r="E1952" t="s">
        <v>244</v>
      </c>
    </row>
    <row r="1953" spans="1:5" x14ac:dyDescent="0.25">
      <c r="A1953">
        <v>115</v>
      </c>
      <c r="B1953">
        <v>403</v>
      </c>
      <c r="C1953">
        <v>4</v>
      </c>
      <c r="D1953">
        <v>4</v>
      </c>
      <c r="E1953" t="s">
        <v>244</v>
      </c>
    </row>
    <row r="1954" spans="1:5" x14ac:dyDescent="0.25">
      <c r="A1954">
        <v>115</v>
      </c>
      <c r="B1954">
        <v>404</v>
      </c>
      <c r="C1954">
        <v>6</v>
      </c>
      <c r="D1954">
        <v>6</v>
      </c>
      <c r="E1954" t="s">
        <v>244</v>
      </c>
    </row>
    <row r="1955" spans="1:5" x14ac:dyDescent="0.25">
      <c r="A1955">
        <v>115</v>
      </c>
      <c r="B1955">
        <v>405</v>
      </c>
      <c r="C1955">
        <v>2</v>
      </c>
      <c r="D1955">
        <v>2</v>
      </c>
      <c r="E1955" t="s">
        <v>244</v>
      </c>
    </row>
    <row r="1956" spans="1:5" x14ac:dyDescent="0.25">
      <c r="A1956">
        <v>115</v>
      </c>
      <c r="B1956">
        <v>406</v>
      </c>
      <c r="C1956">
        <v>3</v>
      </c>
      <c r="D1956">
        <v>3</v>
      </c>
      <c r="E1956" t="s">
        <v>244</v>
      </c>
    </row>
    <row r="1957" spans="1:5" x14ac:dyDescent="0.25">
      <c r="A1957">
        <v>115</v>
      </c>
      <c r="B1957">
        <v>407</v>
      </c>
      <c r="C1957">
        <v>2</v>
      </c>
      <c r="D1957">
        <v>2</v>
      </c>
      <c r="E1957" t="s">
        <v>244</v>
      </c>
    </row>
    <row r="1958" spans="1:5" x14ac:dyDescent="0.25">
      <c r="A1958">
        <v>115</v>
      </c>
      <c r="B1958">
        <v>408</v>
      </c>
      <c r="C1958">
        <v>3</v>
      </c>
      <c r="D1958">
        <v>3</v>
      </c>
      <c r="E1958" t="s">
        <v>244</v>
      </c>
    </row>
    <row r="1959" spans="1:5" x14ac:dyDescent="0.25">
      <c r="A1959">
        <v>115</v>
      </c>
      <c r="B1959">
        <v>409</v>
      </c>
      <c r="C1959">
        <v>2</v>
      </c>
      <c r="D1959">
        <v>2</v>
      </c>
      <c r="E1959" t="s">
        <v>244</v>
      </c>
    </row>
    <row r="1960" spans="1:5" x14ac:dyDescent="0.25">
      <c r="A1960">
        <v>115</v>
      </c>
      <c r="B1960">
        <v>410</v>
      </c>
      <c r="C1960">
        <v>6</v>
      </c>
      <c r="D1960">
        <v>6</v>
      </c>
      <c r="E1960" t="s">
        <v>244</v>
      </c>
    </row>
    <row r="1961" spans="1:5" x14ac:dyDescent="0.25">
      <c r="A1961">
        <v>115</v>
      </c>
      <c r="B1961">
        <v>442</v>
      </c>
      <c r="C1961">
        <v>2</v>
      </c>
      <c r="D1961">
        <v>2</v>
      </c>
      <c r="E1961" t="s">
        <v>244</v>
      </c>
    </row>
    <row r="1962" spans="1:5" x14ac:dyDescent="0.25">
      <c r="A1962">
        <v>115</v>
      </c>
      <c r="B1962">
        <v>443</v>
      </c>
      <c r="C1962">
        <v>6</v>
      </c>
      <c r="D1962">
        <v>6</v>
      </c>
      <c r="E1962" t="s">
        <v>244</v>
      </c>
    </row>
    <row r="1963" spans="1:5" x14ac:dyDescent="0.25">
      <c r="A1963">
        <v>115</v>
      </c>
      <c r="B1963">
        <v>444</v>
      </c>
      <c r="C1963">
        <v>6</v>
      </c>
      <c r="D1963">
        <v>6</v>
      </c>
      <c r="E1963" t="s">
        <v>244</v>
      </c>
    </row>
    <row r="1964" spans="1:5" x14ac:dyDescent="0.25">
      <c r="A1964">
        <v>115</v>
      </c>
      <c r="B1964">
        <v>445</v>
      </c>
      <c r="C1964">
        <v>10</v>
      </c>
      <c r="D1964">
        <v>10</v>
      </c>
      <c r="E1964" t="s">
        <v>244</v>
      </c>
    </row>
    <row r="1965" spans="1:5" x14ac:dyDescent="0.25">
      <c r="A1965">
        <v>115</v>
      </c>
      <c r="B1965">
        <v>446</v>
      </c>
      <c r="C1965">
        <v>6</v>
      </c>
      <c r="D1965">
        <v>6</v>
      </c>
      <c r="E1965" t="s">
        <v>244</v>
      </c>
    </row>
    <row r="1966" spans="1:5" x14ac:dyDescent="0.25">
      <c r="A1966">
        <v>115</v>
      </c>
      <c r="B1966">
        <v>447</v>
      </c>
      <c r="C1966">
        <v>4</v>
      </c>
      <c r="D1966">
        <v>4</v>
      </c>
      <c r="E1966" t="s">
        <v>244</v>
      </c>
    </row>
    <row r="1967" spans="1:5" x14ac:dyDescent="0.25">
      <c r="A1967">
        <v>115</v>
      </c>
      <c r="B1967">
        <v>448</v>
      </c>
      <c r="C1967">
        <v>3</v>
      </c>
      <c r="D1967">
        <v>3</v>
      </c>
      <c r="E1967" t="s">
        <v>244</v>
      </c>
    </row>
    <row r="1968" spans="1:5" x14ac:dyDescent="0.25">
      <c r="A1968">
        <v>115</v>
      </c>
      <c r="B1968">
        <v>449</v>
      </c>
      <c r="C1968">
        <v>3</v>
      </c>
      <c r="D1968">
        <v>3</v>
      </c>
      <c r="E1968" t="s">
        <v>244</v>
      </c>
    </row>
    <row r="1969" spans="1:5" x14ac:dyDescent="0.25">
      <c r="A1969">
        <v>115</v>
      </c>
      <c r="B1969">
        <v>450</v>
      </c>
      <c r="C1969">
        <v>1</v>
      </c>
      <c r="D1969">
        <v>1</v>
      </c>
      <c r="E1969" t="s">
        <v>244</v>
      </c>
    </row>
    <row r="1970" spans="1:5" x14ac:dyDescent="0.25">
      <c r="A1970">
        <v>115</v>
      </c>
      <c r="B1970">
        <v>451</v>
      </c>
      <c r="C1970">
        <v>8</v>
      </c>
      <c r="D1970">
        <v>8</v>
      </c>
      <c r="E1970" t="s">
        <v>244</v>
      </c>
    </row>
    <row r="1971" spans="1:5" x14ac:dyDescent="0.25">
      <c r="A1971">
        <v>115</v>
      </c>
      <c r="B1971">
        <v>452</v>
      </c>
      <c r="C1971">
        <v>3</v>
      </c>
      <c r="D1971">
        <v>3</v>
      </c>
      <c r="E1971" t="s">
        <v>244</v>
      </c>
    </row>
    <row r="1972" spans="1:5" x14ac:dyDescent="0.25">
      <c r="A1972">
        <v>115</v>
      </c>
      <c r="B1972">
        <v>453</v>
      </c>
      <c r="C1972">
        <v>3</v>
      </c>
      <c r="D1972">
        <v>3</v>
      </c>
      <c r="E1972" t="s">
        <v>244</v>
      </c>
    </row>
    <row r="1973" spans="1:5" x14ac:dyDescent="0.25">
      <c r="A1973">
        <v>115</v>
      </c>
      <c r="B1973">
        <v>454</v>
      </c>
      <c r="C1973">
        <v>5</v>
      </c>
      <c r="D1973">
        <v>5</v>
      </c>
      <c r="E1973" t="s">
        <v>244</v>
      </c>
    </row>
    <row r="1974" spans="1:5" x14ac:dyDescent="0.25">
      <c r="A1974">
        <v>115</v>
      </c>
      <c r="B1974">
        <v>455</v>
      </c>
      <c r="C1974">
        <v>2</v>
      </c>
      <c r="D1974">
        <v>2</v>
      </c>
      <c r="E1974" t="s">
        <v>244</v>
      </c>
    </row>
    <row r="1975" spans="1:5" x14ac:dyDescent="0.25">
      <c r="A1975">
        <v>115</v>
      </c>
      <c r="B1975">
        <v>456</v>
      </c>
      <c r="C1975">
        <v>3</v>
      </c>
      <c r="D1975">
        <v>3</v>
      </c>
      <c r="E1975" t="s">
        <v>244</v>
      </c>
    </row>
    <row r="1976" spans="1:5" x14ac:dyDescent="0.25">
      <c r="A1976">
        <v>115</v>
      </c>
      <c r="B1976">
        <v>457</v>
      </c>
      <c r="C1976">
        <v>4</v>
      </c>
      <c r="D1976">
        <v>4</v>
      </c>
      <c r="E1976" t="s">
        <v>244</v>
      </c>
    </row>
    <row r="1977" spans="1:5" x14ac:dyDescent="0.25">
      <c r="A1977">
        <v>115</v>
      </c>
      <c r="B1977">
        <v>458</v>
      </c>
      <c r="C1977">
        <v>5</v>
      </c>
      <c r="D1977">
        <v>5</v>
      </c>
      <c r="E1977" t="s">
        <v>244</v>
      </c>
    </row>
    <row r="1978" spans="1:5" x14ac:dyDescent="0.25">
      <c r="A1978">
        <v>115</v>
      </c>
      <c r="B1978">
        <v>459</v>
      </c>
      <c r="C1978">
        <v>6</v>
      </c>
      <c r="D1978">
        <v>6</v>
      </c>
      <c r="E1978" t="s">
        <v>244</v>
      </c>
    </row>
    <row r="1979" spans="1:5" x14ac:dyDescent="0.25">
      <c r="A1979">
        <v>115</v>
      </c>
      <c r="B1979">
        <v>461</v>
      </c>
      <c r="C1979">
        <v>6</v>
      </c>
      <c r="D1979">
        <v>6</v>
      </c>
      <c r="E1979" t="s">
        <v>244</v>
      </c>
    </row>
    <row r="1980" spans="1:5" x14ac:dyDescent="0.25">
      <c r="A1980">
        <v>115</v>
      </c>
      <c r="B1980">
        <v>462</v>
      </c>
      <c r="C1980">
        <v>2</v>
      </c>
      <c r="D1980">
        <v>2</v>
      </c>
      <c r="E1980" t="s">
        <v>244</v>
      </c>
    </row>
    <row r="1981" spans="1:5" x14ac:dyDescent="0.25">
      <c r="A1981">
        <v>115</v>
      </c>
      <c r="B1981">
        <v>463</v>
      </c>
      <c r="C1981">
        <v>2</v>
      </c>
      <c r="D1981">
        <v>2</v>
      </c>
      <c r="E1981" t="s">
        <v>244</v>
      </c>
    </row>
    <row r="1982" spans="1:5" x14ac:dyDescent="0.25">
      <c r="A1982">
        <v>115</v>
      </c>
      <c r="B1982">
        <v>464</v>
      </c>
      <c r="C1982">
        <v>9</v>
      </c>
      <c r="D1982">
        <v>9</v>
      </c>
      <c r="E1982" t="s">
        <v>244</v>
      </c>
    </row>
    <row r="1983" spans="1:5" x14ac:dyDescent="0.25">
      <c r="A1983">
        <v>115</v>
      </c>
      <c r="B1983">
        <v>465</v>
      </c>
      <c r="C1983">
        <v>2</v>
      </c>
      <c r="D1983">
        <v>2</v>
      </c>
      <c r="E1983" t="s">
        <v>244</v>
      </c>
    </row>
    <row r="1984" spans="1:5" x14ac:dyDescent="0.25">
      <c r="A1984">
        <v>117</v>
      </c>
      <c r="B1984">
        <v>157</v>
      </c>
      <c r="C1984">
        <v>1</v>
      </c>
      <c r="D1984">
        <v>1</v>
      </c>
      <c r="E1984" t="s">
        <v>244</v>
      </c>
    </row>
    <row r="1985" spans="1:5" x14ac:dyDescent="0.25">
      <c r="A1985">
        <v>117</v>
      </c>
      <c r="B1985">
        <v>158</v>
      </c>
      <c r="C1985">
        <v>1</v>
      </c>
      <c r="D1985">
        <v>1</v>
      </c>
      <c r="E1985" t="s">
        <v>244</v>
      </c>
    </row>
    <row r="1986" spans="1:5" x14ac:dyDescent="0.25">
      <c r="A1986">
        <v>117</v>
      </c>
      <c r="B1986">
        <v>159</v>
      </c>
      <c r="C1986">
        <v>5</v>
      </c>
      <c r="D1986">
        <v>5</v>
      </c>
      <c r="E1986" t="s">
        <v>244</v>
      </c>
    </row>
    <row r="1987" spans="1:5" x14ac:dyDescent="0.25">
      <c r="A1987">
        <v>117</v>
      </c>
      <c r="B1987">
        <v>160</v>
      </c>
      <c r="C1987">
        <v>3</v>
      </c>
      <c r="D1987">
        <v>3</v>
      </c>
      <c r="E1987" t="s">
        <v>244</v>
      </c>
    </row>
    <row r="1988" spans="1:5" x14ac:dyDescent="0.25">
      <c r="A1988">
        <v>117</v>
      </c>
      <c r="B1988">
        <v>161</v>
      </c>
      <c r="C1988">
        <v>4</v>
      </c>
      <c r="D1988">
        <v>4</v>
      </c>
      <c r="E1988" t="s">
        <v>244</v>
      </c>
    </row>
    <row r="1989" spans="1:5" x14ac:dyDescent="0.25">
      <c r="A1989">
        <v>117</v>
      </c>
      <c r="B1989">
        <v>162</v>
      </c>
      <c r="C1989">
        <v>3</v>
      </c>
      <c r="D1989">
        <v>3</v>
      </c>
      <c r="E1989" t="s">
        <v>244</v>
      </c>
    </row>
    <row r="1990" spans="1:5" x14ac:dyDescent="0.25">
      <c r="A1990">
        <v>117</v>
      </c>
      <c r="B1990">
        <v>241</v>
      </c>
      <c r="C1990">
        <v>1</v>
      </c>
      <c r="D1990">
        <v>1</v>
      </c>
      <c r="E1990" t="s">
        <v>244</v>
      </c>
    </row>
    <row r="1991" spans="1:5" x14ac:dyDescent="0.25">
      <c r="A1991">
        <v>117</v>
      </c>
      <c r="B1991">
        <v>242</v>
      </c>
      <c r="C1991">
        <v>1</v>
      </c>
      <c r="D1991">
        <v>1</v>
      </c>
      <c r="E1991" t="s">
        <v>244</v>
      </c>
    </row>
    <row r="1992" spans="1:5" x14ac:dyDescent="0.25">
      <c r="A1992">
        <v>117</v>
      </c>
      <c r="B1992">
        <v>244</v>
      </c>
      <c r="C1992">
        <v>1</v>
      </c>
      <c r="D1992">
        <v>1</v>
      </c>
      <c r="E1992" t="s">
        <v>244</v>
      </c>
    </row>
    <row r="1993" spans="1:5" x14ac:dyDescent="0.25">
      <c r="A1993">
        <v>117</v>
      </c>
      <c r="B1993">
        <v>276</v>
      </c>
      <c r="C1993">
        <v>3</v>
      </c>
      <c r="D1993">
        <v>3</v>
      </c>
      <c r="E1993" t="s">
        <v>244</v>
      </c>
    </row>
    <row r="1994" spans="1:5" x14ac:dyDescent="0.25">
      <c r="A1994">
        <v>117</v>
      </c>
      <c r="B1994">
        <v>285</v>
      </c>
      <c r="C1994">
        <v>1</v>
      </c>
      <c r="D1994">
        <v>1</v>
      </c>
      <c r="E1994" t="s">
        <v>244</v>
      </c>
    </row>
    <row r="1995" spans="1:5" x14ac:dyDescent="0.25">
      <c r="A1995">
        <v>117</v>
      </c>
      <c r="B1995">
        <v>301</v>
      </c>
      <c r="C1995">
        <v>3</v>
      </c>
      <c r="D1995">
        <v>3</v>
      </c>
      <c r="E1995" t="s">
        <v>244</v>
      </c>
    </row>
    <row r="1996" spans="1:5" x14ac:dyDescent="0.25">
      <c r="A1996">
        <v>117</v>
      </c>
      <c r="B1996">
        <v>325</v>
      </c>
      <c r="C1996">
        <v>2</v>
      </c>
      <c r="D1996">
        <v>2</v>
      </c>
      <c r="E1996" t="s">
        <v>244</v>
      </c>
    </row>
    <row r="1997" spans="1:5" x14ac:dyDescent="0.25">
      <c r="A1997">
        <v>117</v>
      </c>
      <c r="B1997">
        <v>346</v>
      </c>
      <c r="C1997">
        <v>2</v>
      </c>
      <c r="D1997">
        <v>2</v>
      </c>
      <c r="E1997" t="s">
        <v>244</v>
      </c>
    </row>
    <row r="1998" spans="1:5" x14ac:dyDescent="0.25">
      <c r="A1998">
        <v>117</v>
      </c>
      <c r="B1998">
        <v>347</v>
      </c>
      <c r="C1998">
        <v>3</v>
      </c>
      <c r="D1998">
        <v>3</v>
      </c>
      <c r="E1998" t="s">
        <v>244</v>
      </c>
    </row>
    <row r="1999" spans="1:5" x14ac:dyDescent="0.25">
      <c r="A1999">
        <v>117</v>
      </c>
      <c r="B1999">
        <v>376</v>
      </c>
      <c r="C1999">
        <v>5</v>
      </c>
      <c r="D1999">
        <v>5</v>
      </c>
      <c r="E1999" t="s">
        <v>244</v>
      </c>
    </row>
    <row r="2000" spans="1:5" x14ac:dyDescent="0.25">
      <c r="A2000">
        <v>117</v>
      </c>
      <c r="B2000">
        <v>385</v>
      </c>
      <c r="C2000">
        <v>7</v>
      </c>
      <c r="D2000">
        <v>7</v>
      </c>
      <c r="E2000" t="s">
        <v>244</v>
      </c>
    </row>
    <row r="2001" spans="1:6" x14ac:dyDescent="0.25">
      <c r="A2001">
        <v>117</v>
      </c>
      <c r="B2001">
        <v>399</v>
      </c>
      <c r="C2001">
        <v>2</v>
      </c>
      <c r="D2001">
        <v>2</v>
      </c>
      <c r="E2001" t="s">
        <v>244</v>
      </c>
    </row>
    <row r="2002" spans="1:6" x14ac:dyDescent="0.25">
      <c r="A2002">
        <v>117</v>
      </c>
      <c r="B2002">
        <v>421</v>
      </c>
      <c r="C2002">
        <v>5</v>
      </c>
      <c r="D2002">
        <v>5</v>
      </c>
      <c r="E2002" t="s">
        <v>244</v>
      </c>
    </row>
    <row r="2003" spans="1:6" x14ac:dyDescent="0.25">
      <c r="A2003">
        <v>117</v>
      </c>
      <c r="B2003">
        <v>428</v>
      </c>
      <c r="C2003">
        <v>5</v>
      </c>
      <c r="D2003">
        <v>5</v>
      </c>
      <c r="E2003" t="s">
        <v>244</v>
      </c>
    </row>
    <row r="2004" spans="1:6" x14ac:dyDescent="0.25">
      <c r="A2004">
        <v>117</v>
      </c>
      <c r="B2004">
        <v>449</v>
      </c>
      <c r="C2004">
        <v>2</v>
      </c>
      <c r="D2004">
        <v>2</v>
      </c>
      <c r="E2004" t="s">
        <v>244</v>
      </c>
      <c r="F2004">
        <f>SUM(D1950:D2004)</f>
        <v>201</v>
      </c>
    </row>
    <row r="2005" spans="1:6" x14ac:dyDescent="0.25">
      <c r="A2005">
        <v>115</v>
      </c>
      <c r="B2005">
        <v>22</v>
      </c>
      <c r="C2005">
        <v>1</v>
      </c>
      <c r="D2005">
        <v>1</v>
      </c>
      <c r="E2005" t="s">
        <v>209</v>
      </c>
    </row>
    <row r="2006" spans="1:6" x14ac:dyDescent="0.25">
      <c r="A2006">
        <v>115</v>
      </c>
      <c r="B2006">
        <v>23</v>
      </c>
      <c r="C2006">
        <v>3</v>
      </c>
      <c r="D2006">
        <v>3</v>
      </c>
      <c r="E2006" t="s">
        <v>209</v>
      </c>
    </row>
    <row r="2007" spans="1:6" x14ac:dyDescent="0.25">
      <c r="A2007">
        <v>115</v>
      </c>
      <c r="B2007">
        <v>24</v>
      </c>
      <c r="C2007">
        <v>2</v>
      </c>
      <c r="D2007">
        <v>2</v>
      </c>
      <c r="E2007" t="s">
        <v>209</v>
      </c>
    </row>
    <row r="2008" spans="1:6" x14ac:dyDescent="0.25">
      <c r="A2008">
        <v>115</v>
      </c>
      <c r="B2008">
        <v>25</v>
      </c>
      <c r="C2008">
        <v>6</v>
      </c>
      <c r="D2008">
        <v>6</v>
      </c>
      <c r="E2008" t="s">
        <v>209</v>
      </c>
    </row>
    <row r="2009" spans="1:6" x14ac:dyDescent="0.25">
      <c r="A2009">
        <v>115</v>
      </c>
      <c r="B2009">
        <v>26</v>
      </c>
      <c r="C2009">
        <v>4</v>
      </c>
      <c r="D2009">
        <v>4</v>
      </c>
      <c r="E2009" t="s">
        <v>209</v>
      </c>
    </row>
    <row r="2010" spans="1:6" x14ac:dyDescent="0.25">
      <c r="A2010">
        <v>115</v>
      </c>
      <c r="B2010">
        <v>27</v>
      </c>
      <c r="C2010">
        <v>2</v>
      </c>
      <c r="D2010">
        <v>2</v>
      </c>
      <c r="E2010" t="s">
        <v>209</v>
      </c>
    </row>
    <row r="2011" spans="1:6" x14ac:dyDescent="0.25">
      <c r="A2011">
        <v>115</v>
      </c>
      <c r="B2011">
        <v>117</v>
      </c>
      <c r="C2011">
        <v>2</v>
      </c>
      <c r="D2011">
        <v>2</v>
      </c>
      <c r="E2011" t="s">
        <v>209</v>
      </c>
    </row>
    <row r="2012" spans="1:6" x14ac:dyDescent="0.25">
      <c r="A2012">
        <v>115</v>
      </c>
      <c r="B2012">
        <v>118</v>
      </c>
      <c r="C2012">
        <v>2</v>
      </c>
      <c r="D2012">
        <v>2</v>
      </c>
      <c r="E2012" t="s">
        <v>209</v>
      </c>
    </row>
    <row r="2013" spans="1:6" x14ac:dyDescent="0.25">
      <c r="A2013">
        <v>115</v>
      </c>
      <c r="B2013">
        <v>119</v>
      </c>
      <c r="C2013">
        <v>1</v>
      </c>
      <c r="D2013">
        <v>1</v>
      </c>
      <c r="E2013" t="s">
        <v>209</v>
      </c>
    </row>
    <row r="2014" spans="1:6" x14ac:dyDescent="0.25">
      <c r="A2014">
        <v>115</v>
      </c>
      <c r="B2014">
        <v>121</v>
      </c>
      <c r="C2014">
        <v>2</v>
      </c>
      <c r="D2014">
        <v>2</v>
      </c>
      <c r="E2014" t="s">
        <v>209</v>
      </c>
    </row>
    <row r="2015" spans="1:6" x14ac:dyDescent="0.25">
      <c r="A2015">
        <v>115</v>
      </c>
      <c r="B2015">
        <v>129</v>
      </c>
      <c r="C2015">
        <v>3</v>
      </c>
      <c r="D2015">
        <v>3</v>
      </c>
      <c r="E2015" t="s">
        <v>209</v>
      </c>
    </row>
    <row r="2016" spans="1:6" x14ac:dyDescent="0.25">
      <c r="A2016">
        <v>115</v>
      </c>
      <c r="B2016">
        <v>130</v>
      </c>
      <c r="C2016">
        <v>5</v>
      </c>
      <c r="D2016">
        <v>5</v>
      </c>
      <c r="E2016" t="s">
        <v>209</v>
      </c>
    </row>
    <row r="2017" spans="1:6" x14ac:dyDescent="0.25">
      <c r="A2017">
        <v>115</v>
      </c>
      <c r="B2017">
        <v>131</v>
      </c>
      <c r="C2017">
        <v>5</v>
      </c>
      <c r="D2017">
        <v>5</v>
      </c>
      <c r="E2017" t="s">
        <v>209</v>
      </c>
    </row>
    <row r="2018" spans="1:6" x14ac:dyDescent="0.25">
      <c r="A2018">
        <v>115</v>
      </c>
      <c r="B2018">
        <v>132</v>
      </c>
      <c r="C2018">
        <v>2</v>
      </c>
      <c r="D2018">
        <v>2</v>
      </c>
      <c r="E2018" t="s">
        <v>209</v>
      </c>
    </row>
    <row r="2019" spans="1:6" x14ac:dyDescent="0.25">
      <c r="A2019">
        <v>115</v>
      </c>
      <c r="B2019">
        <v>133</v>
      </c>
      <c r="C2019">
        <v>2</v>
      </c>
      <c r="D2019">
        <v>2</v>
      </c>
      <c r="E2019" t="s">
        <v>209</v>
      </c>
    </row>
    <row r="2020" spans="1:6" x14ac:dyDescent="0.25">
      <c r="A2020">
        <v>115</v>
      </c>
      <c r="B2020">
        <v>134</v>
      </c>
      <c r="C2020">
        <v>3</v>
      </c>
      <c r="D2020">
        <v>3</v>
      </c>
      <c r="E2020" t="s">
        <v>209</v>
      </c>
    </row>
    <row r="2021" spans="1:6" x14ac:dyDescent="0.25">
      <c r="A2021">
        <v>115</v>
      </c>
      <c r="B2021">
        <v>270</v>
      </c>
      <c r="C2021">
        <v>1</v>
      </c>
      <c r="D2021">
        <v>1</v>
      </c>
      <c r="E2021" t="s">
        <v>209</v>
      </c>
    </row>
    <row r="2022" spans="1:6" x14ac:dyDescent="0.25">
      <c r="A2022">
        <v>115</v>
      </c>
      <c r="B2022">
        <v>297</v>
      </c>
      <c r="C2022">
        <v>3</v>
      </c>
      <c r="D2022">
        <v>3</v>
      </c>
      <c r="E2022" t="s">
        <v>209</v>
      </c>
    </row>
    <row r="2023" spans="1:6" x14ac:dyDescent="0.25">
      <c r="A2023">
        <v>115</v>
      </c>
      <c r="B2023">
        <v>307</v>
      </c>
      <c r="C2023">
        <v>2</v>
      </c>
      <c r="D2023">
        <v>2</v>
      </c>
      <c r="E2023" t="s">
        <v>209</v>
      </c>
    </row>
    <row r="2024" spans="1:6" x14ac:dyDescent="0.25">
      <c r="A2024">
        <v>115</v>
      </c>
      <c r="B2024">
        <v>314</v>
      </c>
      <c r="C2024">
        <v>3</v>
      </c>
      <c r="D2024">
        <v>3</v>
      </c>
      <c r="E2024" t="s">
        <v>209</v>
      </c>
      <c r="F2024">
        <f>SUM(D2005:D2024)</f>
        <v>54</v>
      </c>
    </row>
    <row r="2025" spans="1:6" x14ac:dyDescent="0.25">
      <c r="A2025">
        <v>1</v>
      </c>
      <c r="B2025">
        <v>364</v>
      </c>
      <c r="C2025">
        <v>1</v>
      </c>
      <c r="D2025">
        <v>1</v>
      </c>
      <c r="E2025" t="s">
        <v>149</v>
      </c>
    </row>
    <row r="2026" spans="1:6" x14ac:dyDescent="0.25">
      <c r="A2026">
        <v>1</v>
      </c>
      <c r="B2026">
        <v>365</v>
      </c>
      <c r="C2026">
        <v>2</v>
      </c>
      <c r="D2026">
        <v>2</v>
      </c>
      <c r="E2026" t="s">
        <v>149</v>
      </c>
    </row>
    <row r="2027" spans="1:6" x14ac:dyDescent="0.25">
      <c r="A2027">
        <v>1</v>
      </c>
      <c r="B2027">
        <v>570</v>
      </c>
      <c r="C2027">
        <v>1</v>
      </c>
      <c r="D2027">
        <v>1</v>
      </c>
      <c r="E2027" t="s">
        <v>149</v>
      </c>
    </row>
    <row r="2028" spans="1:6" x14ac:dyDescent="0.25">
      <c r="A2028">
        <v>3</v>
      </c>
      <c r="B2028">
        <v>392</v>
      </c>
      <c r="C2028">
        <v>1</v>
      </c>
      <c r="D2028">
        <v>1</v>
      </c>
      <c r="E2028" t="s">
        <v>149</v>
      </c>
    </row>
    <row r="2029" spans="1:6" x14ac:dyDescent="0.25">
      <c r="A2029">
        <v>3</v>
      </c>
      <c r="B2029">
        <v>454</v>
      </c>
      <c r="C2029">
        <v>1</v>
      </c>
      <c r="D2029">
        <v>1</v>
      </c>
      <c r="E2029" t="s">
        <v>149</v>
      </c>
    </row>
    <row r="2030" spans="1:6" x14ac:dyDescent="0.25">
      <c r="A2030">
        <v>3</v>
      </c>
      <c r="B2030">
        <v>499</v>
      </c>
      <c r="C2030">
        <v>3</v>
      </c>
      <c r="D2030">
        <v>3</v>
      </c>
      <c r="E2030" t="s">
        <v>149</v>
      </c>
    </row>
    <row r="2031" spans="1:6" x14ac:dyDescent="0.25">
      <c r="A2031">
        <v>3</v>
      </c>
      <c r="B2031">
        <v>500</v>
      </c>
      <c r="C2031">
        <v>1</v>
      </c>
      <c r="D2031">
        <v>1</v>
      </c>
      <c r="E2031" t="s">
        <v>149</v>
      </c>
    </row>
    <row r="2032" spans="1:6" x14ac:dyDescent="0.25">
      <c r="A2032">
        <v>3</v>
      </c>
      <c r="B2032">
        <v>501</v>
      </c>
      <c r="C2032">
        <v>1</v>
      </c>
      <c r="D2032">
        <v>1</v>
      </c>
      <c r="E2032" t="s">
        <v>149</v>
      </c>
    </row>
    <row r="2033" spans="1:6" x14ac:dyDescent="0.25">
      <c r="A2033">
        <v>3</v>
      </c>
      <c r="B2033">
        <v>503</v>
      </c>
      <c r="C2033">
        <v>2</v>
      </c>
      <c r="D2033">
        <v>2</v>
      </c>
      <c r="E2033" t="s">
        <v>149</v>
      </c>
    </row>
    <row r="2034" spans="1:6" x14ac:dyDescent="0.25">
      <c r="A2034">
        <v>3</v>
      </c>
      <c r="B2034">
        <v>504</v>
      </c>
      <c r="C2034">
        <v>2</v>
      </c>
      <c r="D2034">
        <v>2</v>
      </c>
      <c r="E2034" t="s">
        <v>149</v>
      </c>
    </row>
    <row r="2035" spans="1:6" x14ac:dyDescent="0.25">
      <c r="A2035">
        <v>3</v>
      </c>
      <c r="B2035">
        <v>516</v>
      </c>
      <c r="C2035">
        <v>1</v>
      </c>
      <c r="D2035">
        <v>1</v>
      </c>
      <c r="E2035" t="s">
        <v>149</v>
      </c>
    </row>
    <row r="2036" spans="1:6" x14ac:dyDescent="0.25">
      <c r="A2036">
        <v>3</v>
      </c>
      <c r="B2036">
        <v>565</v>
      </c>
      <c r="C2036">
        <v>1</v>
      </c>
      <c r="D2036">
        <v>1</v>
      </c>
      <c r="E2036" t="s">
        <v>149</v>
      </c>
    </row>
    <row r="2037" spans="1:6" x14ac:dyDescent="0.25">
      <c r="A2037">
        <v>3</v>
      </c>
      <c r="B2037">
        <v>566</v>
      </c>
      <c r="C2037">
        <v>1</v>
      </c>
      <c r="D2037">
        <v>1</v>
      </c>
      <c r="E2037" t="s">
        <v>149</v>
      </c>
    </row>
    <row r="2038" spans="1:6" x14ac:dyDescent="0.25">
      <c r="A2038">
        <v>3</v>
      </c>
      <c r="B2038">
        <v>575</v>
      </c>
      <c r="C2038">
        <v>1</v>
      </c>
      <c r="D2038">
        <v>1</v>
      </c>
      <c r="E2038" t="s">
        <v>149</v>
      </c>
    </row>
    <row r="2039" spans="1:6" x14ac:dyDescent="0.25">
      <c r="A2039">
        <v>3</v>
      </c>
      <c r="B2039">
        <v>579</v>
      </c>
      <c r="C2039">
        <v>1</v>
      </c>
      <c r="D2039">
        <v>1</v>
      </c>
      <c r="E2039" t="s">
        <v>149</v>
      </c>
    </row>
    <row r="2040" spans="1:6" x14ac:dyDescent="0.25">
      <c r="A2040">
        <v>3</v>
      </c>
      <c r="B2040">
        <v>582</v>
      </c>
      <c r="C2040">
        <v>2</v>
      </c>
      <c r="D2040">
        <v>2</v>
      </c>
      <c r="E2040" t="s">
        <v>149</v>
      </c>
    </row>
    <row r="2041" spans="1:6" x14ac:dyDescent="0.25">
      <c r="A2041">
        <v>3</v>
      </c>
      <c r="B2041">
        <v>584</v>
      </c>
      <c r="C2041">
        <v>1</v>
      </c>
      <c r="D2041">
        <v>1</v>
      </c>
      <c r="E2041" t="s">
        <v>149</v>
      </c>
    </row>
    <row r="2042" spans="1:6" x14ac:dyDescent="0.25">
      <c r="A2042">
        <v>3</v>
      </c>
      <c r="B2042">
        <v>619</v>
      </c>
      <c r="C2042">
        <v>1</v>
      </c>
      <c r="D2042">
        <v>1</v>
      </c>
      <c r="E2042" t="s">
        <v>149</v>
      </c>
    </row>
    <row r="2043" spans="1:6" x14ac:dyDescent="0.25">
      <c r="A2043">
        <v>3</v>
      </c>
      <c r="B2043">
        <v>638</v>
      </c>
      <c r="C2043">
        <v>1</v>
      </c>
      <c r="D2043">
        <v>1</v>
      </c>
      <c r="E2043" t="s">
        <v>149</v>
      </c>
    </row>
    <row r="2044" spans="1:6" x14ac:dyDescent="0.25">
      <c r="A2044">
        <v>3</v>
      </c>
      <c r="B2044">
        <v>642</v>
      </c>
      <c r="C2044">
        <v>1</v>
      </c>
      <c r="D2044">
        <v>1</v>
      </c>
      <c r="E2044" t="s">
        <v>149</v>
      </c>
    </row>
    <row r="2045" spans="1:6" x14ac:dyDescent="0.25">
      <c r="A2045">
        <v>3</v>
      </c>
      <c r="B2045">
        <v>643</v>
      </c>
      <c r="C2045">
        <v>1</v>
      </c>
      <c r="D2045">
        <v>1</v>
      </c>
      <c r="E2045" t="s">
        <v>149</v>
      </c>
    </row>
    <row r="2046" spans="1:6" x14ac:dyDescent="0.25">
      <c r="A2046">
        <v>3</v>
      </c>
      <c r="B2046">
        <v>645</v>
      </c>
      <c r="C2046">
        <v>2</v>
      </c>
      <c r="D2046">
        <v>2</v>
      </c>
      <c r="E2046" t="s">
        <v>149</v>
      </c>
    </row>
    <row r="2047" spans="1:6" x14ac:dyDescent="0.25">
      <c r="A2047">
        <v>3</v>
      </c>
      <c r="B2047">
        <v>646</v>
      </c>
      <c r="C2047">
        <v>1</v>
      </c>
      <c r="D2047">
        <v>1</v>
      </c>
      <c r="E2047" t="s">
        <v>149</v>
      </c>
      <c r="F2047">
        <f>SUM(D2025:D2047)</f>
        <v>30</v>
      </c>
    </row>
    <row r="2048" spans="1:6" x14ac:dyDescent="0.25">
      <c r="A2048">
        <v>2</v>
      </c>
      <c r="B2048">
        <v>1</v>
      </c>
      <c r="C2048">
        <v>2</v>
      </c>
      <c r="D2048">
        <v>2</v>
      </c>
      <c r="E2048" t="s">
        <v>155</v>
      </c>
    </row>
    <row r="2049" spans="1:5" x14ac:dyDescent="0.25">
      <c r="A2049">
        <v>2</v>
      </c>
      <c r="B2049">
        <v>70</v>
      </c>
      <c r="C2049">
        <v>1</v>
      </c>
      <c r="D2049">
        <v>1</v>
      </c>
      <c r="E2049" t="s">
        <v>155</v>
      </c>
    </row>
    <row r="2050" spans="1:5" x14ac:dyDescent="0.25">
      <c r="A2050">
        <v>2</v>
      </c>
      <c r="B2050">
        <v>72</v>
      </c>
      <c r="C2050">
        <v>2</v>
      </c>
      <c r="D2050">
        <v>2</v>
      </c>
      <c r="E2050" t="s">
        <v>155</v>
      </c>
    </row>
    <row r="2051" spans="1:5" x14ac:dyDescent="0.25">
      <c r="A2051">
        <v>2</v>
      </c>
      <c r="B2051">
        <v>73</v>
      </c>
      <c r="C2051">
        <v>1</v>
      </c>
      <c r="D2051">
        <v>1</v>
      </c>
      <c r="E2051" t="s">
        <v>155</v>
      </c>
    </row>
    <row r="2052" spans="1:5" x14ac:dyDescent="0.25">
      <c r="A2052">
        <v>2</v>
      </c>
      <c r="B2052">
        <v>76</v>
      </c>
      <c r="C2052">
        <v>1</v>
      </c>
      <c r="D2052">
        <v>1</v>
      </c>
      <c r="E2052" t="s">
        <v>155</v>
      </c>
    </row>
    <row r="2053" spans="1:5" x14ac:dyDescent="0.25">
      <c r="A2053">
        <v>2</v>
      </c>
      <c r="B2053">
        <v>86</v>
      </c>
      <c r="C2053">
        <v>1</v>
      </c>
      <c r="D2053">
        <v>1</v>
      </c>
      <c r="E2053" t="s">
        <v>155</v>
      </c>
    </row>
    <row r="2054" spans="1:5" x14ac:dyDescent="0.25">
      <c r="A2054">
        <v>2</v>
      </c>
      <c r="B2054">
        <v>87</v>
      </c>
      <c r="C2054">
        <v>1</v>
      </c>
      <c r="D2054">
        <v>1</v>
      </c>
      <c r="E2054" t="s">
        <v>155</v>
      </c>
    </row>
    <row r="2055" spans="1:5" x14ac:dyDescent="0.25">
      <c r="A2055">
        <v>2</v>
      </c>
      <c r="B2055">
        <v>88</v>
      </c>
      <c r="C2055">
        <v>1</v>
      </c>
      <c r="D2055">
        <v>1</v>
      </c>
      <c r="E2055" t="s">
        <v>155</v>
      </c>
    </row>
    <row r="2056" spans="1:5" x14ac:dyDescent="0.25">
      <c r="A2056">
        <v>2</v>
      </c>
      <c r="B2056">
        <v>89</v>
      </c>
      <c r="C2056">
        <v>1</v>
      </c>
      <c r="D2056">
        <v>1</v>
      </c>
      <c r="E2056" t="s">
        <v>155</v>
      </c>
    </row>
    <row r="2057" spans="1:5" x14ac:dyDescent="0.25">
      <c r="A2057">
        <v>2</v>
      </c>
      <c r="B2057">
        <v>91</v>
      </c>
      <c r="C2057">
        <v>1</v>
      </c>
      <c r="D2057">
        <v>1</v>
      </c>
      <c r="E2057" t="s">
        <v>155</v>
      </c>
    </row>
    <row r="2058" spans="1:5" x14ac:dyDescent="0.25">
      <c r="A2058">
        <v>2</v>
      </c>
      <c r="B2058">
        <v>92</v>
      </c>
      <c r="C2058">
        <v>2</v>
      </c>
      <c r="D2058">
        <v>2</v>
      </c>
      <c r="E2058" t="s">
        <v>155</v>
      </c>
    </row>
    <row r="2059" spans="1:5" x14ac:dyDescent="0.25">
      <c r="A2059">
        <v>2</v>
      </c>
      <c r="B2059">
        <v>100</v>
      </c>
      <c r="C2059">
        <v>3</v>
      </c>
      <c r="D2059">
        <v>3</v>
      </c>
      <c r="E2059" t="s">
        <v>155</v>
      </c>
    </row>
    <row r="2060" spans="1:5" x14ac:dyDescent="0.25">
      <c r="A2060">
        <v>2</v>
      </c>
      <c r="B2060">
        <v>110</v>
      </c>
      <c r="C2060">
        <v>1</v>
      </c>
      <c r="D2060">
        <v>1</v>
      </c>
      <c r="E2060" t="s">
        <v>155</v>
      </c>
    </row>
    <row r="2061" spans="1:5" x14ac:dyDescent="0.25">
      <c r="A2061">
        <v>2</v>
      </c>
      <c r="B2061">
        <v>121</v>
      </c>
      <c r="C2061">
        <v>2</v>
      </c>
      <c r="D2061">
        <v>2</v>
      </c>
      <c r="E2061" t="s">
        <v>155</v>
      </c>
    </row>
    <row r="2062" spans="1:5" x14ac:dyDescent="0.25">
      <c r="A2062">
        <v>2</v>
      </c>
      <c r="B2062">
        <v>122</v>
      </c>
      <c r="C2062">
        <v>1</v>
      </c>
      <c r="D2062">
        <v>1</v>
      </c>
      <c r="E2062" t="s">
        <v>155</v>
      </c>
    </row>
    <row r="2063" spans="1:5" x14ac:dyDescent="0.25">
      <c r="A2063">
        <v>2</v>
      </c>
      <c r="B2063">
        <v>126</v>
      </c>
      <c r="C2063">
        <v>3</v>
      </c>
      <c r="D2063">
        <v>3</v>
      </c>
      <c r="E2063" t="s">
        <v>155</v>
      </c>
    </row>
    <row r="2064" spans="1:5" x14ac:dyDescent="0.25">
      <c r="A2064">
        <v>2</v>
      </c>
      <c r="B2064">
        <v>127</v>
      </c>
      <c r="C2064">
        <v>3</v>
      </c>
      <c r="D2064">
        <v>3</v>
      </c>
      <c r="E2064" t="s">
        <v>155</v>
      </c>
    </row>
    <row r="2065" spans="1:5" x14ac:dyDescent="0.25">
      <c r="A2065">
        <v>2</v>
      </c>
      <c r="B2065">
        <v>129</v>
      </c>
      <c r="C2065">
        <v>1</v>
      </c>
      <c r="D2065">
        <v>1</v>
      </c>
      <c r="E2065" t="s">
        <v>155</v>
      </c>
    </row>
    <row r="2066" spans="1:5" x14ac:dyDescent="0.25">
      <c r="A2066">
        <v>2</v>
      </c>
      <c r="B2066">
        <v>132</v>
      </c>
      <c r="C2066">
        <v>1</v>
      </c>
      <c r="D2066">
        <v>1</v>
      </c>
      <c r="E2066" t="s">
        <v>155</v>
      </c>
    </row>
    <row r="2067" spans="1:5" x14ac:dyDescent="0.25">
      <c r="A2067">
        <v>2</v>
      </c>
      <c r="B2067">
        <v>133</v>
      </c>
      <c r="C2067">
        <v>1</v>
      </c>
      <c r="D2067">
        <v>1</v>
      </c>
      <c r="E2067" t="s">
        <v>155</v>
      </c>
    </row>
    <row r="2068" spans="1:5" x14ac:dyDescent="0.25">
      <c r="A2068">
        <v>2</v>
      </c>
      <c r="B2068">
        <v>134</v>
      </c>
      <c r="C2068">
        <v>2</v>
      </c>
      <c r="D2068">
        <v>2</v>
      </c>
      <c r="E2068" t="s">
        <v>155</v>
      </c>
    </row>
    <row r="2069" spans="1:5" x14ac:dyDescent="0.25">
      <c r="A2069">
        <v>2</v>
      </c>
      <c r="B2069">
        <v>136</v>
      </c>
      <c r="C2069">
        <v>1</v>
      </c>
      <c r="D2069">
        <v>1</v>
      </c>
      <c r="E2069" t="s">
        <v>155</v>
      </c>
    </row>
    <row r="2070" spans="1:5" x14ac:dyDescent="0.25">
      <c r="A2070">
        <v>2</v>
      </c>
      <c r="B2070">
        <v>137</v>
      </c>
      <c r="C2070">
        <v>3</v>
      </c>
      <c r="D2070">
        <v>3</v>
      </c>
      <c r="E2070" t="s">
        <v>155</v>
      </c>
    </row>
    <row r="2071" spans="1:5" x14ac:dyDescent="0.25">
      <c r="A2071">
        <v>2</v>
      </c>
      <c r="B2071">
        <v>138</v>
      </c>
      <c r="C2071">
        <v>1</v>
      </c>
      <c r="D2071">
        <v>1</v>
      </c>
      <c r="E2071" t="s">
        <v>155</v>
      </c>
    </row>
    <row r="2072" spans="1:5" x14ac:dyDescent="0.25">
      <c r="A2072">
        <v>2</v>
      </c>
      <c r="B2072">
        <v>139</v>
      </c>
      <c r="C2072">
        <v>1</v>
      </c>
      <c r="D2072">
        <v>1</v>
      </c>
      <c r="E2072" t="s">
        <v>155</v>
      </c>
    </row>
    <row r="2073" spans="1:5" x14ac:dyDescent="0.25">
      <c r="A2073">
        <v>2</v>
      </c>
      <c r="B2073">
        <v>140</v>
      </c>
      <c r="C2073">
        <v>2</v>
      </c>
      <c r="D2073">
        <v>2</v>
      </c>
      <c r="E2073" t="s">
        <v>155</v>
      </c>
    </row>
    <row r="2074" spans="1:5" x14ac:dyDescent="0.25">
      <c r="A2074">
        <v>2</v>
      </c>
      <c r="B2074">
        <v>141</v>
      </c>
      <c r="C2074">
        <v>3</v>
      </c>
      <c r="D2074">
        <v>3</v>
      </c>
      <c r="E2074" t="s">
        <v>155</v>
      </c>
    </row>
    <row r="2075" spans="1:5" x14ac:dyDescent="0.25">
      <c r="A2075">
        <v>2</v>
      </c>
      <c r="B2075">
        <v>146</v>
      </c>
      <c r="C2075">
        <v>2</v>
      </c>
      <c r="D2075">
        <v>2</v>
      </c>
      <c r="E2075" t="s">
        <v>155</v>
      </c>
    </row>
    <row r="2076" spans="1:5" x14ac:dyDescent="0.25">
      <c r="A2076">
        <v>2</v>
      </c>
      <c r="B2076">
        <v>147</v>
      </c>
      <c r="C2076">
        <v>1</v>
      </c>
      <c r="D2076">
        <v>1</v>
      </c>
      <c r="E2076" t="s">
        <v>155</v>
      </c>
    </row>
    <row r="2077" spans="1:5" x14ac:dyDescent="0.25">
      <c r="A2077">
        <v>2</v>
      </c>
      <c r="B2077">
        <v>150</v>
      </c>
      <c r="C2077">
        <v>1</v>
      </c>
      <c r="D2077">
        <v>1</v>
      </c>
      <c r="E2077" t="s">
        <v>155</v>
      </c>
    </row>
    <row r="2078" spans="1:5" x14ac:dyDescent="0.25">
      <c r="A2078">
        <v>2</v>
      </c>
      <c r="B2078">
        <v>151</v>
      </c>
      <c r="C2078">
        <v>1</v>
      </c>
      <c r="D2078">
        <v>1</v>
      </c>
      <c r="E2078" t="s">
        <v>155</v>
      </c>
    </row>
    <row r="2079" spans="1:5" x14ac:dyDescent="0.25">
      <c r="A2079">
        <v>2</v>
      </c>
      <c r="B2079">
        <v>152</v>
      </c>
      <c r="C2079">
        <v>1</v>
      </c>
      <c r="D2079">
        <v>1</v>
      </c>
      <c r="E2079" t="s">
        <v>155</v>
      </c>
    </row>
    <row r="2080" spans="1:5" x14ac:dyDescent="0.25">
      <c r="A2080">
        <v>2</v>
      </c>
      <c r="B2080">
        <v>153</v>
      </c>
      <c r="C2080">
        <v>1</v>
      </c>
      <c r="D2080">
        <v>1</v>
      </c>
      <c r="E2080" t="s">
        <v>155</v>
      </c>
    </row>
    <row r="2081" spans="1:5" x14ac:dyDescent="0.25">
      <c r="A2081">
        <v>2</v>
      </c>
      <c r="B2081">
        <v>154</v>
      </c>
      <c r="C2081">
        <v>3</v>
      </c>
      <c r="D2081">
        <v>3</v>
      </c>
      <c r="E2081" t="s">
        <v>155</v>
      </c>
    </row>
    <row r="2082" spans="1:5" x14ac:dyDescent="0.25">
      <c r="A2082">
        <v>2</v>
      </c>
      <c r="B2082">
        <v>161</v>
      </c>
      <c r="C2082">
        <v>1</v>
      </c>
      <c r="D2082">
        <v>1</v>
      </c>
      <c r="E2082" t="s">
        <v>155</v>
      </c>
    </row>
    <row r="2083" spans="1:5" x14ac:dyDescent="0.25">
      <c r="A2083">
        <v>2</v>
      </c>
      <c r="B2083">
        <v>163</v>
      </c>
      <c r="C2083">
        <v>3</v>
      </c>
      <c r="D2083">
        <v>3</v>
      </c>
      <c r="E2083" t="s">
        <v>155</v>
      </c>
    </row>
    <row r="2084" spans="1:5" x14ac:dyDescent="0.25">
      <c r="A2084">
        <v>2</v>
      </c>
      <c r="B2084">
        <v>164</v>
      </c>
      <c r="C2084">
        <v>1</v>
      </c>
      <c r="D2084">
        <v>1</v>
      </c>
      <c r="E2084" t="s">
        <v>155</v>
      </c>
    </row>
    <row r="2085" spans="1:5" x14ac:dyDescent="0.25">
      <c r="A2085">
        <v>2</v>
      </c>
      <c r="B2085">
        <v>166</v>
      </c>
      <c r="C2085">
        <v>1</v>
      </c>
      <c r="D2085">
        <v>1</v>
      </c>
      <c r="E2085" t="s">
        <v>155</v>
      </c>
    </row>
    <row r="2086" spans="1:5" x14ac:dyDescent="0.25">
      <c r="A2086">
        <v>2</v>
      </c>
      <c r="B2086">
        <v>167</v>
      </c>
      <c r="C2086">
        <v>3</v>
      </c>
      <c r="D2086">
        <v>3</v>
      </c>
      <c r="E2086" t="s">
        <v>155</v>
      </c>
    </row>
    <row r="2087" spans="1:5" x14ac:dyDescent="0.25">
      <c r="A2087">
        <v>2</v>
      </c>
      <c r="B2087">
        <v>168</v>
      </c>
      <c r="C2087">
        <v>1</v>
      </c>
      <c r="D2087">
        <v>1</v>
      </c>
      <c r="E2087" t="s">
        <v>155</v>
      </c>
    </row>
    <row r="2088" spans="1:5" x14ac:dyDescent="0.25">
      <c r="A2088">
        <v>2</v>
      </c>
      <c r="B2088">
        <v>169</v>
      </c>
      <c r="C2088">
        <v>1</v>
      </c>
      <c r="D2088">
        <v>1</v>
      </c>
      <c r="E2088" t="s">
        <v>155</v>
      </c>
    </row>
    <row r="2089" spans="1:5" x14ac:dyDescent="0.25">
      <c r="A2089">
        <v>2</v>
      </c>
      <c r="B2089">
        <v>170</v>
      </c>
      <c r="C2089">
        <v>1</v>
      </c>
      <c r="D2089">
        <v>1</v>
      </c>
      <c r="E2089" t="s">
        <v>155</v>
      </c>
    </row>
    <row r="2090" spans="1:5" x14ac:dyDescent="0.25">
      <c r="A2090">
        <v>2</v>
      </c>
      <c r="B2090">
        <v>174</v>
      </c>
      <c r="C2090">
        <v>2</v>
      </c>
      <c r="D2090">
        <v>2</v>
      </c>
      <c r="E2090" t="s">
        <v>155</v>
      </c>
    </row>
    <row r="2091" spans="1:5" x14ac:dyDescent="0.25">
      <c r="A2091">
        <v>2</v>
      </c>
      <c r="B2091">
        <v>176</v>
      </c>
      <c r="C2091">
        <v>3</v>
      </c>
      <c r="D2091">
        <v>3</v>
      </c>
      <c r="E2091" t="s">
        <v>155</v>
      </c>
    </row>
    <row r="2092" spans="1:5" x14ac:dyDescent="0.25">
      <c r="A2092">
        <v>2</v>
      </c>
      <c r="B2092">
        <v>179</v>
      </c>
      <c r="C2092">
        <v>1</v>
      </c>
      <c r="D2092">
        <v>1</v>
      </c>
      <c r="E2092" t="s">
        <v>155</v>
      </c>
    </row>
    <row r="2093" spans="1:5" x14ac:dyDescent="0.25">
      <c r="A2093">
        <v>2</v>
      </c>
      <c r="B2093">
        <v>378</v>
      </c>
      <c r="C2093">
        <v>1</v>
      </c>
      <c r="D2093">
        <v>1</v>
      </c>
      <c r="E2093" t="s">
        <v>155</v>
      </c>
    </row>
    <row r="2094" spans="1:5" x14ac:dyDescent="0.25">
      <c r="A2094">
        <v>2</v>
      </c>
      <c r="B2094">
        <v>379</v>
      </c>
      <c r="C2094">
        <v>1</v>
      </c>
      <c r="D2094">
        <v>1</v>
      </c>
      <c r="E2094" t="s">
        <v>155</v>
      </c>
    </row>
    <row r="2095" spans="1:5" x14ac:dyDescent="0.25">
      <c r="A2095">
        <v>2</v>
      </c>
      <c r="B2095">
        <v>398</v>
      </c>
      <c r="C2095">
        <v>1</v>
      </c>
      <c r="D2095">
        <v>1</v>
      </c>
      <c r="E2095" t="s">
        <v>155</v>
      </c>
    </row>
    <row r="2096" spans="1:5" x14ac:dyDescent="0.25">
      <c r="A2096">
        <v>2</v>
      </c>
      <c r="B2096">
        <v>400</v>
      </c>
      <c r="C2096">
        <v>2</v>
      </c>
      <c r="D2096">
        <v>2</v>
      </c>
      <c r="E2096" t="s">
        <v>155</v>
      </c>
    </row>
    <row r="2097" spans="1:5" x14ac:dyDescent="0.25">
      <c r="A2097">
        <v>2</v>
      </c>
      <c r="B2097">
        <v>403</v>
      </c>
      <c r="C2097">
        <v>1</v>
      </c>
      <c r="D2097">
        <v>1</v>
      </c>
      <c r="E2097" t="s">
        <v>155</v>
      </c>
    </row>
    <row r="2098" spans="1:5" x14ac:dyDescent="0.25">
      <c r="A2098">
        <v>2</v>
      </c>
      <c r="B2098">
        <v>407</v>
      </c>
      <c r="C2098">
        <v>1</v>
      </c>
      <c r="D2098">
        <v>1</v>
      </c>
      <c r="E2098" t="s">
        <v>155</v>
      </c>
    </row>
    <row r="2099" spans="1:5" x14ac:dyDescent="0.25">
      <c r="A2099">
        <v>2</v>
      </c>
      <c r="B2099">
        <v>425</v>
      </c>
      <c r="C2099">
        <v>2</v>
      </c>
      <c r="D2099">
        <v>2</v>
      </c>
      <c r="E2099" t="s">
        <v>155</v>
      </c>
    </row>
    <row r="2100" spans="1:5" x14ac:dyDescent="0.25">
      <c r="A2100">
        <v>2</v>
      </c>
      <c r="B2100">
        <v>429</v>
      </c>
      <c r="C2100">
        <v>2</v>
      </c>
      <c r="D2100">
        <v>2</v>
      </c>
      <c r="E2100" t="s">
        <v>155</v>
      </c>
    </row>
    <row r="2101" spans="1:5" x14ac:dyDescent="0.25">
      <c r="A2101">
        <v>2</v>
      </c>
      <c r="B2101">
        <v>451</v>
      </c>
      <c r="C2101">
        <v>1</v>
      </c>
      <c r="D2101">
        <v>1</v>
      </c>
      <c r="E2101" t="s">
        <v>155</v>
      </c>
    </row>
    <row r="2102" spans="1:5" x14ac:dyDescent="0.25">
      <c r="A2102">
        <v>2</v>
      </c>
      <c r="B2102">
        <v>454</v>
      </c>
      <c r="C2102">
        <v>1</v>
      </c>
      <c r="D2102">
        <v>1</v>
      </c>
      <c r="E2102" t="s">
        <v>155</v>
      </c>
    </row>
    <row r="2103" spans="1:5" x14ac:dyDescent="0.25">
      <c r="A2103">
        <v>2</v>
      </c>
      <c r="B2103">
        <v>478</v>
      </c>
      <c r="C2103">
        <v>1</v>
      </c>
      <c r="D2103">
        <v>1</v>
      </c>
      <c r="E2103" t="s">
        <v>155</v>
      </c>
    </row>
    <row r="2104" spans="1:5" x14ac:dyDescent="0.25">
      <c r="A2104">
        <v>2</v>
      </c>
      <c r="B2104">
        <v>484</v>
      </c>
      <c r="C2104">
        <v>1</v>
      </c>
      <c r="D2104">
        <v>1</v>
      </c>
      <c r="E2104" t="s">
        <v>155</v>
      </c>
    </row>
    <row r="2105" spans="1:5" x14ac:dyDescent="0.25">
      <c r="A2105">
        <v>2</v>
      </c>
      <c r="B2105">
        <v>495</v>
      </c>
      <c r="C2105">
        <v>1</v>
      </c>
      <c r="D2105">
        <v>1</v>
      </c>
      <c r="E2105" t="s">
        <v>155</v>
      </c>
    </row>
    <row r="2106" spans="1:5" x14ac:dyDescent="0.25">
      <c r="A2106">
        <v>2</v>
      </c>
      <c r="B2106">
        <v>496</v>
      </c>
      <c r="C2106">
        <v>2</v>
      </c>
      <c r="D2106">
        <v>2</v>
      </c>
      <c r="E2106" t="s">
        <v>155</v>
      </c>
    </row>
    <row r="2107" spans="1:5" x14ac:dyDescent="0.25">
      <c r="A2107">
        <v>2</v>
      </c>
      <c r="B2107">
        <v>533</v>
      </c>
      <c r="C2107">
        <v>1</v>
      </c>
      <c r="D2107">
        <v>1</v>
      </c>
      <c r="E2107" t="s">
        <v>155</v>
      </c>
    </row>
    <row r="2108" spans="1:5" x14ac:dyDescent="0.25">
      <c r="A2108">
        <v>2</v>
      </c>
      <c r="B2108">
        <v>543</v>
      </c>
      <c r="C2108">
        <v>1</v>
      </c>
      <c r="D2108">
        <v>1</v>
      </c>
      <c r="E2108" t="s">
        <v>155</v>
      </c>
    </row>
    <row r="2109" spans="1:5" x14ac:dyDescent="0.25">
      <c r="A2109">
        <v>2</v>
      </c>
      <c r="B2109">
        <v>568</v>
      </c>
      <c r="C2109">
        <v>1</v>
      </c>
      <c r="D2109">
        <v>1</v>
      </c>
      <c r="E2109" t="s">
        <v>155</v>
      </c>
    </row>
    <row r="2110" spans="1:5" x14ac:dyDescent="0.25">
      <c r="A2110">
        <v>2</v>
      </c>
      <c r="B2110">
        <v>639</v>
      </c>
      <c r="C2110">
        <v>1</v>
      </c>
      <c r="D2110">
        <v>1</v>
      </c>
      <c r="E2110" t="s">
        <v>155</v>
      </c>
    </row>
    <row r="2111" spans="1:5" x14ac:dyDescent="0.25">
      <c r="A2111">
        <v>2</v>
      </c>
      <c r="B2111">
        <v>640</v>
      </c>
      <c r="C2111">
        <v>1</v>
      </c>
      <c r="D2111">
        <v>1</v>
      </c>
      <c r="E2111" t="s">
        <v>155</v>
      </c>
    </row>
    <row r="2112" spans="1:5" x14ac:dyDescent="0.25">
      <c r="A2112">
        <v>2</v>
      </c>
      <c r="B2112">
        <v>645</v>
      </c>
      <c r="C2112">
        <v>2</v>
      </c>
      <c r="D2112">
        <v>2</v>
      </c>
      <c r="E2112" t="s">
        <v>155</v>
      </c>
    </row>
    <row r="2113" spans="1:5" x14ac:dyDescent="0.25">
      <c r="A2113">
        <v>2</v>
      </c>
      <c r="B2113">
        <v>649</v>
      </c>
      <c r="C2113">
        <v>1</v>
      </c>
      <c r="D2113">
        <v>1</v>
      </c>
      <c r="E2113" t="s">
        <v>155</v>
      </c>
    </row>
    <row r="2114" spans="1:5" x14ac:dyDescent="0.25">
      <c r="A2114">
        <v>2</v>
      </c>
      <c r="B2114">
        <v>650</v>
      </c>
      <c r="C2114">
        <v>1</v>
      </c>
      <c r="D2114">
        <v>1</v>
      </c>
      <c r="E2114" t="s">
        <v>155</v>
      </c>
    </row>
    <row r="2115" spans="1:5" x14ac:dyDescent="0.25">
      <c r="A2115">
        <v>2</v>
      </c>
      <c r="B2115">
        <v>668</v>
      </c>
      <c r="C2115">
        <v>2</v>
      </c>
      <c r="D2115">
        <v>2</v>
      </c>
      <c r="E2115" t="s">
        <v>155</v>
      </c>
    </row>
    <row r="2116" spans="1:5" x14ac:dyDescent="0.25">
      <c r="A2116">
        <v>2</v>
      </c>
      <c r="B2116">
        <v>669</v>
      </c>
      <c r="C2116">
        <v>1</v>
      </c>
      <c r="D2116">
        <v>1</v>
      </c>
      <c r="E2116" t="s">
        <v>155</v>
      </c>
    </row>
    <row r="2117" spans="1:5" x14ac:dyDescent="0.25">
      <c r="A2117">
        <v>2</v>
      </c>
      <c r="B2117">
        <v>672</v>
      </c>
      <c r="C2117">
        <v>1</v>
      </c>
      <c r="D2117">
        <v>1</v>
      </c>
      <c r="E2117" t="s">
        <v>155</v>
      </c>
    </row>
    <row r="2118" spans="1:5" x14ac:dyDescent="0.25">
      <c r="A2118">
        <v>2</v>
      </c>
      <c r="B2118">
        <v>673</v>
      </c>
      <c r="C2118">
        <v>2</v>
      </c>
      <c r="D2118">
        <v>2</v>
      </c>
      <c r="E2118" t="s">
        <v>155</v>
      </c>
    </row>
    <row r="2119" spans="1:5" x14ac:dyDescent="0.25">
      <c r="A2119">
        <v>2</v>
      </c>
      <c r="B2119">
        <v>674</v>
      </c>
      <c r="C2119">
        <v>1</v>
      </c>
      <c r="D2119">
        <v>1</v>
      </c>
      <c r="E2119" t="s">
        <v>155</v>
      </c>
    </row>
    <row r="2120" spans="1:5" x14ac:dyDescent="0.25">
      <c r="A2120">
        <v>2</v>
      </c>
      <c r="B2120">
        <v>678</v>
      </c>
      <c r="C2120">
        <v>1</v>
      </c>
      <c r="D2120">
        <v>1</v>
      </c>
      <c r="E2120" t="s">
        <v>155</v>
      </c>
    </row>
    <row r="2121" spans="1:5" x14ac:dyDescent="0.25">
      <c r="A2121">
        <v>2</v>
      </c>
      <c r="B2121">
        <v>682</v>
      </c>
      <c r="C2121">
        <v>1</v>
      </c>
      <c r="D2121">
        <v>1</v>
      </c>
      <c r="E2121" t="s">
        <v>155</v>
      </c>
    </row>
    <row r="2122" spans="1:5" x14ac:dyDescent="0.25">
      <c r="A2122">
        <v>2</v>
      </c>
      <c r="B2122">
        <v>687</v>
      </c>
      <c r="C2122">
        <v>3</v>
      </c>
      <c r="D2122">
        <v>3</v>
      </c>
      <c r="E2122" t="s">
        <v>155</v>
      </c>
    </row>
    <row r="2123" spans="1:5" x14ac:dyDescent="0.25">
      <c r="A2123">
        <v>2</v>
      </c>
      <c r="B2123">
        <v>698</v>
      </c>
      <c r="C2123">
        <v>2</v>
      </c>
      <c r="D2123">
        <v>2</v>
      </c>
      <c r="E2123" t="s">
        <v>155</v>
      </c>
    </row>
    <row r="2124" spans="1:5" x14ac:dyDescent="0.25">
      <c r="A2124">
        <v>2</v>
      </c>
      <c r="B2124">
        <v>710</v>
      </c>
      <c r="C2124">
        <v>2</v>
      </c>
      <c r="D2124">
        <v>2</v>
      </c>
      <c r="E2124" t="s">
        <v>155</v>
      </c>
    </row>
    <row r="2125" spans="1:5" x14ac:dyDescent="0.25">
      <c r="A2125">
        <v>2</v>
      </c>
      <c r="B2125">
        <v>719</v>
      </c>
      <c r="C2125">
        <v>3</v>
      </c>
      <c r="D2125">
        <v>3</v>
      </c>
      <c r="E2125" t="s">
        <v>155</v>
      </c>
    </row>
    <row r="2126" spans="1:5" x14ac:dyDescent="0.25">
      <c r="A2126">
        <v>2</v>
      </c>
      <c r="B2126">
        <v>726</v>
      </c>
      <c r="C2126">
        <v>3</v>
      </c>
      <c r="D2126">
        <v>3</v>
      </c>
      <c r="E2126" t="s">
        <v>155</v>
      </c>
    </row>
    <row r="2127" spans="1:5" x14ac:dyDescent="0.25">
      <c r="A2127">
        <v>2</v>
      </c>
      <c r="B2127">
        <v>736</v>
      </c>
      <c r="C2127">
        <v>1</v>
      </c>
      <c r="D2127">
        <v>1</v>
      </c>
      <c r="E2127" t="s">
        <v>155</v>
      </c>
    </row>
    <row r="2128" spans="1:5" x14ac:dyDescent="0.25">
      <c r="A2128">
        <v>2</v>
      </c>
      <c r="B2128">
        <v>746</v>
      </c>
      <c r="C2128">
        <v>2</v>
      </c>
      <c r="D2128">
        <v>2</v>
      </c>
      <c r="E2128" t="s">
        <v>155</v>
      </c>
    </row>
    <row r="2129" spans="1:6" x14ac:dyDescent="0.25">
      <c r="A2129">
        <v>2</v>
      </c>
      <c r="B2129">
        <v>755</v>
      </c>
      <c r="C2129">
        <v>1</v>
      </c>
      <c r="D2129">
        <v>1</v>
      </c>
      <c r="E2129" t="s">
        <v>155</v>
      </c>
    </row>
    <row r="2130" spans="1:6" x14ac:dyDescent="0.25">
      <c r="A2130">
        <v>2</v>
      </c>
      <c r="B2130">
        <v>756</v>
      </c>
      <c r="C2130">
        <v>1</v>
      </c>
      <c r="D2130">
        <v>1</v>
      </c>
      <c r="E2130" t="s">
        <v>155</v>
      </c>
    </row>
    <row r="2131" spans="1:6" x14ac:dyDescent="0.25">
      <c r="A2131">
        <v>2</v>
      </c>
      <c r="B2131">
        <v>768</v>
      </c>
      <c r="C2131">
        <v>2</v>
      </c>
      <c r="D2131">
        <v>2</v>
      </c>
      <c r="E2131" t="s">
        <v>155</v>
      </c>
    </row>
    <row r="2132" spans="1:6" x14ac:dyDescent="0.25">
      <c r="A2132">
        <v>2</v>
      </c>
      <c r="B2132">
        <v>778</v>
      </c>
      <c r="C2132">
        <v>3</v>
      </c>
      <c r="D2132">
        <v>3</v>
      </c>
      <c r="E2132" t="s">
        <v>155</v>
      </c>
    </row>
    <row r="2133" spans="1:6" x14ac:dyDescent="0.25">
      <c r="A2133">
        <v>2</v>
      </c>
      <c r="B2133">
        <v>782</v>
      </c>
      <c r="C2133">
        <v>1</v>
      </c>
      <c r="D2133">
        <v>1</v>
      </c>
      <c r="E2133" t="s">
        <v>155</v>
      </c>
    </row>
    <row r="2134" spans="1:6" x14ac:dyDescent="0.25">
      <c r="A2134">
        <v>2</v>
      </c>
      <c r="B2134">
        <v>783</v>
      </c>
      <c r="C2134">
        <v>3</v>
      </c>
      <c r="D2134">
        <v>3</v>
      </c>
      <c r="E2134" t="s">
        <v>155</v>
      </c>
    </row>
    <row r="2135" spans="1:6" x14ac:dyDescent="0.25">
      <c r="A2135">
        <v>2</v>
      </c>
      <c r="B2135">
        <v>789</v>
      </c>
      <c r="C2135">
        <v>3</v>
      </c>
      <c r="D2135">
        <v>3</v>
      </c>
      <c r="E2135" t="s">
        <v>155</v>
      </c>
    </row>
    <row r="2136" spans="1:6" x14ac:dyDescent="0.25">
      <c r="A2136">
        <v>2</v>
      </c>
      <c r="B2136">
        <v>794</v>
      </c>
      <c r="C2136">
        <v>2</v>
      </c>
      <c r="D2136">
        <v>2</v>
      </c>
      <c r="E2136" t="s">
        <v>155</v>
      </c>
    </row>
    <row r="2137" spans="1:6" x14ac:dyDescent="0.25">
      <c r="A2137">
        <v>2</v>
      </c>
      <c r="B2137">
        <v>798</v>
      </c>
      <c r="C2137">
        <v>2</v>
      </c>
      <c r="D2137">
        <v>2</v>
      </c>
      <c r="E2137" t="s">
        <v>155</v>
      </c>
    </row>
    <row r="2138" spans="1:6" x14ac:dyDescent="0.25">
      <c r="A2138">
        <v>2</v>
      </c>
      <c r="B2138">
        <v>800</v>
      </c>
      <c r="C2138">
        <v>3</v>
      </c>
      <c r="D2138">
        <v>3</v>
      </c>
      <c r="E2138" t="s">
        <v>155</v>
      </c>
    </row>
    <row r="2139" spans="1:6" x14ac:dyDescent="0.25">
      <c r="A2139">
        <v>2</v>
      </c>
      <c r="B2139">
        <v>802</v>
      </c>
      <c r="C2139">
        <v>1</v>
      </c>
      <c r="D2139">
        <v>1</v>
      </c>
      <c r="E2139" t="s">
        <v>155</v>
      </c>
    </row>
    <row r="2140" spans="1:6" x14ac:dyDescent="0.25">
      <c r="A2140">
        <v>2</v>
      </c>
      <c r="B2140">
        <v>803</v>
      </c>
      <c r="C2140">
        <v>1</v>
      </c>
      <c r="D2140">
        <v>1</v>
      </c>
      <c r="E2140" t="s">
        <v>155</v>
      </c>
    </row>
    <row r="2141" spans="1:6" x14ac:dyDescent="0.25">
      <c r="A2141">
        <v>2</v>
      </c>
      <c r="B2141">
        <v>805</v>
      </c>
      <c r="C2141">
        <v>1</v>
      </c>
      <c r="D2141">
        <v>1</v>
      </c>
      <c r="E2141" t="s">
        <v>155</v>
      </c>
    </row>
    <row r="2142" spans="1:6" x14ac:dyDescent="0.25">
      <c r="A2142">
        <v>2</v>
      </c>
      <c r="B2142">
        <v>816</v>
      </c>
      <c r="C2142">
        <v>1</v>
      </c>
      <c r="D2142">
        <v>1</v>
      </c>
      <c r="E2142" t="s">
        <v>155</v>
      </c>
    </row>
    <row r="2143" spans="1:6" x14ac:dyDescent="0.25">
      <c r="A2143">
        <v>2</v>
      </c>
      <c r="B2143">
        <v>820</v>
      </c>
      <c r="C2143">
        <v>1</v>
      </c>
      <c r="D2143">
        <v>1</v>
      </c>
      <c r="E2143" t="s">
        <v>155</v>
      </c>
      <c r="F2143">
        <f>SUM(D2048:D2143)</f>
        <v>149</v>
      </c>
    </row>
    <row r="2144" spans="1:6" x14ac:dyDescent="0.25">
      <c r="A2144">
        <v>93</v>
      </c>
      <c r="B2144">
        <v>71</v>
      </c>
      <c r="C2144">
        <v>9</v>
      </c>
      <c r="D2144">
        <v>9</v>
      </c>
      <c r="E2144" t="s">
        <v>180</v>
      </c>
    </row>
    <row r="2145" spans="1:5" x14ac:dyDescent="0.25">
      <c r="A2145">
        <v>93</v>
      </c>
      <c r="B2145">
        <v>72</v>
      </c>
      <c r="C2145">
        <v>4</v>
      </c>
      <c r="D2145">
        <v>4</v>
      </c>
      <c r="E2145" t="s">
        <v>180</v>
      </c>
    </row>
    <row r="2146" spans="1:5" x14ac:dyDescent="0.25">
      <c r="A2146">
        <v>93</v>
      </c>
      <c r="B2146">
        <v>73</v>
      </c>
      <c r="C2146">
        <v>6</v>
      </c>
      <c r="D2146">
        <v>6</v>
      </c>
      <c r="E2146" t="s">
        <v>180</v>
      </c>
    </row>
    <row r="2147" spans="1:5" x14ac:dyDescent="0.25">
      <c r="A2147">
        <v>93</v>
      </c>
      <c r="B2147">
        <v>74</v>
      </c>
      <c r="C2147">
        <v>3</v>
      </c>
      <c r="D2147">
        <v>3</v>
      </c>
      <c r="E2147" t="s">
        <v>180</v>
      </c>
    </row>
    <row r="2148" spans="1:5" x14ac:dyDescent="0.25">
      <c r="A2148">
        <v>93</v>
      </c>
      <c r="B2148">
        <v>75</v>
      </c>
      <c r="C2148">
        <v>1</v>
      </c>
      <c r="D2148">
        <v>1</v>
      </c>
      <c r="E2148" t="s">
        <v>180</v>
      </c>
    </row>
    <row r="2149" spans="1:5" x14ac:dyDescent="0.25">
      <c r="A2149">
        <v>93</v>
      </c>
      <c r="B2149">
        <v>76</v>
      </c>
      <c r="C2149">
        <v>1</v>
      </c>
      <c r="D2149">
        <v>1</v>
      </c>
      <c r="E2149" t="s">
        <v>180</v>
      </c>
    </row>
    <row r="2150" spans="1:5" x14ac:dyDescent="0.25">
      <c r="A2150">
        <v>93</v>
      </c>
      <c r="B2150">
        <v>77</v>
      </c>
      <c r="C2150">
        <v>3</v>
      </c>
      <c r="D2150">
        <v>3</v>
      </c>
      <c r="E2150" t="s">
        <v>180</v>
      </c>
    </row>
    <row r="2151" spans="1:5" x14ac:dyDescent="0.25">
      <c r="A2151">
        <v>93</v>
      </c>
      <c r="B2151">
        <v>78</v>
      </c>
      <c r="C2151">
        <v>4</v>
      </c>
      <c r="D2151">
        <v>4</v>
      </c>
      <c r="E2151" t="s">
        <v>180</v>
      </c>
    </row>
    <row r="2152" spans="1:5" x14ac:dyDescent="0.25">
      <c r="A2152">
        <v>93</v>
      </c>
      <c r="B2152">
        <v>100</v>
      </c>
      <c r="C2152">
        <v>4</v>
      </c>
      <c r="D2152">
        <v>4</v>
      </c>
      <c r="E2152" t="s">
        <v>180</v>
      </c>
    </row>
    <row r="2153" spans="1:5" x14ac:dyDescent="0.25">
      <c r="A2153">
        <v>93</v>
      </c>
      <c r="B2153">
        <v>105</v>
      </c>
      <c r="C2153">
        <v>2</v>
      </c>
      <c r="D2153">
        <v>2</v>
      </c>
      <c r="E2153" t="s">
        <v>180</v>
      </c>
    </row>
    <row r="2154" spans="1:5" x14ac:dyDescent="0.25">
      <c r="A2154">
        <v>93</v>
      </c>
      <c r="B2154">
        <v>106</v>
      </c>
      <c r="C2154">
        <v>2</v>
      </c>
      <c r="D2154">
        <v>2</v>
      </c>
      <c r="E2154" t="s">
        <v>180</v>
      </c>
    </row>
    <row r="2155" spans="1:5" x14ac:dyDescent="0.25">
      <c r="A2155">
        <v>93</v>
      </c>
      <c r="B2155">
        <v>107</v>
      </c>
      <c r="C2155">
        <v>1</v>
      </c>
      <c r="D2155">
        <v>1</v>
      </c>
      <c r="E2155" t="s">
        <v>180</v>
      </c>
    </row>
    <row r="2156" spans="1:5" x14ac:dyDescent="0.25">
      <c r="A2156">
        <v>93</v>
      </c>
      <c r="B2156">
        <v>108</v>
      </c>
      <c r="C2156">
        <v>4</v>
      </c>
      <c r="D2156">
        <v>4</v>
      </c>
      <c r="E2156" t="s">
        <v>180</v>
      </c>
    </row>
    <row r="2157" spans="1:5" x14ac:dyDescent="0.25">
      <c r="A2157">
        <v>93</v>
      </c>
      <c r="B2157">
        <v>109</v>
      </c>
      <c r="C2157">
        <v>1</v>
      </c>
      <c r="D2157">
        <v>1</v>
      </c>
      <c r="E2157" t="s">
        <v>180</v>
      </c>
    </row>
    <row r="2158" spans="1:5" x14ac:dyDescent="0.25">
      <c r="A2158">
        <v>93</v>
      </c>
      <c r="B2158">
        <v>110</v>
      </c>
      <c r="C2158">
        <v>3</v>
      </c>
      <c r="D2158">
        <v>3</v>
      </c>
      <c r="E2158" t="s">
        <v>180</v>
      </c>
    </row>
    <row r="2159" spans="1:5" x14ac:dyDescent="0.25">
      <c r="A2159">
        <v>93</v>
      </c>
      <c r="B2159">
        <v>111</v>
      </c>
      <c r="C2159">
        <v>4</v>
      </c>
      <c r="D2159">
        <v>4</v>
      </c>
      <c r="E2159" t="s">
        <v>180</v>
      </c>
    </row>
    <row r="2160" spans="1:5" x14ac:dyDescent="0.25">
      <c r="A2160">
        <v>93</v>
      </c>
      <c r="B2160">
        <v>112</v>
      </c>
      <c r="C2160">
        <v>2</v>
      </c>
      <c r="D2160">
        <v>2</v>
      </c>
      <c r="E2160" t="s">
        <v>180</v>
      </c>
    </row>
    <row r="2161" spans="1:5" x14ac:dyDescent="0.25">
      <c r="A2161">
        <v>93</v>
      </c>
      <c r="B2161">
        <v>113</v>
      </c>
      <c r="C2161">
        <v>2</v>
      </c>
      <c r="D2161">
        <v>2</v>
      </c>
      <c r="E2161" t="s">
        <v>180</v>
      </c>
    </row>
    <row r="2162" spans="1:5" x14ac:dyDescent="0.25">
      <c r="A2162">
        <v>93</v>
      </c>
      <c r="B2162">
        <v>114</v>
      </c>
      <c r="C2162">
        <v>6</v>
      </c>
      <c r="D2162">
        <v>6</v>
      </c>
      <c r="E2162" t="s">
        <v>180</v>
      </c>
    </row>
    <row r="2163" spans="1:5" x14ac:dyDescent="0.25">
      <c r="A2163">
        <v>93</v>
      </c>
      <c r="B2163">
        <v>115</v>
      </c>
      <c r="C2163">
        <v>3</v>
      </c>
      <c r="D2163">
        <v>3</v>
      </c>
      <c r="E2163" t="s">
        <v>180</v>
      </c>
    </row>
    <row r="2164" spans="1:5" x14ac:dyDescent="0.25">
      <c r="A2164">
        <v>93</v>
      </c>
      <c r="B2164">
        <v>116</v>
      </c>
      <c r="C2164">
        <v>3</v>
      </c>
      <c r="D2164">
        <v>3</v>
      </c>
      <c r="E2164" t="s">
        <v>180</v>
      </c>
    </row>
    <row r="2165" spans="1:5" x14ac:dyDescent="0.25">
      <c r="A2165">
        <v>93</v>
      </c>
      <c r="B2165">
        <v>117</v>
      </c>
      <c r="C2165">
        <v>1</v>
      </c>
      <c r="D2165">
        <v>1</v>
      </c>
      <c r="E2165" t="s">
        <v>180</v>
      </c>
    </row>
    <row r="2166" spans="1:5" x14ac:dyDescent="0.25">
      <c r="A2166">
        <v>93</v>
      </c>
      <c r="B2166">
        <v>163</v>
      </c>
      <c r="C2166">
        <v>1</v>
      </c>
      <c r="D2166">
        <v>1</v>
      </c>
      <c r="E2166" t="s">
        <v>180</v>
      </c>
    </row>
    <row r="2167" spans="1:5" x14ac:dyDescent="0.25">
      <c r="A2167">
        <v>93</v>
      </c>
      <c r="B2167">
        <v>164</v>
      </c>
      <c r="C2167">
        <v>2</v>
      </c>
      <c r="D2167">
        <v>2</v>
      </c>
      <c r="E2167" t="s">
        <v>180</v>
      </c>
    </row>
    <row r="2168" spans="1:5" x14ac:dyDescent="0.25">
      <c r="A2168">
        <v>93</v>
      </c>
      <c r="B2168">
        <v>167</v>
      </c>
      <c r="C2168">
        <v>5</v>
      </c>
      <c r="D2168">
        <v>5</v>
      </c>
      <c r="E2168" t="s">
        <v>180</v>
      </c>
    </row>
    <row r="2169" spans="1:5" x14ac:dyDescent="0.25">
      <c r="A2169">
        <v>93</v>
      </c>
      <c r="B2169">
        <v>168</v>
      </c>
      <c r="C2169">
        <v>2</v>
      </c>
      <c r="D2169">
        <v>2</v>
      </c>
      <c r="E2169" t="s">
        <v>180</v>
      </c>
    </row>
    <row r="2170" spans="1:5" x14ac:dyDescent="0.25">
      <c r="A2170">
        <v>93</v>
      </c>
      <c r="B2170">
        <v>169</v>
      </c>
      <c r="C2170">
        <v>2</v>
      </c>
      <c r="D2170">
        <v>2</v>
      </c>
      <c r="E2170" t="s">
        <v>180</v>
      </c>
    </row>
    <row r="2171" spans="1:5" x14ac:dyDescent="0.25">
      <c r="A2171">
        <v>93</v>
      </c>
      <c r="B2171">
        <v>170</v>
      </c>
      <c r="C2171">
        <v>1</v>
      </c>
      <c r="D2171">
        <v>1</v>
      </c>
      <c r="E2171" t="s">
        <v>180</v>
      </c>
    </row>
    <row r="2172" spans="1:5" x14ac:dyDescent="0.25">
      <c r="A2172">
        <v>93</v>
      </c>
      <c r="B2172">
        <v>171</v>
      </c>
      <c r="C2172">
        <v>1</v>
      </c>
      <c r="D2172">
        <v>1</v>
      </c>
      <c r="E2172" t="s">
        <v>180</v>
      </c>
    </row>
    <row r="2173" spans="1:5" x14ac:dyDescent="0.25">
      <c r="A2173">
        <v>93</v>
      </c>
      <c r="B2173">
        <v>172</v>
      </c>
      <c r="C2173">
        <v>1</v>
      </c>
      <c r="D2173">
        <v>1</v>
      </c>
      <c r="E2173" t="s">
        <v>180</v>
      </c>
    </row>
    <row r="2174" spans="1:5" x14ac:dyDescent="0.25">
      <c r="A2174">
        <v>93</v>
      </c>
      <c r="B2174">
        <v>173</v>
      </c>
      <c r="C2174">
        <v>3</v>
      </c>
      <c r="D2174">
        <v>3</v>
      </c>
      <c r="E2174" t="s">
        <v>180</v>
      </c>
    </row>
    <row r="2175" spans="1:5" x14ac:dyDescent="0.25">
      <c r="A2175">
        <v>93</v>
      </c>
      <c r="B2175">
        <v>174</v>
      </c>
      <c r="C2175">
        <v>1</v>
      </c>
      <c r="D2175">
        <v>1</v>
      </c>
      <c r="E2175" t="s">
        <v>180</v>
      </c>
    </row>
    <row r="2176" spans="1:5" x14ac:dyDescent="0.25">
      <c r="A2176">
        <v>93</v>
      </c>
      <c r="B2176">
        <v>175</v>
      </c>
      <c r="C2176">
        <v>1</v>
      </c>
      <c r="D2176">
        <v>1</v>
      </c>
      <c r="E2176" t="s">
        <v>180</v>
      </c>
    </row>
    <row r="2177" spans="1:5" x14ac:dyDescent="0.25">
      <c r="A2177">
        <v>93</v>
      </c>
      <c r="B2177">
        <v>176</v>
      </c>
      <c r="C2177">
        <v>3</v>
      </c>
      <c r="D2177">
        <v>3</v>
      </c>
      <c r="E2177" t="s">
        <v>180</v>
      </c>
    </row>
    <row r="2178" spans="1:5" x14ac:dyDescent="0.25">
      <c r="A2178">
        <v>93</v>
      </c>
      <c r="B2178">
        <v>178</v>
      </c>
      <c r="C2178">
        <v>1</v>
      </c>
      <c r="D2178">
        <v>1</v>
      </c>
      <c r="E2178" t="s">
        <v>180</v>
      </c>
    </row>
    <row r="2179" spans="1:5" x14ac:dyDescent="0.25">
      <c r="A2179">
        <v>93</v>
      </c>
      <c r="B2179">
        <v>179</v>
      </c>
      <c r="C2179">
        <v>2</v>
      </c>
      <c r="D2179">
        <v>2</v>
      </c>
      <c r="E2179" t="s">
        <v>180</v>
      </c>
    </row>
    <row r="2180" spans="1:5" x14ac:dyDescent="0.25">
      <c r="A2180">
        <v>93</v>
      </c>
      <c r="B2180">
        <v>180</v>
      </c>
      <c r="C2180">
        <v>1</v>
      </c>
      <c r="D2180">
        <v>1</v>
      </c>
      <c r="E2180" t="s">
        <v>180</v>
      </c>
    </row>
    <row r="2181" spans="1:5" x14ac:dyDescent="0.25">
      <c r="A2181">
        <v>93</v>
      </c>
      <c r="B2181">
        <v>181</v>
      </c>
      <c r="C2181">
        <v>3</v>
      </c>
      <c r="D2181">
        <v>3</v>
      </c>
      <c r="E2181" t="s">
        <v>180</v>
      </c>
    </row>
    <row r="2182" spans="1:5" x14ac:dyDescent="0.25">
      <c r="A2182">
        <v>93</v>
      </c>
      <c r="B2182">
        <v>183</v>
      </c>
      <c r="C2182">
        <v>4</v>
      </c>
      <c r="D2182">
        <v>4</v>
      </c>
      <c r="E2182" t="s">
        <v>180</v>
      </c>
    </row>
    <row r="2183" spans="1:5" x14ac:dyDescent="0.25">
      <c r="A2183">
        <v>93</v>
      </c>
      <c r="B2183">
        <v>260</v>
      </c>
      <c r="C2183">
        <v>2</v>
      </c>
      <c r="D2183">
        <v>2</v>
      </c>
      <c r="E2183" t="s">
        <v>180</v>
      </c>
    </row>
    <row r="2184" spans="1:5" x14ac:dyDescent="0.25">
      <c r="A2184">
        <v>93</v>
      </c>
      <c r="B2184">
        <v>261</v>
      </c>
      <c r="C2184">
        <v>1</v>
      </c>
      <c r="D2184">
        <v>1</v>
      </c>
      <c r="E2184" t="s">
        <v>180</v>
      </c>
    </row>
    <row r="2185" spans="1:5" x14ac:dyDescent="0.25">
      <c r="A2185">
        <v>93</v>
      </c>
      <c r="B2185">
        <v>263</v>
      </c>
      <c r="C2185">
        <v>1</v>
      </c>
      <c r="D2185">
        <v>1</v>
      </c>
      <c r="E2185" t="s">
        <v>180</v>
      </c>
    </row>
    <row r="2186" spans="1:5" x14ac:dyDescent="0.25">
      <c r="A2186">
        <v>93</v>
      </c>
      <c r="B2186">
        <v>266</v>
      </c>
      <c r="C2186">
        <v>2</v>
      </c>
      <c r="D2186">
        <v>2</v>
      </c>
      <c r="E2186" t="s">
        <v>180</v>
      </c>
    </row>
    <row r="2187" spans="1:5" x14ac:dyDescent="0.25">
      <c r="A2187">
        <v>93</v>
      </c>
      <c r="B2187">
        <v>270</v>
      </c>
      <c r="C2187">
        <v>1</v>
      </c>
      <c r="D2187">
        <v>1</v>
      </c>
      <c r="E2187" t="s">
        <v>180</v>
      </c>
    </row>
    <row r="2188" spans="1:5" x14ac:dyDescent="0.25">
      <c r="A2188">
        <v>93</v>
      </c>
      <c r="B2188">
        <v>285</v>
      </c>
      <c r="C2188">
        <v>1</v>
      </c>
      <c r="D2188">
        <v>1</v>
      </c>
      <c r="E2188" t="s">
        <v>180</v>
      </c>
    </row>
    <row r="2189" spans="1:5" x14ac:dyDescent="0.25">
      <c r="A2189">
        <v>93</v>
      </c>
      <c r="B2189">
        <v>288</v>
      </c>
      <c r="C2189">
        <v>1</v>
      </c>
      <c r="D2189">
        <v>1</v>
      </c>
      <c r="E2189" t="s">
        <v>180</v>
      </c>
    </row>
    <row r="2190" spans="1:5" x14ac:dyDescent="0.25">
      <c r="A2190">
        <v>93</v>
      </c>
      <c r="B2190">
        <v>296</v>
      </c>
      <c r="C2190">
        <v>1</v>
      </c>
      <c r="D2190">
        <v>1</v>
      </c>
      <c r="E2190" t="s">
        <v>180</v>
      </c>
    </row>
    <row r="2191" spans="1:5" x14ac:dyDescent="0.25">
      <c r="A2191">
        <v>93</v>
      </c>
      <c r="B2191">
        <v>299</v>
      </c>
      <c r="C2191">
        <v>1</v>
      </c>
      <c r="D2191">
        <v>1</v>
      </c>
      <c r="E2191" t="s">
        <v>180</v>
      </c>
    </row>
    <row r="2192" spans="1:5" x14ac:dyDescent="0.25">
      <c r="A2192">
        <v>93</v>
      </c>
      <c r="B2192">
        <v>305</v>
      </c>
      <c r="C2192">
        <v>2</v>
      </c>
      <c r="D2192">
        <v>2</v>
      </c>
      <c r="E2192" t="s">
        <v>180</v>
      </c>
    </row>
    <row r="2193" spans="1:5" x14ac:dyDescent="0.25">
      <c r="A2193">
        <v>93</v>
      </c>
      <c r="B2193">
        <v>310</v>
      </c>
      <c r="C2193">
        <v>1</v>
      </c>
      <c r="D2193">
        <v>1</v>
      </c>
      <c r="E2193" t="s">
        <v>180</v>
      </c>
    </row>
    <row r="2194" spans="1:5" x14ac:dyDescent="0.25">
      <c r="A2194">
        <v>93</v>
      </c>
      <c r="B2194">
        <v>315</v>
      </c>
      <c r="C2194">
        <v>2</v>
      </c>
      <c r="D2194">
        <v>2</v>
      </c>
      <c r="E2194" t="s">
        <v>180</v>
      </c>
    </row>
    <row r="2195" spans="1:5" x14ac:dyDescent="0.25">
      <c r="A2195">
        <v>93</v>
      </c>
      <c r="B2195">
        <v>316</v>
      </c>
      <c r="C2195">
        <v>1</v>
      </c>
      <c r="D2195">
        <v>1</v>
      </c>
      <c r="E2195" t="s">
        <v>180</v>
      </c>
    </row>
    <row r="2196" spans="1:5" x14ac:dyDescent="0.25">
      <c r="A2196">
        <v>115</v>
      </c>
      <c r="B2196">
        <v>126</v>
      </c>
      <c r="C2196">
        <v>1</v>
      </c>
      <c r="D2196">
        <v>1</v>
      </c>
      <c r="E2196" t="s">
        <v>180</v>
      </c>
    </row>
    <row r="2197" spans="1:5" x14ac:dyDescent="0.25">
      <c r="A2197">
        <v>118</v>
      </c>
      <c r="B2197">
        <v>550</v>
      </c>
      <c r="C2197">
        <v>1</v>
      </c>
      <c r="D2197">
        <v>1</v>
      </c>
      <c r="E2197" t="s">
        <v>180</v>
      </c>
    </row>
    <row r="2198" spans="1:5" x14ac:dyDescent="0.25">
      <c r="A2198">
        <v>118</v>
      </c>
      <c r="B2198">
        <v>552</v>
      </c>
      <c r="C2198">
        <v>2</v>
      </c>
      <c r="D2198">
        <v>2</v>
      </c>
      <c r="E2198" t="s">
        <v>180</v>
      </c>
    </row>
    <row r="2199" spans="1:5" x14ac:dyDescent="0.25">
      <c r="A2199">
        <v>118</v>
      </c>
      <c r="B2199">
        <v>553</v>
      </c>
      <c r="C2199">
        <v>3</v>
      </c>
      <c r="D2199">
        <v>3</v>
      </c>
      <c r="E2199" t="s">
        <v>180</v>
      </c>
    </row>
    <row r="2200" spans="1:5" x14ac:dyDescent="0.25">
      <c r="A2200">
        <v>118</v>
      </c>
      <c r="B2200">
        <v>554</v>
      </c>
      <c r="C2200">
        <v>1</v>
      </c>
      <c r="D2200">
        <v>1</v>
      </c>
      <c r="E2200" t="s">
        <v>180</v>
      </c>
    </row>
    <row r="2201" spans="1:5" x14ac:dyDescent="0.25">
      <c r="A2201">
        <v>118</v>
      </c>
      <c r="B2201">
        <v>555</v>
      </c>
      <c r="C2201">
        <v>1</v>
      </c>
      <c r="D2201">
        <v>1</v>
      </c>
      <c r="E2201" t="s">
        <v>180</v>
      </c>
    </row>
    <row r="2202" spans="1:5" x14ac:dyDescent="0.25">
      <c r="A2202">
        <v>118</v>
      </c>
      <c r="B2202">
        <v>556</v>
      </c>
      <c r="C2202">
        <v>1</v>
      </c>
      <c r="D2202">
        <v>1</v>
      </c>
      <c r="E2202" t="s">
        <v>180</v>
      </c>
    </row>
    <row r="2203" spans="1:5" x14ac:dyDescent="0.25">
      <c r="A2203">
        <v>118</v>
      </c>
      <c r="B2203">
        <v>557</v>
      </c>
      <c r="C2203">
        <v>2</v>
      </c>
      <c r="D2203">
        <v>2</v>
      </c>
      <c r="E2203" t="s">
        <v>180</v>
      </c>
    </row>
    <row r="2204" spans="1:5" x14ac:dyDescent="0.25">
      <c r="A2204">
        <v>118</v>
      </c>
      <c r="B2204">
        <v>558</v>
      </c>
      <c r="C2204">
        <v>1</v>
      </c>
      <c r="D2204">
        <v>1</v>
      </c>
      <c r="E2204" t="s">
        <v>180</v>
      </c>
    </row>
    <row r="2205" spans="1:5" x14ac:dyDescent="0.25">
      <c r="A2205">
        <v>118</v>
      </c>
      <c r="B2205">
        <v>559</v>
      </c>
      <c r="C2205">
        <v>2</v>
      </c>
      <c r="D2205">
        <v>2</v>
      </c>
      <c r="E2205" t="s">
        <v>180</v>
      </c>
    </row>
    <row r="2206" spans="1:5" x14ac:dyDescent="0.25">
      <c r="A2206">
        <v>118</v>
      </c>
      <c r="B2206">
        <v>560</v>
      </c>
      <c r="C2206">
        <v>1</v>
      </c>
      <c r="D2206">
        <v>1</v>
      </c>
      <c r="E2206" t="s">
        <v>180</v>
      </c>
    </row>
    <row r="2207" spans="1:5" x14ac:dyDescent="0.25">
      <c r="A2207">
        <v>118</v>
      </c>
      <c r="B2207">
        <v>563</v>
      </c>
      <c r="C2207">
        <v>3</v>
      </c>
      <c r="D2207">
        <v>3</v>
      </c>
      <c r="E2207" t="s">
        <v>180</v>
      </c>
    </row>
    <row r="2208" spans="1:5" x14ac:dyDescent="0.25">
      <c r="A2208">
        <v>118</v>
      </c>
      <c r="B2208">
        <v>564</v>
      </c>
      <c r="C2208">
        <v>2</v>
      </c>
      <c r="D2208">
        <v>2</v>
      </c>
      <c r="E2208" t="s">
        <v>180</v>
      </c>
    </row>
    <row r="2209" spans="1:6" x14ac:dyDescent="0.25">
      <c r="A2209">
        <v>118</v>
      </c>
      <c r="B2209">
        <v>586</v>
      </c>
      <c r="C2209">
        <v>1</v>
      </c>
      <c r="D2209">
        <v>1</v>
      </c>
      <c r="E2209" t="s">
        <v>180</v>
      </c>
    </row>
    <row r="2210" spans="1:6" x14ac:dyDescent="0.25">
      <c r="A2210">
        <v>118</v>
      </c>
      <c r="B2210">
        <v>587</v>
      </c>
      <c r="C2210">
        <v>1</v>
      </c>
      <c r="D2210">
        <v>1</v>
      </c>
      <c r="E2210" t="s">
        <v>180</v>
      </c>
    </row>
    <row r="2211" spans="1:6" x14ac:dyDescent="0.25">
      <c r="A2211">
        <v>118</v>
      </c>
      <c r="B2211">
        <v>602</v>
      </c>
      <c r="C2211">
        <v>1</v>
      </c>
      <c r="D2211">
        <v>1</v>
      </c>
      <c r="E2211" t="s">
        <v>180</v>
      </c>
    </row>
    <row r="2212" spans="1:6" x14ac:dyDescent="0.25">
      <c r="A2212">
        <v>118</v>
      </c>
      <c r="B2212">
        <v>603</v>
      </c>
      <c r="C2212">
        <v>1</v>
      </c>
      <c r="D2212">
        <v>1</v>
      </c>
      <c r="E2212" t="s">
        <v>180</v>
      </c>
    </row>
    <row r="2213" spans="1:6" x14ac:dyDescent="0.25">
      <c r="A2213">
        <v>118</v>
      </c>
      <c r="B2213">
        <v>604</v>
      </c>
      <c r="C2213">
        <v>1</v>
      </c>
      <c r="D2213">
        <v>1</v>
      </c>
      <c r="E2213" t="s">
        <v>180</v>
      </c>
    </row>
    <row r="2214" spans="1:6" x14ac:dyDescent="0.25">
      <c r="A2214">
        <v>118</v>
      </c>
      <c r="B2214">
        <v>605</v>
      </c>
      <c r="C2214">
        <v>1</v>
      </c>
      <c r="D2214">
        <v>1</v>
      </c>
      <c r="E2214" t="s">
        <v>180</v>
      </c>
    </row>
    <row r="2215" spans="1:6" x14ac:dyDescent="0.25">
      <c r="A2215">
        <v>118</v>
      </c>
      <c r="B2215">
        <v>606</v>
      </c>
      <c r="C2215">
        <v>2</v>
      </c>
      <c r="D2215">
        <v>2</v>
      </c>
      <c r="E2215" t="s">
        <v>180</v>
      </c>
    </row>
    <row r="2216" spans="1:6" x14ac:dyDescent="0.25">
      <c r="A2216">
        <v>118</v>
      </c>
      <c r="B2216">
        <v>607</v>
      </c>
      <c r="C2216">
        <v>1</v>
      </c>
      <c r="D2216">
        <v>1</v>
      </c>
      <c r="E2216" t="s">
        <v>180</v>
      </c>
    </row>
    <row r="2217" spans="1:6" x14ac:dyDescent="0.25">
      <c r="A2217">
        <v>118</v>
      </c>
      <c r="B2217">
        <v>610</v>
      </c>
      <c r="C2217">
        <v>1</v>
      </c>
      <c r="D2217">
        <v>1</v>
      </c>
      <c r="E2217" t="s">
        <v>180</v>
      </c>
    </row>
    <row r="2218" spans="1:6" x14ac:dyDescent="0.25">
      <c r="A2218">
        <v>118</v>
      </c>
      <c r="B2218">
        <v>612</v>
      </c>
      <c r="C2218">
        <v>3</v>
      </c>
      <c r="D2218">
        <v>3</v>
      </c>
      <c r="E2218" t="s">
        <v>180</v>
      </c>
    </row>
    <row r="2219" spans="1:6" x14ac:dyDescent="0.25">
      <c r="A2219">
        <v>118</v>
      </c>
      <c r="B2219">
        <v>620</v>
      </c>
      <c r="C2219">
        <v>3</v>
      </c>
      <c r="D2219">
        <v>3</v>
      </c>
      <c r="E2219" t="s">
        <v>180</v>
      </c>
    </row>
    <row r="2220" spans="1:6" x14ac:dyDescent="0.25">
      <c r="A2220">
        <v>118</v>
      </c>
      <c r="B2220">
        <v>628</v>
      </c>
      <c r="C2220">
        <v>2</v>
      </c>
      <c r="D2220">
        <v>2</v>
      </c>
      <c r="E2220" t="s">
        <v>180</v>
      </c>
    </row>
    <row r="2221" spans="1:6" x14ac:dyDescent="0.25">
      <c r="A2221">
        <v>118</v>
      </c>
      <c r="B2221">
        <v>639</v>
      </c>
      <c r="C2221">
        <v>2</v>
      </c>
      <c r="D2221">
        <v>2</v>
      </c>
      <c r="E2221" t="s">
        <v>180</v>
      </c>
    </row>
    <row r="2222" spans="1:6" x14ac:dyDescent="0.25">
      <c r="A2222">
        <v>118</v>
      </c>
      <c r="B2222">
        <v>653</v>
      </c>
      <c r="C2222">
        <v>3</v>
      </c>
      <c r="D2222">
        <v>3</v>
      </c>
      <c r="E2222" t="s">
        <v>180</v>
      </c>
    </row>
    <row r="2223" spans="1:6" x14ac:dyDescent="0.25">
      <c r="A2223">
        <v>118</v>
      </c>
      <c r="B2223">
        <v>671</v>
      </c>
      <c r="C2223">
        <v>1</v>
      </c>
      <c r="D2223">
        <v>1</v>
      </c>
      <c r="E2223" t="s">
        <v>180</v>
      </c>
      <c r="F2223">
        <f>SUM(D2144:D2223)</f>
        <v>165</v>
      </c>
    </row>
    <row r="2224" spans="1:6" x14ac:dyDescent="0.25">
      <c r="A2224">
        <v>82</v>
      </c>
      <c r="B2224">
        <v>91</v>
      </c>
      <c r="C2224">
        <v>2</v>
      </c>
      <c r="D2224">
        <v>2</v>
      </c>
      <c r="E2224" t="s">
        <v>169</v>
      </c>
    </row>
    <row r="2225" spans="1:5" x14ac:dyDescent="0.25">
      <c r="A2225">
        <v>82</v>
      </c>
      <c r="B2225">
        <v>92</v>
      </c>
      <c r="C2225">
        <v>1</v>
      </c>
      <c r="D2225">
        <v>1</v>
      </c>
      <c r="E2225" t="s">
        <v>169</v>
      </c>
    </row>
    <row r="2226" spans="1:5" x14ac:dyDescent="0.25">
      <c r="A2226">
        <v>82</v>
      </c>
      <c r="B2226">
        <v>95</v>
      </c>
      <c r="C2226">
        <v>5</v>
      </c>
      <c r="D2226">
        <v>5</v>
      </c>
      <c r="E2226" t="s">
        <v>169</v>
      </c>
    </row>
    <row r="2227" spans="1:5" x14ac:dyDescent="0.25">
      <c r="A2227">
        <v>82</v>
      </c>
      <c r="B2227">
        <v>96</v>
      </c>
      <c r="C2227">
        <v>5</v>
      </c>
      <c r="D2227">
        <v>5</v>
      </c>
      <c r="E2227" t="s">
        <v>169</v>
      </c>
    </row>
    <row r="2228" spans="1:5" x14ac:dyDescent="0.25">
      <c r="A2228">
        <v>82</v>
      </c>
      <c r="B2228">
        <v>180</v>
      </c>
      <c r="C2228">
        <v>5</v>
      </c>
      <c r="D2228">
        <v>5</v>
      </c>
      <c r="E2228" t="s">
        <v>169</v>
      </c>
    </row>
    <row r="2229" spans="1:5" x14ac:dyDescent="0.25">
      <c r="A2229">
        <v>82</v>
      </c>
      <c r="B2229">
        <v>181</v>
      </c>
      <c r="C2229">
        <v>1</v>
      </c>
      <c r="D2229">
        <v>1</v>
      </c>
      <c r="E2229" t="s">
        <v>169</v>
      </c>
    </row>
    <row r="2230" spans="1:5" x14ac:dyDescent="0.25">
      <c r="A2230">
        <v>82</v>
      </c>
      <c r="B2230">
        <v>185</v>
      </c>
      <c r="C2230">
        <v>1</v>
      </c>
      <c r="D2230">
        <v>1</v>
      </c>
      <c r="E2230" t="s">
        <v>169</v>
      </c>
    </row>
    <row r="2231" spans="1:5" x14ac:dyDescent="0.25">
      <c r="A2231">
        <v>82</v>
      </c>
      <c r="B2231">
        <v>186</v>
      </c>
      <c r="C2231">
        <v>1</v>
      </c>
      <c r="D2231">
        <v>1</v>
      </c>
      <c r="E2231" t="s">
        <v>169</v>
      </c>
    </row>
    <row r="2232" spans="1:5" x14ac:dyDescent="0.25">
      <c r="A2232">
        <v>82</v>
      </c>
      <c r="B2232">
        <v>187</v>
      </c>
      <c r="C2232">
        <v>1</v>
      </c>
      <c r="D2232">
        <v>1</v>
      </c>
      <c r="E2232" t="s">
        <v>169</v>
      </c>
    </row>
    <row r="2233" spans="1:5" x14ac:dyDescent="0.25">
      <c r="A2233">
        <v>82</v>
      </c>
      <c r="B2233">
        <v>188</v>
      </c>
      <c r="C2233">
        <v>4</v>
      </c>
      <c r="D2233">
        <v>4</v>
      </c>
      <c r="E2233" t="s">
        <v>169</v>
      </c>
    </row>
    <row r="2234" spans="1:5" x14ac:dyDescent="0.25">
      <c r="A2234">
        <v>82</v>
      </c>
      <c r="B2234">
        <v>189</v>
      </c>
      <c r="C2234">
        <v>1</v>
      </c>
      <c r="D2234">
        <v>1</v>
      </c>
      <c r="E2234" t="s">
        <v>169</v>
      </c>
    </row>
    <row r="2235" spans="1:5" x14ac:dyDescent="0.25">
      <c r="A2235">
        <v>82</v>
      </c>
      <c r="B2235">
        <v>190</v>
      </c>
      <c r="C2235">
        <v>3</v>
      </c>
      <c r="D2235">
        <v>3</v>
      </c>
      <c r="E2235" t="s">
        <v>169</v>
      </c>
    </row>
    <row r="2236" spans="1:5" x14ac:dyDescent="0.25">
      <c r="A2236">
        <v>82</v>
      </c>
      <c r="B2236">
        <v>191</v>
      </c>
      <c r="C2236">
        <v>2</v>
      </c>
      <c r="D2236">
        <v>2</v>
      </c>
      <c r="E2236" t="s">
        <v>169</v>
      </c>
    </row>
    <row r="2237" spans="1:5" x14ac:dyDescent="0.25">
      <c r="A2237">
        <v>82</v>
      </c>
      <c r="B2237">
        <v>192</v>
      </c>
      <c r="C2237">
        <v>2</v>
      </c>
      <c r="D2237">
        <v>2</v>
      </c>
      <c r="E2237" t="s">
        <v>169</v>
      </c>
    </row>
    <row r="2238" spans="1:5" x14ac:dyDescent="0.25">
      <c r="A2238">
        <v>82</v>
      </c>
      <c r="B2238">
        <v>193</v>
      </c>
      <c r="C2238">
        <v>1</v>
      </c>
      <c r="D2238">
        <v>1</v>
      </c>
      <c r="E2238" t="s">
        <v>169</v>
      </c>
    </row>
    <row r="2239" spans="1:5" x14ac:dyDescent="0.25">
      <c r="A2239">
        <v>82</v>
      </c>
      <c r="B2239">
        <v>195</v>
      </c>
      <c r="C2239">
        <v>4</v>
      </c>
      <c r="D2239">
        <v>4</v>
      </c>
      <c r="E2239" t="s">
        <v>169</v>
      </c>
    </row>
    <row r="2240" spans="1:5" x14ac:dyDescent="0.25">
      <c r="A2240">
        <v>82</v>
      </c>
      <c r="B2240">
        <v>196</v>
      </c>
      <c r="C2240">
        <v>1</v>
      </c>
      <c r="D2240">
        <v>1</v>
      </c>
      <c r="E2240" t="s">
        <v>169</v>
      </c>
    </row>
    <row r="2241" spans="1:5" x14ac:dyDescent="0.25">
      <c r="A2241">
        <v>82</v>
      </c>
      <c r="B2241">
        <v>199</v>
      </c>
      <c r="C2241">
        <v>4</v>
      </c>
      <c r="D2241">
        <v>4</v>
      </c>
      <c r="E2241" t="s">
        <v>169</v>
      </c>
    </row>
    <row r="2242" spans="1:5" x14ac:dyDescent="0.25">
      <c r="A2242">
        <v>82</v>
      </c>
      <c r="B2242">
        <v>200</v>
      </c>
      <c r="C2242">
        <v>3</v>
      </c>
      <c r="D2242">
        <v>3</v>
      </c>
      <c r="E2242" t="s">
        <v>169</v>
      </c>
    </row>
    <row r="2243" spans="1:5" x14ac:dyDescent="0.25">
      <c r="A2243">
        <v>82</v>
      </c>
      <c r="B2243">
        <v>202</v>
      </c>
      <c r="C2243">
        <v>2</v>
      </c>
      <c r="D2243">
        <v>2</v>
      </c>
      <c r="E2243" t="s">
        <v>169</v>
      </c>
    </row>
    <row r="2244" spans="1:5" x14ac:dyDescent="0.25">
      <c r="A2244">
        <v>82</v>
      </c>
      <c r="B2244">
        <v>204</v>
      </c>
      <c r="C2244">
        <v>5</v>
      </c>
      <c r="D2244">
        <v>5</v>
      </c>
      <c r="E2244" t="s">
        <v>169</v>
      </c>
    </row>
    <row r="2245" spans="1:5" x14ac:dyDescent="0.25">
      <c r="A2245">
        <v>82</v>
      </c>
      <c r="B2245">
        <v>205</v>
      </c>
      <c r="C2245">
        <v>2</v>
      </c>
      <c r="D2245">
        <v>2</v>
      </c>
      <c r="E2245" t="s">
        <v>169</v>
      </c>
    </row>
    <row r="2246" spans="1:5" x14ac:dyDescent="0.25">
      <c r="A2246">
        <v>82</v>
      </c>
      <c r="B2246">
        <v>206</v>
      </c>
      <c r="C2246">
        <v>1</v>
      </c>
      <c r="D2246">
        <v>1</v>
      </c>
      <c r="E2246" t="s">
        <v>169</v>
      </c>
    </row>
    <row r="2247" spans="1:5" x14ac:dyDescent="0.25">
      <c r="A2247">
        <v>82</v>
      </c>
      <c r="B2247">
        <v>207</v>
      </c>
      <c r="C2247">
        <v>3</v>
      </c>
      <c r="D2247">
        <v>3</v>
      </c>
      <c r="E2247" t="s">
        <v>169</v>
      </c>
    </row>
    <row r="2248" spans="1:5" x14ac:dyDescent="0.25">
      <c r="A2248">
        <v>82</v>
      </c>
      <c r="B2248">
        <v>208</v>
      </c>
      <c r="C2248">
        <v>2</v>
      </c>
      <c r="D2248">
        <v>2</v>
      </c>
      <c r="E2248" t="s">
        <v>169</v>
      </c>
    </row>
    <row r="2249" spans="1:5" x14ac:dyDescent="0.25">
      <c r="A2249">
        <v>82</v>
      </c>
      <c r="B2249">
        <v>209</v>
      </c>
      <c r="C2249">
        <v>1</v>
      </c>
      <c r="D2249">
        <v>1</v>
      </c>
      <c r="E2249" t="s">
        <v>169</v>
      </c>
    </row>
    <row r="2250" spans="1:5" x14ac:dyDescent="0.25">
      <c r="A2250">
        <v>82</v>
      </c>
      <c r="B2250">
        <v>211</v>
      </c>
      <c r="C2250">
        <v>1</v>
      </c>
      <c r="D2250">
        <v>1</v>
      </c>
      <c r="E2250" t="s">
        <v>169</v>
      </c>
    </row>
    <row r="2251" spans="1:5" x14ac:dyDescent="0.25">
      <c r="A2251">
        <v>82</v>
      </c>
      <c r="B2251">
        <v>212</v>
      </c>
      <c r="C2251">
        <v>2</v>
      </c>
      <c r="D2251">
        <v>2</v>
      </c>
      <c r="E2251" t="s">
        <v>169</v>
      </c>
    </row>
    <row r="2252" spans="1:5" x14ac:dyDescent="0.25">
      <c r="A2252">
        <v>82</v>
      </c>
      <c r="B2252">
        <v>223</v>
      </c>
      <c r="C2252">
        <v>5</v>
      </c>
      <c r="D2252">
        <v>5</v>
      </c>
      <c r="E2252" t="s">
        <v>169</v>
      </c>
    </row>
    <row r="2253" spans="1:5" x14ac:dyDescent="0.25">
      <c r="A2253">
        <v>82</v>
      </c>
      <c r="B2253">
        <v>375</v>
      </c>
      <c r="C2253">
        <v>1</v>
      </c>
      <c r="D2253">
        <v>1</v>
      </c>
      <c r="E2253" t="s">
        <v>169</v>
      </c>
    </row>
    <row r="2254" spans="1:5" x14ac:dyDescent="0.25">
      <c r="A2254">
        <v>82</v>
      </c>
      <c r="B2254">
        <v>376</v>
      </c>
      <c r="C2254">
        <v>1</v>
      </c>
      <c r="D2254">
        <v>1</v>
      </c>
      <c r="E2254" t="s">
        <v>169</v>
      </c>
    </row>
    <row r="2255" spans="1:5" x14ac:dyDescent="0.25">
      <c r="A2255">
        <v>82</v>
      </c>
      <c r="B2255">
        <v>377</v>
      </c>
      <c r="C2255">
        <v>3</v>
      </c>
      <c r="D2255">
        <v>3</v>
      </c>
      <c r="E2255" t="s">
        <v>169</v>
      </c>
    </row>
    <row r="2256" spans="1:5" x14ac:dyDescent="0.25">
      <c r="A2256">
        <v>82</v>
      </c>
      <c r="B2256">
        <v>378</v>
      </c>
      <c r="C2256">
        <v>4</v>
      </c>
      <c r="D2256">
        <v>4</v>
      </c>
      <c r="E2256" t="s">
        <v>169</v>
      </c>
    </row>
    <row r="2257" spans="1:5" x14ac:dyDescent="0.25">
      <c r="A2257">
        <v>82</v>
      </c>
      <c r="B2257">
        <v>385</v>
      </c>
      <c r="C2257">
        <v>2</v>
      </c>
      <c r="D2257">
        <v>2</v>
      </c>
      <c r="E2257" t="s">
        <v>169</v>
      </c>
    </row>
    <row r="2258" spans="1:5" x14ac:dyDescent="0.25">
      <c r="A2258">
        <v>82</v>
      </c>
      <c r="B2258">
        <v>403</v>
      </c>
      <c r="C2258">
        <v>3</v>
      </c>
      <c r="D2258">
        <v>3</v>
      </c>
      <c r="E2258" t="s">
        <v>169</v>
      </c>
    </row>
    <row r="2259" spans="1:5" x14ac:dyDescent="0.25">
      <c r="A2259">
        <v>82</v>
      </c>
      <c r="B2259">
        <v>404</v>
      </c>
      <c r="C2259">
        <v>4</v>
      </c>
      <c r="D2259">
        <v>4</v>
      </c>
      <c r="E2259" t="s">
        <v>169</v>
      </c>
    </row>
    <row r="2260" spans="1:5" x14ac:dyDescent="0.25">
      <c r="A2260">
        <v>82</v>
      </c>
      <c r="B2260">
        <v>434</v>
      </c>
      <c r="C2260">
        <v>1</v>
      </c>
      <c r="D2260">
        <v>1</v>
      </c>
      <c r="E2260" t="s">
        <v>169</v>
      </c>
    </row>
    <row r="2261" spans="1:5" x14ac:dyDescent="0.25">
      <c r="A2261">
        <v>82</v>
      </c>
      <c r="B2261">
        <v>436</v>
      </c>
      <c r="C2261">
        <v>1</v>
      </c>
      <c r="D2261">
        <v>1</v>
      </c>
      <c r="E2261" t="s">
        <v>169</v>
      </c>
    </row>
    <row r="2262" spans="1:5" x14ac:dyDescent="0.25">
      <c r="A2262">
        <v>82</v>
      </c>
      <c r="B2262">
        <v>445</v>
      </c>
      <c r="C2262">
        <v>2</v>
      </c>
      <c r="D2262">
        <v>2</v>
      </c>
      <c r="E2262" t="s">
        <v>169</v>
      </c>
    </row>
    <row r="2263" spans="1:5" x14ac:dyDescent="0.25">
      <c r="A2263">
        <v>82</v>
      </c>
      <c r="B2263">
        <v>460</v>
      </c>
      <c r="C2263">
        <v>5</v>
      </c>
      <c r="D2263">
        <v>5</v>
      </c>
      <c r="E2263" t="s">
        <v>169</v>
      </c>
    </row>
    <row r="2264" spans="1:5" x14ac:dyDescent="0.25">
      <c r="A2264">
        <v>82</v>
      </c>
      <c r="B2264">
        <v>462</v>
      </c>
      <c r="C2264">
        <v>2</v>
      </c>
      <c r="D2264">
        <v>2</v>
      </c>
      <c r="E2264" t="s">
        <v>169</v>
      </c>
    </row>
    <row r="2265" spans="1:5" x14ac:dyDescent="0.25">
      <c r="A2265">
        <v>82</v>
      </c>
      <c r="B2265">
        <v>477</v>
      </c>
      <c r="C2265">
        <v>1</v>
      </c>
      <c r="D2265">
        <v>1</v>
      </c>
      <c r="E2265" t="s">
        <v>169</v>
      </c>
    </row>
    <row r="2266" spans="1:5" x14ac:dyDescent="0.25">
      <c r="A2266">
        <v>82</v>
      </c>
      <c r="B2266">
        <v>485</v>
      </c>
      <c r="C2266">
        <v>1</v>
      </c>
      <c r="D2266">
        <v>1</v>
      </c>
      <c r="E2266" t="s">
        <v>169</v>
      </c>
    </row>
    <row r="2267" spans="1:5" x14ac:dyDescent="0.25">
      <c r="A2267">
        <v>82</v>
      </c>
      <c r="B2267">
        <v>574</v>
      </c>
      <c r="C2267">
        <v>2</v>
      </c>
      <c r="D2267">
        <v>2</v>
      </c>
      <c r="E2267" t="s">
        <v>169</v>
      </c>
    </row>
    <row r="2268" spans="1:5" x14ac:dyDescent="0.25">
      <c r="A2268">
        <v>82</v>
      </c>
      <c r="B2268">
        <v>593</v>
      </c>
      <c r="C2268">
        <v>3</v>
      </c>
      <c r="D2268">
        <v>3</v>
      </c>
      <c r="E2268" t="s">
        <v>169</v>
      </c>
    </row>
    <row r="2269" spans="1:5" x14ac:dyDescent="0.25">
      <c r="A2269">
        <v>82</v>
      </c>
      <c r="B2269">
        <v>611</v>
      </c>
      <c r="C2269">
        <v>2</v>
      </c>
      <c r="D2269">
        <v>2</v>
      </c>
      <c r="E2269" t="s">
        <v>169</v>
      </c>
    </row>
    <row r="2270" spans="1:5" x14ac:dyDescent="0.25">
      <c r="A2270">
        <v>82</v>
      </c>
      <c r="B2270">
        <v>614</v>
      </c>
      <c r="C2270">
        <v>2</v>
      </c>
      <c r="D2270">
        <v>2</v>
      </c>
      <c r="E2270" t="s">
        <v>169</v>
      </c>
    </row>
    <row r="2271" spans="1:5" x14ac:dyDescent="0.25">
      <c r="A2271">
        <v>82</v>
      </c>
      <c r="B2271">
        <v>620</v>
      </c>
      <c r="C2271">
        <v>7</v>
      </c>
      <c r="D2271">
        <v>7</v>
      </c>
      <c r="E2271" t="s">
        <v>169</v>
      </c>
    </row>
    <row r="2272" spans="1:5" x14ac:dyDescent="0.25">
      <c r="A2272">
        <v>82</v>
      </c>
      <c r="B2272">
        <v>625</v>
      </c>
      <c r="C2272">
        <v>1</v>
      </c>
      <c r="D2272">
        <v>1</v>
      </c>
      <c r="E2272" t="s">
        <v>169</v>
      </c>
    </row>
    <row r="2273" spans="1:6" x14ac:dyDescent="0.25">
      <c r="A2273">
        <v>82</v>
      </c>
      <c r="B2273">
        <v>640</v>
      </c>
      <c r="C2273">
        <v>2</v>
      </c>
      <c r="D2273">
        <v>2</v>
      </c>
      <c r="E2273" t="s">
        <v>169</v>
      </c>
    </row>
    <row r="2274" spans="1:6" x14ac:dyDescent="0.25">
      <c r="A2274">
        <v>82</v>
      </c>
      <c r="B2274">
        <v>651</v>
      </c>
      <c r="C2274">
        <v>2</v>
      </c>
      <c r="D2274">
        <v>2</v>
      </c>
      <c r="E2274" t="s">
        <v>169</v>
      </c>
    </row>
    <row r="2275" spans="1:6" x14ac:dyDescent="0.25">
      <c r="A2275">
        <v>82</v>
      </c>
      <c r="B2275">
        <v>658</v>
      </c>
      <c r="C2275">
        <v>2</v>
      </c>
      <c r="D2275">
        <v>2</v>
      </c>
      <c r="E2275" t="s">
        <v>169</v>
      </c>
    </row>
    <row r="2276" spans="1:6" x14ac:dyDescent="0.25">
      <c r="A2276">
        <v>82</v>
      </c>
      <c r="B2276">
        <v>659</v>
      </c>
      <c r="C2276">
        <v>2</v>
      </c>
      <c r="D2276">
        <v>2</v>
      </c>
      <c r="E2276" t="s">
        <v>169</v>
      </c>
    </row>
    <row r="2277" spans="1:6" x14ac:dyDescent="0.25">
      <c r="A2277">
        <v>82</v>
      </c>
      <c r="B2277">
        <v>692</v>
      </c>
      <c r="C2277">
        <v>4</v>
      </c>
      <c r="D2277">
        <v>4</v>
      </c>
      <c r="E2277" t="s">
        <v>169</v>
      </c>
    </row>
    <row r="2278" spans="1:6" x14ac:dyDescent="0.25">
      <c r="A2278">
        <v>82</v>
      </c>
      <c r="B2278">
        <v>696</v>
      </c>
      <c r="C2278">
        <v>7</v>
      </c>
      <c r="D2278">
        <v>7</v>
      </c>
      <c r="E2278" t="s">
        <v>169</v>
      </c>
    </row>
    <row r="2279" spans="1:6" x14ac:dyDescent="0.25">
      <c r="A2279">
        <v>82</v>
      </c>
      <c r="B2279">
        <v>699</v>
      </c>
      <c r="C2279">
        <v>1</v>
      </c>
      <c r="D2279">
        <v>1</v>
      </c>
      <c r="E2279" t="s">
        <v>169</v>
      </c>
      <c r="F2279">
        <f>SUM(D2224:D2279)</f>
        <v>139</v>
      </c>
    </row>
    <row r="2280" spans="1:6" x14ac:dyDescent="0.25">
      <c r="A2280">
        <v>83</v>
      </c>
      <c r="B2280">
        <v>44</v>
      </c>
      <c r="C2280">
        <v>2</v>
      </c>
      <c r="D2280">
        <v>2</v>
      </c>
      <c r="E2280" t="s">
        <v>173</v>
      </c>
    </row>
    <row r="2281" spans="1:6" x14ac:dyDescent="0.25">
      <c r="A2281">
        <v>83</v>
      </c>
      <c r="B2281">
        <v>287</v>
      </c>
      <c r="C2281">
        <v>1</v>
      </c>
      <c r="D2281">
        <v>1</v>
      </c>
      <c r="E2281" t="s">
        <v>173</v>
      </c>
    </row>
    <row r="2282" spans="1:6" x14ac:dyDescent="0.25">
      <c r="A2282">
        <v>83</v>
      </c>
      <c r="B2282">
        <v>289</v>
      </c>
      <c r="C2282">
        <v>1</v>
      </c>
      <c r="D2282">
        <v>1</v>
      </c>
      <c r="E2282" t="s">
        <v>173</v>
      </c>
    </row>
    <row r="2283" spans="1:6" x14ac:dyDescent="0.25">
      <c r="A2283">
        <v>83</v>
      </c>
      <c r="B2283">
        <v>703</v>
      </c>
      <c r="C2283">
        <v>1</v>
      </c>
      <c r="D2283">
        <v>1</v>
      </c>
      <c r="E2283" t="s">
        <v>173</v>
      </c>
    </row>
    <row r="2284" spans="1:6" x14ac:dyDescent="0.25">
      <c r="A2284">
        <v>83</v>
      </c>
      <c r="B2284">
        <v>730</v>
      </c>
      <c r="C2284">
        <v>1</v>
      </c>
      <c r="D2284">
        <v>1</v>
      </c>
      <c r="E2284" t="s">
        <v>173</v>
      </c>
    </row>
    <row r="2285" spans="1:6" x14ac:dyDescent="0.25">
      <c r="A2285">
        <v>83</v>
      </c>
      <c r="B2285">
        <v>738</v>
      </c>
      <c r="C2285">
        <v>3</v>
      </c>
      <c r="D2285">
        <v>3</v>
      </c>
      <c r="E2285" t="s">
        <v>173</v>
      </c>
    </row>
    <row r="2286" spans="1:6" x14ac:dyDescent="0.25">
      <c r="A2286">
        <v>113</v>
      </c>
      <c r="B2286">
        <v>351</v>
      </c>
      <c r="C2286">
        <v>2</v>
      </c>
      <c r="D2286">
        <v>2</v>
      </c>
      <c r="E2286" t="s">
        <v>173</v>
      </c>
    </row>
    <row r="2287" spans="1:6" x14ac:dyDescent="0.25">
      <c r="A2287">
        <v>113</v>
      </c>
      <c r="B2287">
        <v>352</v>
      </c>
      <c r="C2287">
        <v>1</v>
      </c>
      <c r="D2287">
        <v>1</v>
      </c>
      <c r="E2287" t="s">
        <v>173</v>
      </c>
    </row>
    <row r="2288" spans="1:6" x14ac:dyDescent="0.25">
      <c r="A2288">
        <v>113</v>
      </c>
      <c r="B2288">
        <v>355</v>
      </c>
      <c r="C2288">
        <v>3</v>
      </c>
      <c r="D2288">
        <v>3</v>
      </c>
      <c r="E2288" t="s">
        <v>173</v>
      </c>
    </row>
    <row r="2289" spans="1:5" x14ac:dyDescent="0.25">
      <c r="A2289">
        <v>113</v>
      </c>
      <c r="B2289">
        <v>358</v>
      </c>
      <c r="C2289">
        <v>2</v>
      </c>
      <c r="D2289">
        <v>2</v>
      </c>
      <c r="E2289" t="s">
        <v>173</v>
      </c>
    </row>
    <row r="2290" spans="1:5" x14ac:dyDescent="0.25">
      <c r="A2290">
        <v>113</v>
      </c>
      <c r="B2290">
        <v>359</v>
      </c>
      <c r="C2290">
        <v>3</v>
      </c>
      <c r="D2290">
        <v>3</v>
      </c>
      <c r="E2290" t="s">
        <v>173</v>
      </c>
    </row>
    <row r="2291" spans="1:5" x14ac:dyDescent="0.25">
      <c r="A2291">
        <v>113</v>
      </c>
      <c r="B2291">
        <v>361</v>
      </c>
      <c r="C2291">
        <v>2</v>
      </c>
      <c r="D2291">
        <v>2</v>
      </c>
      <c r="E2291" t="s">
        <v>173</v>
      </c>
    </row>
    <row r="2292" spans="1:5" x14ac:dyDescent="0.25">
      <c r="A2292">
        <v>113</v>
      </c>
      <c r="B2292">
        <v>362</v>
      </c>
      <c r="C2292">
        <v>2</v>
      </c>
      <c r="D2292">
        <v>2</v>
      </c>
      <c r="E2292" t="s">
        <v>173</v>
      </c>
    </row>
    <row r="2293" spans="1:5" x14ac:dyDescent="0.25">
      <c r="A2293">
        <v>113</v>
      </c>
      <c r="B2293">
        <v>364</v>
      </c>
      <c r="C2293">
        <v>3</v>
      </c>
      <c r="D2293">
        <v>3</v>
      </c>
      <c r="E2293" t="s">
        <v>173</v>
      </c>
    </row>
    <row r="2294" spans="1:5" x14ac:dyDescent="0.25">
      <c r="A2294">
        <v>113</v>
      </c>
      <c r="B2294">
        <v>365</v>
      </c>
      <c r="C2294">
        <v>1</v>
      </c>
      <c r="D2294">
        <v>1</v>
      </c>
      <c r="E2294" t="s">
        <v>173</v>
      </c>
    </row>
    <row r="2295" spans="1:5" x14ac:dyDescent="0.25">
      <c r="A2295">
        <v>113</v>
      </c>
      <c r="B2295">
        <v>366</v>
      </c>
      <c r="C2295">
        <v>2</v>
      </c>
      <c r="D2295">
        <v>2</v>
      </c>
      <c r="E2295" t="s">
        <v>173</v>
      </c>
    </row>
    <row r="2296" spans="1:5" x14ac:dyDescent="0.25">
      <c r="A2296">
        <v>113</v>
      </c>
      <c r="B2296">
        <v>369</v>
      </c>
      <c r="C2296">
        <v>3</v>
      </c>
      <c r="D2296">
        <v>3</v>
      </c>
      <c r="E2296" t="s">
        <v>173</v>
      </c>
    </row>
    <row r="2297" spans="1:5" x14ac:dyDescent="0.25">
      <c r="A2297">
        <v>113</v>
      </c>
      <c r="B2297">
        <v>371</v>
      </c>
      <c r="C2297">
        <v>1</v>
      </c>
      <c r="D2297">
        <v>1</v>
      </c>
      <c r="E2297" t="s">
        <v>173</v>
      </c>
    </row>
    <row r="2298" spans="1:5" x14ac:dyDescent="0.25">
      <c r="A2298">
        <v>113</v>
      </c>
      <c r="B2298">
        <v>372</v>
      </c>
      <c r="C2298">
        <v>1</v>
      </c>
      <c r="D2298">
        <v>1</v>
      </c>
      <c r="E2298" t="s">
        <v>173</v>
      </c>
    </row>
    <row r="2299" spans="1:5" x14ac:dyDescent="0.25">
      <c r="A2299">
        <v>113</v>
      </c>
      <c r="B2299">
        <v>373</v>
      </c>
      <c r="C2299">
        <v>1</v>
      </c>
      <c r="D2299">
        <v>1</v>
      </c>
      <c r="E2299" t="s">
        <v>173</v>
      </c>
    </row>
    <row r="2300" spans="1:5" x14ac:dyDescent="0.25">
      <c r="A2300">
        <v>113</v>
      </c>
      <c r="B2300">
        <v>388</v>
      </c>
      <c r="C2300">
        <v>1</v>
      </c>
      <c r="D2300">
        <v>1</v>
      </c>
      <c r="E2300" t="s">
        <v>173</v>
      </c>
    </row>
    <row r="2301" spans="1:5" x14ac:dyDescent="0.25">
      <c r="A2301">
        <v>113</v>
      </c>
      <c r="B2301">
        <v>389</v>
      </c>
      <c r="C2301">
        <v>1</v>
      </c>
      <c r="D2301">
        <v>1</v>
      </c>
      <c r="E2301" t="s">
        <v>173</v>
      </c>
    </row>
    <row r="2302" spans="1:5" x14ac:dyDescent="0.25">
      <c r="A2302">
        <v>113</v>
      </c>
      <c r="B2302">
        <v>390</v>
      </c>
      <c r="C2302">
        <v>1</v>
      </c>
      <c r="D2302">
        <v>1</v>
      </c>
      <c r="E2302" t="s">
        <v>173</v>
      </c>
    </row>
    <row r="2303" spans="1:5" x14ac:dyDescent="0.25">
      <c r="A2303">
        <v>113</v>
      </c>
      <c r="B2303">
        <v>392</v>
      </c>
      <c r="C2303">
        <v>1</v>
      </c>
      <c r="D2303">
        <v>1</v>
      </c>
      <c r="E2303" t="s">
        <v>173</v>
      </c>
    </row>
    <row r="2304" spans="1:5" x14ac:dyDescent="0.25">
      <c r="A2304">
        <v>113</v>
      </c>
      <c r="B2304">
        <v>393</v>
      </c>
      <c r="C2304">
        <v>4</v>
      </c>
      <c r="D2304">
        <v>4</v>
      </c>
      <c r="E2304" t="s">
        <v>173</v>
      </c>
    </row>
    <row r="2305" spans="1:5" x14ac:dyDescent="0.25">
      <c r="A2305">
        <v>113</v>
      </c>
      <c r="B2305">
        <v>396</v>
      </c>
      <c r="C2305">
        <v>1</v>
      </c>
      <c r="D2305">
        <v>1</v>
      </c>
      <c r="E2305" t="s">
        <v>173</v>
      </c>
    </row>
    <row r="2306" spans="1:5" x14ac:dyDescent="0.25">
      <c r="A2306">
        <v>113</v>
      </c>
      <c r="B2306">
        <v>397</v>
      </c>
      <c r="C2306">
        <v>1</v>
      </c>
      <c r="D2306">
        <v>1</v>
      </c>
      <c r="E2306" t="s">
        <v>173</v>
      </c>
    </row>
    <row r="2307" spans="1:5" x14ac:dyDescent="0.25">
      <c r="A2307">
        <v>113</v>
      </c>
      <c r="B2307">
        <v>415</v>
      </c>
      <c r="C2307">
        <v>1</v>
      </c>
      <c r="D2307">
        <v>1</v>
      </c>
      <c r="E2307" t="s">
        <v>173</v>
      </c>
    </row>
    <row r="2308" spans="1:5" x14ac:dyDescent="0.25">
      <c r="A2308">
        <v>113</v>
      </c>
      <c r="B2308">
        <v>420</v>
      </c>
      <c r="C2308">
        <v>1</v>
      </c>
      <c r="D2308">
        <v>1</v>
      </c>
      <c r="E2308" t="s">
        <v>173</v>
      </c>
    </row>
    <row r="2309" spans="1:5" x14ac:dyDescent="0.25">
      <c r="A2309">
        <v>113</v>
      </c>
      <c r="B2309">
        <v>422</v>
      </c>
      <c r="C2309">
        <v>1</v>
      </c>
      <c r="D2309">
        <v>1</v>
      </c>
      <c r="E2309" t="s">
        <v>173</v>
      </c>
    </row>
    <row r="2310" spans="1:5" x14ac:dyDescent="0.25">
      <c r="A2310">
        <v>113</v>
      </c>
      <c r="B2310">
        <v>423</v>
      </c>
      <c r="C2310">
        <v>1</v>
      </c>
      <c r="D2310">
        <v>1</v>
      </c>
      <c r="E2310" t="s">
        <v>173</v>
      </c>
    </row>
    <row r="2311" spans="1:5" x14ac:dyDescent="0.25">
      <c r="A2311">
        <v>113</v>
      </c>
      <c r="B2311">
        <v>433</v>
      </c>
      <c r="C2311">
        <v>1</v>
      </c>
      <c r="D2311">
        <v>1</v>
      </c>
      <c r="E2311" t="s">
        <v>173</v>
      </c>
    </row>
    <row r="2312" spans="1:5" x14ac:dyDescent="0.25">
      <c r="A2312">
        <v>115</v>
      </c>
      <c r="B2312">
        <v>106</v>
      </c>
      <c r="C2312">
        <v>2</v>
      </c>
      <c r="D2312">
        <v>2</v>
      </c>
      <c r="E2312" t="s">
        <v>173</v>
      </c>
    </row>
    <row r="2313" spans="1:5" x14ac:dyDescent="0.25">
      <c r="A2313">
        <v>115</v>
      </c>
      <c r="B2313">
        <v>108</v>
      </c>
      <c r="C2313">
        <v>1</v>
      </c>
      <c r="D2313">
        <v>1</v>
      </c>
      <c r="E2313" t="s">
        <v>173</v>
      </c>
    </row>
    <row r="2314" spans="1:5" x14ac:dyDescent="0.25">
      <c r="A2314">
        <v>115</v>
      </c>
      <c r="B2314">
        <v>109</v>
      </c>
      <c r="C2314">
        <v>1</v>
      </c>
      <c r="D2314">
        <v>1</v>
      </c>
      <c r="E2314" t="s">
        <v>173</v>
      </c>
    </row>
    <row r="2315" spans="1:5" x14ac:dyDescent="0.25">
      <c r="A2315">
        <v>115</v>
      </c>
      <c r="B2315">
        <v>111</v>
      </c>
      <c r="C2315">
        <v>1</v>
      </c>
      <c r="D2315">
        <v>1</v>
      </c>
      <c r="E2315" t="s">
        <v>173</v>
      </c>
    </row>
    <row r="2316" spans="1:5" x14ac:dyDescent="0.25">
      <c r="A2316">
        <v>115</v>
      </c>
      <c r="B2316">
        <v>112</v>
      </c>
      <c r="C2316">
        <v>3</v>
      </c>
      <c r="D2316">
        <v>3</v>
      </c>
      <c r="E2316" t="s">
        <v>173</v>
      </c>
    </row>
    <row r="2317" spans="1:5" x14ac:dyDescent="0.25">
      <c r="A2317">
        <v>115</v>
      </c>
      <c r="B2317">
        <v>113</v>
      </c>
      <c r="C2317">
        <v>3</v>
      </c>
      <c r="D2317">
        <v>3</v>
      </c>
      <c r="E2317" t="s">
        <v>173</v>
      </c>
    </row>
    <row r="2318" spans="1:5" x14ac:dyDescent="0.25">
      <c r="A2318">
        <v>115</v>
      </c>
      <c r="B2318">
        <v>114</v>
      </c>
      <c r="C2318">
        <v>2</v>
      </c>
      <c r="D2318">
        <v>2</v>
      </c>
      <c r="E2318" t="s">
        <v>173</v>
      </c>
    </row>
    <row r="2319" spans="1:5" x14ac:dyDescent="0.25">
      <c r="A2319">
        <v>115</v>
      </c>
      <c r="B2319">
        <v>115</v>
      </c>
      <c r="C2319">
        <v>5</v>
      </c>
      <c r="D2319">
        <v>5</v>
      </c>
      <c r="E2319" t="s">
        <v>173</v>
      </c>
    </row>
    <row r="2320" spans="1:5" x14ac:dyDescent="0.25">
      <c r="A2320">
        <v>115</v>
      </c>
      <c r="B2320">
        <v>163</v>
      </c>
      <c r="C2320">
        <v>1</v>
      </c>
      <c r="D2320">
        <v>1</v>
      </c>
      <c r="E2320" t="s">
        <v>173</v>
      </c>
    </row>
    <row r="2321" spans="1:6" x14ac:dyDescent="0.25">
      <c r="A2321">
        <v>115</v>
      </c>
      <c r="B2321">
        <v>164</v>
      </c>
      <c r="C2321">
        <v>1</v>
      </c>
      <c r="D2321">
        <v>1</v>
      </c>
      <c r="E2321" t="s">
        <v>173</v>
      </c>
    </row>
    <row r="2322" spans="1:6" x14ac:dyDescent="0.25">
      <c r="A2322">
        <v>115</v>
      </c>
      <c r="B2322">
        <v>165</v>
      </c>
      <c r="C2322">
        <v>1</v>
      </c>
      <c r="D2322">
        <v>1</v>
      </c>
      <c r="E2322" t="s">
        <v>173</v>
      </c>
    </row>
    <row r="2323" spans="1:6" x14ac:dyDescent="0.25">
      <c r="A2323">
        <v>115</v>
      </c>
      <c r="B2323">
        <v>166</v>
      </c>
      <c r="C2323">
        <v>2</v>
      </c>
      <c r="D2323">
        <v>2</v>
      </c>
      <c r="E2323" t="s">
        <v>173</v>
      </c>
    </row>
    <row r="2324" spans="1:6" x14ac:dyDescent="0.25">
      <c r="A2324">
        <v>115</v>
      </c>
      <c r="B2324">
        <v>167</v>
      </c>
      <c r="C2324">
        <v>2</v>
      </c>
      <c r="D2324">
        <v>2</v>
      </c>
      <c r="E2324" t="s">
        <v>173</v>
      </c>
    </row>
    <row r="2325" spans="1:6" x14ac:dyDescent="0.25">
      <c r="A2325">
        <v>115</v>
      </c>
      <c r="B2325">
        <v>169</v>
      </c>
      <c r="C2325">
        <v>2</v>
      </c>
      <c r="D2325">
        <v>2</v>
      </c>
      <c r="E2325" t="s">
        <v>173</v>
      </c>
    </row>
    <row r="2326" spans="1:6" x14ac:dyDescent="0.25">
      <c r="A2326">
        <v>115</v>
      </c>
      <c r="B2326">
        <v>170</v>
      </c>
      <c r="C2326">
        <v>1</v>
      </c>
      <c r="D2326">
        <v>1</v>
      </c>
      <c r="E2326" t="s">
        <v>173</v>
      </c>
    </row>
    <row r="2327" spans="1:6" x14ac:dyDescent="0.25">
      <c r="A2327">
        <v>115</v>
      </c>
      <c r="B2327">
        <v>173</v>
      </c>
      <c r="C2327">
        <v>1</v>
      </c>
      <c r="D2327">
        <v>1</v>
      </c>
      <c r="E2327" t="s">
        <v>173</v>
      </c>
      <c r="F2327">
        <f>SUM(D2280:D2327)</f>
        <v>80</v>
      </c>
    </row>
    <row r="2328" spans="1:6" x14ac:dyDescent="0.25">
      <c r="A2328">
        <v>3</v>
      </c>
      <c r="B2328">
        <v>152</v>
      </c>
      <c r="C2328">
        <v>1</v>
      </c>
      <c r="D2328">
        <v>1</v>
      </c>
      <c r="E2328" t="s">
        <v>162</v>
      </c>
    </row>
    <row r="2329" spans="1:6" x14ac:dyDescent="0.25">
      <c r="A2329">
        <v>3</v>
      </c>
      <c r="B2329">
        <v>154</v>
      </c>
      <c r="C2329">
        <v>1</v>
      </c>
      <c r="D2329">
        <v>1</v>
      </c>
      <c r="E2329" t="s">
        <v>162</v>
      </c>
    </row>
    <row r="2330" spans="1:6" x14ac:dyDescent="0.25">
      <c r="A2330">
        <v>3</v>
      </c>
      <c r="B2330">
        <v>155</v>
      </c>
      <c r="C2330">
        <v>3</v>
      </c>
      <c r="D2330">
        <v>3</v>
      </c>
      <c r="E2330" t="s">
        <v>162</v>
      </c>
      <c r="F2330">
        <v>5</v>
      </c>
    </row>
    <row r="2331" spans="1:6" x14ac:dyDescent="0.25">
      <c r="A2331">
        <v>1</v>
      </c>
      <c r="B2331">
        <v>357</v>
      </c>
      <c r="C2331">
        <v>2</v>
      </c>
      <c r="D2331">
        <v>2</v>
      </c>
      <c r="E2331" t="s">
        <v>148</v>
      </c>
    </row>
    <row r="2332" spans="1:6" x14ac:dyDescent="0.25">
      <c r="A2332">
        <v>1</v>
      </c>
      <c r="B2332">
        <v>359</v>
      </c>
      <c r="C2332">
        <v>1</v>
      </c>
      <c r="D2332">
        <v>1</v>
      </c>
      <c r="E2332" t="s">
        <v>148</v>
      </c>
    </row>
    <row r="2333" spans="1:6" x14ac:dyDescent="0.25">
      <c r="A2333">
        <v>1</v>
      </c>
      <c r="B2333">
        <v>599</v>
      </c>
      <c r="C2333">
        <v>1</v>
      </c>
      <c r="D2333">
        <v>1</v>
      </c>
      <c r="E2333" t="s">
        <v>148</v>
      </c>
    </row>
    <row r="2334" spans="1:6" x14ac:dyDescent="0.25">
      <c r="A2334">
        <v>1</v>
      </c>
      <c r="B2334">
        <v>825</v>
      </c>
      <c r="C2334">
        <v>1</v>
      </c>
      <c r="D2334">
        <v>1</v>
      </c>
      <c r="E2334" t="s">
        <v>148</v>
      </c>
    </row>
    <row r="2335" spans="1:6" x14ac:dyDescent="0.25">
      <c r="A2335">
        <v>1</v>
      </c>
      <c r="B2335">
        <v>857</v>
      </c>
      <c r="C2335">
        <v>1</v>
      </c>
      <c r="D2335">
        <v>1</v>
      </c>
      <c r="E2335" t="s">
        <v>148</v>
      </c>
      <c r="F2335">
        <f>SUM(D2331:D2335)</f>
        <v>6</v>
      </c>
    </row>
    <row r="2336" spans="1:6" x14ac:dyDescent="0.25">
      <c r="A2336">
        <v>117</v>
      </c>
      <c r="B2336">
        <v>147</v>
      </c>
      <c r="C2336">
        <v>2</v>
      </c>
      <c r="D2336">
        <v>2</v>
      </c>
      <c r="E2336" t="s">
        <v>219</v>
      </c>
    </row>
    <row r="2337" spans="1:6" x14ac:dyDescent="0.25">
      <c r="A2337">
        <v>117</v>
      </c>
      <c r="B2337">
        <v>148</v>
      </c>
      <c r="C2337">
        <v>2</v>
      </c>
      <c r="D2337">
        <v>2</v>
      </c>
      <c r="E2337" t="s">
        <v>219</v>
      </c>
    </row>
    <row r="2338" spans="1:6" x14ac:dyDescent="0.25">
      <c r="A2338">
        <v>117</v>
      </c>
      <c r="B2338">
        <v>149</v>
      </c>
      <c r="C2338">
        <v>6</v>
      </c>
      <c r="D2338">
        <v>6</v>
      </c>
      <c r="E2338" t="s">
        <v>219</v>
      </c>
    </row>
    <row r="2339" spans="1:6" x14ac:dyDescent="0.25">
      <c r="A2339">
        <v>117</v>
      </c>
      <c r="B2339">
        <v>150</v>
      </c>
      <c r="C2339">
        <v>1</v>
      </c>
      <c r="D2339">
        <v>1</v>
      </c>
      <c r="E2339" t="s">
        <v>219</v>
      </c>
    </row>
    <row r="2340" spans="1:6" x14ac:dyDescent="0.25">
      <c r="A2340">
        <v>117</v>
      </c>
      <c r="B2340">
        <v>151</v>
      </c>
      <c r="C2340">
        <v>3</v>
      </c>
      <c r="D2340">
        <v>3</v>
      </c>
      <c r="E2340" t="s">
        <v>219</v>
      </c>
    </row>
    <row r="2341" spans="1:6" x14ac:dyDescent="0.25">
      <c r="A2341">
        <v>117</v>
      </c>
      <c r="B2341">
        <v>320</v>
      </c>
      <c r="C2341">
        <v>2</v>
      </c>
      <c r="D2341">
        <v>2</v>
      </c>
      <c r="E2341" t="s">
        <v>219</v>
      </c>
    </row>
    <row r="2342" spans="1:6" x14ac:dyDescent="0.25">
      <c r="A2342">
        <v>117</v>
      </c>
      <c r="B2342">
        <v>405</v>
      </c>
      <c r="C2342">
        <v>2</v>
      </c>
      <c r="D2342">
        <v>2</v>
      </c>
      <c r="E2342" t="s">
        <v>219</v>
      </c>
      <c r="F2342">
        <v>18</v>
      </c>
    </row>
    <row r="2343" spans="1:6" x14ac:dyDescent="0.25">
      <c r="A2343">
        <v>94</v>
      </c>
      <c r="B2343">
        <v>866</v>
      </c>
      <c r="C2343">
        <v>2</v>
      </c>
      <c r="D2343">
        <v>2</v>
      </c>
      <c r="E2343" t="s">
        <v>186</v>
      </c>
    </row>
    <row r="2344" spans="1:6" x14ac:dyDescent="0.25">
      <c r="A2344">
        <v>94</v>
      </c>
      <c r="B2344">
        <v>871</v>
      </c>
      <c r="C2344">
        <v>1</v>
      </c>
      <c r="D2344">
        <v>1</v>
      </c>
      <c r="E2344" t="s">
        <v>186</v>
      </c>
    </row>
    <row r="2345" spans="1:6" x14ac:dyDescent="0.25">
      <c r="A2345">
        <v>94</v>
      </c>
      <c r="B2345">
        <v>872</v>
      </c>
      <c r="C2345">
        <v>1</v>
      </c>
      <c r="D2345">
        <v>1</v>
      </c>
      <c r="E2345" t="s">
        <v>186</v>
      </c>
    </row>
    <row r="2346" spans="1:6" x14ac:dyDescent="0.25">
      <c r="A2346">
        <v>94</v>
      </c>
      <c r="B2346">
        <v>878</v>
      </c>
      <c r="C2346">
        <v>1</v>
      </c>
      <c r="D2346">
        <v>1</v>
      </c>
      <c r="E2346" t="s">
        <v>186</v>
      </c>
    </row>
    <row r="2347" spans="1:6" x14ac:dyDescent="0.25">
      <c r="A2347">
        <v>94</v>
      </c>
      <c r="B2347">
        <v>880</v>
      </c>
      <c r="C2347">
        <v>1</v>
      </c>
      <c r="D2347">
        <v>1</v>
      </c>
      <c r="E2347" t="s">
        <v>186</v>
      </c>
    </row>
    <row r="2348" spans="1:6" x14ac:dyDescent="0.25">
      <c r="A2348">
        <v>94</v>
      </c>
      <c r="B2348">
        <v>887</v>
      </c>
      <c r="C2348">
        <v>1</v>
      </c>
      <c r="D2348">
        <v>1</v>
      </c>
      <c r="E2348" t="s">
        <v>186</v>
      </c>
    </row>
    <row r="2349" spans="1:6" x14ac:dyDescent="0.25">
      <c r="A2349">
        <v>94</v>
      </c>
      <c r="B2349">
        <v>890</v>
      </c>
      <c r="C2349">
        <v>1</v>
      </c>
      <c r="D2349">
        <v>1</v>
      </c>
      <c r="E2349" t="s">
        <v>186</v>
      </c>
    </row>
    <row r="2350" spans="1:6" x14ac:dyDescent="0.25">
      <c r="A2350">
        <v>94</v>
      </c>
      <c r="B2350">
        <v>895</v>
      </c>
      <c r="C2350">
        <v>1</v>
      </c>
      <c r="D2350">
        <v>1</v>
      </c>
      <c r="E2350" t="s">
        <v>186</v>
      </c>
    </row>
    <row r="2351" spans="1:6" x14ac:dyDescent="0.25">
      <c r="A2351">
        <v>94</v>
      </c>
      <c r="B2351">
        <v>896</v>
      </c>
      <c r="C2351">
        <v>2</v>
      </c>
      <c r="D2351">
        <v>2</v>
      </c>
      <c r="E2351" t="s">
        <v>186</v>
      </c>
    </row>
    <row r="2352" spans="1:6" x14ac:dyDescent="0.25">
      <c r="A2352">
        <v>94</v>
      </c>
      <c r="B2352">
        <v>899</v>
      </c>
      <c r="C2352">
        <v>1</v>
      </c>
      <c r="D2352">
        <v>1</v>
      </c>
      <c r="E2352" t="s">
        <v>186</v>
      </c>
    </row>
    <row r="2353" spans="1:6" x14ac:dyDescent="0.25">
      <c r="A2353">
        <v>94</v>
      </c>
      <c r="B2353">
        <v>900</v>
      </c>
      <c r="C2353">
        <v>1</v>
      </c>
      <c r="D2353">
        <v>1</v>
      </c>
      <c r="E2353" t="s">
        <v>186</v>
      </c>
    </row>
    <row r="2354" spans="1:6" x14ac:dyDescent="0.25">
      <c r="A2354">
        <v>94</v>
      </c>
      <c r="B2354">
        <v>942</v>
      </c>
      <c r="C2354">
        <v>1</v>
      </c>
      <c r="D2354">
        <v>1</v>
      </c>
      <c r="E2354" t="s">
        <v>186</v>
      </c>
      <c r="F2354">
        <f>SUM(D2343:D2354)</f>
        <v>14</v>
      </c>
    </row>
    <row r="2355" spans="1:6" x14ac:dyDescent="0.25">
      <c r="A2355">
        <v>83</v>
      </c>
      <c r="B2355">
        <v>232</v>
      </c>
      <c r="C2355">
        <v>1</v>
      </c>
      <c r="D2355">
        <v>1</v>
      </c>
      <c r="E2355" t="s">
        <v>178</v>
      </c>
    </row>
    <row r="2356" spans="1:6" x14ac:dyDescent="0.25">
      <c r="A2356">
        <v>83</v>
      </c>
      <c r="B2356">
        <v>235</v>
      </c>
      <c r="C2356">
        <v>1</v>
      </c>
      <c r="D2356">
        <v>1</v>
      </c>
      <c r="E2356" t="s">
        <v>178</v>
      </c>
    </row>
    <row r="2357" spans="1:6" x14ac:dyDescent="0.25">
      <c r="A2357">
        <v>83</v>
      </c>
      <c r="B2357">
        <v>236</v>
      </c>
      <c r="C2357">
        <v>2</v>
      </c>
      <c r="D2357">
        <v>2</v>
      </c>
      <c r="E2357" t="s">
        <v>178</v>
      </c>
    </row>
    <row r="2358" spans="1:6" x14ac:dyDescent="0.25">
      <c r="A2358">
        <v>83</v>
      </c>
      <c r="B2358">
        <v>242</v>
      </c>
      <c r="C2358">
        <v>1</v>
      </c>
      <c r="D2358">
        <v>1</v>
      </c>
      <c r="E2358" t="s">
        <v>178</v>
      </c>
    </row>
    <row r="2359" spans="1:6" x14ac:dyDescent="0.25">
      <c r="A2359">
        <v>83</v>
      </c>
      <c r="B2359">
        <v>243</v>
      </c>
      <c r="C2359">
        <v>2</v>
      </c>
      <c r="D2359">
        <v>2</v>
      </c>
      <c r="E2359" t="s">
        <v>178</v>
      </c>
    </row>
    <row r="2360" spans="1:6" x14ac:dyDescent="0.25">
      <c r="A2360">
        <v>83</v>
      </c>
      <c r="B2360">
        <v>245</v>
      </c>
      <c r="C2360">
        <v>1</v>
      </c>
      <c r="D2360">
        <v>1</v>
      </c>
      <c r="E2360" t="s">
        <v>178</v>
      </c>
    </row>
    <row r="2361" spans="1:6" x14ac:dyDescent="0.25">
      <c r="A2361">
        <v>83</v>
      </c>
      <c r="B2361">
        <v>247</v>
      </c>
      <c r="C2361">
        <v>3</v>
      </c>
      <c r="D2361">
        <v>3</v>
      </c>
      <c r="E2361" t="s">
        <v>178</v>
      </c>
    </row>
    <row r="2362" spans="1:6" x14ac:dyDescent="0.25">
      <c r="A2362">
        <v>83</v>
      </c>
      <c r="B2362">
        <v>249</v>
      </c>
      <c r="C2362">
        <v>1</v>
      </c>
      <c r="D2362">
        <v>1</v>
      </c>
      <c r="E2362" t="s">
        <v>178</v>
      </c>
    </row>
    <row r="2363" spans="1:6" x14ac:dyDescent="0.25">
      <c r="A2363">
        <v>83</v>
      </c>
      <c r="B2363">
        <v>250</v>
      </c>
      <c r="C2363">
        <v>1</v>
      </c>
      <c r="D2363">
        <v>1</v>
      </c>
      <c r="E2363" t="s">
        <v>178</v>
      </c>
    </row>
    <row r="2364" spans="1:6" x14ac:dyDescent="0.25">
      <c r="A2364">
        <v>83</v>
      </c>
      <c r="B2364">
        <v>251</v>
      </c>
      <c r="C2364">
        <v>1</v>
      </c>
      <c r="D2364">
        <v>1</v>
      </c>
      <c r="E2364" t="s">
        <v>178</v>
      </c>
    </row>
    <row r="2365" spans="1:6" x14ac:dyDescent="0.25">
      <c r="A2365">
        <v>83</v>
      </c>
      <c r="B2365">
        <v>540</v>
      </c>
      <c r="C2365">
        <v>1</v>
      </c>
      <c r="D2365">
        <v>1</v>
      </c>
      <c r="E2365" t="s">
        <v>178</v>
      </c>
    </row>
    <row r="2366" spans="1:6" x14ac:dyDescent="0.25">
      <c r="A2366">
        <v>83</v>
      </c>
      <c r="B2366">
        <v>552</v>
      </c>
      <c r="C2366">
        <v>1</v>
      </c>
      <c r="D2366">
        <v>1</v>
      </c>
      <c r="E2366" t="s">
        <v>178</v>
      </c>
    </row>
    <row r="2367" spans="1:6" x14ac:dyDescent="0.25">
      <c r="A2367">
        <v>83</v>
      </c>
      <c r="B2367">
        <v>583</v>
      </c>
      <c r="C2367">
        <v>1</v>
      </c>
      <c r="D2367">
        <v>1</v>
      </c>
      <c r="E2367" t="s">
        <v>178</v>
      </c>
      <c r="F2367">
        <f>SUM(D2355:D2367)</f>
        <v>17</v>
      </c>
    </row>
    <row r="2368" spans="1:6" x14ac:dyDescent="0.25">
      <c r="A2368">
        <v>1</v>
      </c>
      <c r="B2368">
        <v>459</v>
      </c>
      <c r="C2368">
        <v>2</v>
      </c>
      <c r="D2368">
        <v>2</v>
      </c>
      <c r="E2368" t="s">
        <v>151</v>
      </c>
    </row>
    <row r="2369" spans="1:6" x14ac:dyDescent="0.25">
      <c r="A2369">
        <v>1</v>
      </c>
      <c r="B2369">
        <v>460</v>
      </c>
      <c r="C2369">
        <v>1</v>
      </c>
      <c r="D2369">
        <v>1</v>
      </c>
      <c r="E2369" t="s">
        <v>151</v>
      </c>
    </row>
    <row r="2370" spans="1:6" x14ac:dyDescent="0.25">
      <c r="A2370">
        <v>1</v>
      </c>
      <c r="B2370">
        <v>484</v>
      </c>
      <c r="C2370">
        <v>2</v>
      </c>
      <c r="D2370">
        <v>2</v>
      </c>
      <c r="E2370" t="s">
        <v>151</v>
      </c>
    </row>
    <row r="2371" spans="1:6" x14ac:dyDescent="0.25">
      <c r="A2371">
        <v>1</v>
      </c>
      <c r="B2371">
        <v>485</v>
      </c>
      <c r="C2371">
        <v>1</v>
      </c>
      <c r="D2371">
        <v>1</v>
      </c>
      <c r="E2371" t="s">
        <v>151</v>
      </c>
    </row>
    <row r="2372" spans="1:6" x14ac:dyDescent="0.25">
      <c r="A2372">
        <v>1</v>
      </c>
      <c r="B2372">
        <v>581</v>
      </c>
      <c r="C2372">
        <v>1</v>
      </c>
      <c r="D2372">
        <v>1</v>
      </c>
      <c r="E2372" t="s">
        <v>151</v>
      </c>
    </row>
    <row r="2373" spans="1:6" x14ac:dyDescent="0.25">
      <c r="A2373">
        <v>1</v>
      </c>
      <c r="B2373">
        <v>726</v>
      </c>
      <c r="C2373">
        <v>2</v>
      </c>
      <c r="D2373">
        <v>2</v>
      </c>
      <c r="E2373" t="s">
        <v>151</v>
      </c>
    </row>
    <row r="2374" spans="1:6" x14ac:dyDescent="0.25">
      <c r="A2374">
        <v>1</v>
      </c>
      <c r="B2374">
        <v>779</v>
      </c>
      <c r="C2374">
        <v>1</v>
      </c>
      <c r="D2374">
        <v>1</v>
      </c>
      <c r="E2374" t="s">
        <v>151</v>
      </c>
    </row>
    <row r="2375" spans="1:6" x14ac:dyDescent="0.25">
      <c r="A2375">
        <v>1</v>
      </c>
      <c r="B2375">
        <v>853</v>
      </c>
      <c r="C2375">
        <v>1</v>
      </c>
      <c r="D2375">
        <v>1</v>
      </c>
      <c r="E2375" t="s">
        <v>151</v>
      </c>
    </row>
    <row r="2376" spans="1:6" x14ac:dyDescent="0.25">
      <c r="A2376">
        <v>1</v>
      </c>
      <c r="B2376">
        <v>876</v>
      </c>
      <c r="C2376">
        <v>1</v>
      </c>
      <c r="D2376">
        <v>1</v>
      </c>
      <c r="E2376" t="s">
        <v>151</v>
      </c>
    </row>
    <row r="2377" spans="1:6" x14ac:dyDescent="0.25">
      <c r="A2377">
        <v>1</v>
      </c>
      <c r="B2377">
        <v>890</v>
      </c>
      <c r="C2377">
        <v>1</v>
      </c>
      <c r="D2377">
        <v>1</v>
      </c>
      <c r="E2377" t="s">
        <v>151</v>
      </c>
      <c r="F2377">
        <f>SUM(D2368:D2377)</f>
        <v>13</v>
      </c>
    </row>
    <row r="2378" spans="1:6" x14ac:dyDescent="0.25">
      <c r="A2378">
        <v>115</v>
      </c>
      <c r="B2378">
        <v>31</v>
      </c>
      <c r="C2378">
        <v>2</v>
      </c>
      <c r="D2378">
        <v>2</v>
      </c>
      <c r="E2378" t="s">
        <v>211</v>
      </c>
    </row>
    <row r="2379" spans="1:6" x14ac:dyDescent="0.25">
      <c r="A2379">
        <v>115</v>
      </c>
      <c r="B2379">
        <v>32</v>
      </c>
      <c r="C2379">
        <v>2</v>
      </c>
      <c r="D2379">
        <v>2</v>
      </c>
      <c r="E2379" t="s">
        <v>211</v>
      </c>
    </row>
    <row r="2380" spans="1:6" x14ac:dyDescent="0.25">
      <c r="A2380">
        <v>115</v>
      </c>
      <c r="B2380">
        <v>33</v>
      </c>
      <c r="C2380">
        <v>1</v>
      </c>
      <c r="D2380">
        <v>1</v>
      </c>
      <c r="E2380" t="s">
        <v>211</v>
      </c>
    </row>
    <row r="2381" spans="1:6" x14ac:dyDescent="0.25">
      <c r="A2381">
        <v>115</v>
      </c>
      <c r="B2381">
        <v>34</v>
      </c>
      <c r="C2381">
        <v>1</v>
      </c>
      <c r="D2381">
        <v>1</v>
      </c>
      <c r="E2381" t="s">
        <v>211</v>
      </c>
    </row>
    <row r="2382" spans="1:6" x14ac:dyDescent="0.25">
      <c r="A2382">
        <v>115</v>
      </c>
      <c r="B2382">
        <v>35</v>
      </c>
      <c r="C2382">
        <v>1</v>
      </c>
      <c r="D2382">
        <v>1</v>
      </c>
      <c r="E2382" t="s">
        <v>211</v>
      </c>
    </row>
    <row r="2383" spans="1:6" x14ac:dyDescent="0.25">
      <c r="A2383">
        <v>115</v>
      </c>
      <c r="B2383">
        <v>36</v>
      </c>
      <c r="C2383">
        <v>1</v>
      </c>
      <c r="D2383">
        <v>1</v>
      </c>
      <c r="E2383" t="s">
        <v>211</v>
      </c>
    </row>
    <row r="2384" spans="1:6" x14ac:dyDescent="0.25">
      <c r="A2384">
        <v>115</v>
      </c>
      <c r="B2384">
        <v>61</v>
      </c>
      <c r="C2384">
        <v>1</v>
      </c>
      <c r="D2384">
        <v>1</v>
      </c>
      <c r="E2384" t="s">
        <v>211</v>
      </c>
    </row>
    <row r="2385" spans="1:5" x14ac:dyDescent="0.25">
      <c r="A2385">
        <v>115</v>
      </c>
      <c r="B2385">
        <v>64</v>
      </c>
      <c r="C2385">
        <v>1</v>
      </c>
      <c r="D2385">
        <v>1</v>
      </c>
      <c r="E2385" t="s">
        <v>211</v>
      </c>
    </row>
    <row r="2386" spans="1:5" x14ac:dyDescent="0.25">
      <c r="A2386">
        <v>115</v>
      </c>
      <c r="B2386">
        <v>67</v>
      </c>
      <c r="C2386">
        <v>1</v>
      </c>
      <c r="D2386">
        <v>1</v>
      </c>
      <c r="E2386" t="s">
        <v>211</v>
      </c>
    </row>
    <row r="2387" spans="1:5" x14ac:dyDescent="0.25">
      <c r="A2387">
        <v>115</v>
      </c>
      <c r="B2387">
        <v>68</v>
      </c>
      <c r="C2387">
        <v>2</v>
      </c>
      <c r="D2387">
        <v>2</v>
      </c>
      <c r="E2387" t="s">
        <v>211</v>
      </c>
    </row>
    <row r="2388" spans="1:5" x14ac:dyDescent="0.25">
      <c r="A2388">
        <v>115</v>
      </c>
      <c r="B2388">
        <v>98</v>
      </c>
      <c r="C2388">
        <v>1</v>
      </c>
      <c r="D2388">
        <v>1</v>
      </c>
      <c r="E2388" t="s">
        <v>211</v>
      </c>
    </row>
    <row r="2389" spans="1:5" x14ac:dyDescent="0.25">
      <c r="A2389">
        <v>115</v>
      </c>
      <c r="B2389">
        <v>100</v>
      </c>
      <c r="C2389">
        <v>1</v>
      </c>
      <c r="D2389">
        <v>1</v>
      </c>
      <c r="E2389" t="s">
        <v>211</v>
      </c>
    </row>
    <row r="2390" spans="1:5" x14ac:dyDescent="0.25">
      <c r="A2390">
        <v>115</v>
      </c>
      <c r="B2390">
        <v>102</v>
      </c>
      <c r="C2390">
        <v>1</v>
      </c>
      <c r="D2390">
        <v>1</v>
      </c>
      <c r="E2390" t="s">
        <v>211</v>
      </c>
    </row>
    <row r="2391" spans="1:5" x14ac:dyDescent="0.25">
      <c r="A2391">
        <v>115</v>
      </c>
      <c r="B2391">
        <v>135</v>
      </c>
      <c r="C2391">
        <v>2</v>
      </c>
      <c r="D2391">
        <v>2</v>
      </c>
      <c r="E2391" t="s">
        <v>211</v>
      </c>
    </row>
    <row r="2392" spans="1:5" x14ac:dyDescent="0.25">
      <c r="A2392">
        <v>115</v>
      </c>
      <c r="B2392">
        <v>177</v>
      </c>
      <c r="C2392">
        <v>1</v>
      </c>
      <c r="D2392">
        <v>1</v>
      </c>
      <c r="E2392" t="s">
        <v>211</v>
      </c>
    </row>
    <row r="2393" spans="1:5" x14ac:dyDescent="0.25">
      <c r="A2393">
        <v>115</v>
      </c>
      <c r="B2393">
        <v>190</v>
      </c>
      <c r="C2393">
        <v>3</v>
      </c>
      <c r="D2393">
        <v>3</v>
      </c>
      <c r="E2393" t="s">
        <v>211</v>
      </c>
    </row>
    <row r="2394" spans="1:5" x14ac:dyDescent="0.25">
      <c r="A2394">
        <v>115</v>
      </c>
      <c r="B2394">
        <v>193</v>
      </c>
      <c r="C2394">
        <v>1</v>
      </c>
      <c r="D2394">
        <v>1</v>
      </c>
      <c r="E2394" t="s">
        <v>211</v>
      </c>
    </row>
    <row r="2395" spans="1:5" x14ac:dyDescent="0.25">
      <c r="A2395">
        <v>115</v>
      </c>
      <c r="B2395">
        <v>194</v>
      </c>
      <c r="C2395">
        <v>2</v>
      </c>
      <c r="D2395">
        <v>2</v>
      </c>
      <c r="E2395" t="s">
        <v>211</v>
      </c>
    </row>
    <row r="2396" spans="1:5" x14ac:dyDescent="0.25">
      <c r="A2396">
        <v>115</v>
      </c>
      <c r="B2396">
        <v>195</v>
      </c>
      <c r="C2396">
        <v>2</v>
      </c>
      <c r="D2396">
        <v>2</v>
      </c>
      <c r="E2396" t="s">
        <v>211</v>
      </c>
    </row>
    <row r="2397" spans="1:5" x14ac:dyDescent="0.25">
      <c r="A2397">
        <v>115</v>
      </c>
      <c r="B2397">
        <v>196</v>
      </c>
      <c r="C2397">
        <v>3</v>
      </c>
      <c r="D2397">
        <v>3</v>
      </c>
      <c r="E2397" t="s">
        <v>211</v>
      </c>
    </row>
    <row r="2398" spans="1:5" x14ac:dyDescent="0.25">
      <c r="A2398">
        <v>115</v>
      </c>
      <c r="B2398">
        <v>197</v>
      </c>
      <c r="C2398">
        <v>1</v>
      </c>
      <c r="D2398">
        <v>1</v>
      </c>
      <c r="E2398" t="s">
        <v>211</v>
      </c>
    </row>
    <row r="2399" spans="1:5" x14ac:dyDescent="0.25">
      <c r="A2399">
        <v>115</v>
      </c>
      <c r="B2399">
        <v>198</v>
      </c>
      <c r="C2399">
        <v>4</v>
      </c>
      <c r="D2399">
        <v>4</v>
      </c>
      <c r="E2399" t="s">
        <v>211</v>
      </c>
    </row>
    <row r="2400" spans="1:5" x14ac:dyDescent="0.25">
      <c r="A2400">
        <v>115</v>
      </c>
      <c r="B2400">
        <v>199</v>
      </c>
      <c r="C2400">
        <v>4</v>
      </c>
      <c r="D2400">
        <v>4</v>
      </c>
      <c r="E2400" t="s">
        <v>211</v>
      </c>
    </row>
    <row r="2401" spans="1:5" x14ac:dyDescent="0.25">
      <c r="A2401">
        <v>115</v>
      </c>
      <c r="B2401">
        <v>200</v>
      </c>
      <c r="C2401">
        <v>1</v>
      </c>
      <c r="D2401">
        <v>1</v>
      </c>
      <c r="E2401" t="s">
        <v>211</v>
      </c>
    </row>
    <row r="2402" spans="1:5" x14ac:dyDescent="0.25">
      <c r="A2402">
        <v>115</v>
      </c>
      <c r="B2402">
        <v>249</v>
      </c>
      <c r="C2402">
        <v>1</v>
      </c>
      <c r="D2402">
        <v>1</v>
      </c>
      <c r="E2402" t="s">
        <v>211</v>
      </c>
    </row>
    <row r="2403" spans="1:5" x14ac:dyDescent="0.25">
      <c r="A2403">
        <v>115</v>
      </c>
      <c r="B2403">
        <v>250</v>
      </c>
      <c r="C2403">
        <v>1</v>
      </c>
      <c r="D2403">
        <v>1</v>
      </c>
      <c r="E2403" t="s">
        <v>211</v>
      </c>
    </row>
    <row r="2404" spans="1:5" x14ac:dyDescent="0.25">
      <c r="A2404">
        <v>115</v>
      </c>
      <c r="B2404">
        <v>252</v>
      </c>
      <c r="C2404">
        <v>1</v>
      </c>
      <c r="D2404">
        <v>1</v>
      </c>
      <c r="E2404" t="s">
        <v>211</v>
      </c>
    </row>
    <row r="2405" spans="1:5" x14ac:dyDescent="0.25">
      <c r="A2405">
        <v>115</v>
      </c>
      <c r="B2405">
        <v>254</v>
      </c>
      <c r="C2405">
        <v>3</v>
      </c>
      <c r="D2405">
        <v>3</v>
      </c>
      <c r="E2405" t="s">
        <v>211</v>
      </c>
    </row>
    <row r="2406" spans="1:5" x14ac:dyDescent="0.25">
      <c r="A2406">
        <v>115</v>
      </c>
      <c r="B2406">
        <v>255</v>
      </c>
      <c r="C2406">
        <v>2</v>
      </c>
      <c r="D2406">
        <v>2</v>
      </c>
      <c r="E2406" t="s">
        <v>211</v>
      </c>
    </row>
    <row r="2407" spans="1:5" x14ac:dyDescent="0.25">
      <c r="A2407">
        <v>115</v>
      </c>
      <c r="B2407">
        <v>256</v>
      </c>
      <c r="C2407">
        <v>3</v>
      </c>
      <c r="D2407">
        <v>3</v>
      </c>
      <c r="E2407" t="s">
        <v>211</v>
      </c>
    </row>
    <row r="2408" spans="1:5" x14ac:dyDescent="0.25">
      <c r="A2408">
        <v>115</v>
      </c>
      <c r="B2408">
        <v>257</v>
      </c>
      <c r="C2408">
        <v>1</v>
      </c>
      <c r="D2408">
        <v>1</v>
      </c>
      <c r="E2408" t="s">
        <v>211</v>
      </c>
    </row>
    <row r="2409" spans="1:5" x14ac:dyDescent="0.25">
      <c r="A2409">
        <v>115</v>
      </c>
      <c r="B2409">
        <v>266</v>
      </c>
      <c r="C2409">
        <v>1</v>
      </c>
      <c r="D2409">
        <v>1</v>
      </c>
      <c r="E2409" t="s">
        <v>211</v>
      </c>
    </row>
    <row r="2410" spans="1:5" x14ac:dyDescent="0.25">
      <c r="A2410">
        <v>115</v>
      </c>
      <c r="B2410">
        <v>285</v>
      </c>
      <c r="C2410">
        <v>2</v>
      </c>
      <c r="D2410">
        <v>2</v>
      </c>
      <c r="E2410" t="s">
        <v>211</v>
      </c>
    </row>
    <row r="2411" spans="1:5" x14ac:dyDescent="0.25">
      <c r="A2411">
        <v>115</v>
      </c>
      <c r="B2411">
        <v>323</v>
      </c>
      <c r="C2411">
        <v>2</v>
      </c>
      <c r="D2411">
        <v>2</v>
      </c>
      <c r="E2411" t="s">
        <v>211</v>
      </c>
    </row>
    <row r="2412" spans="1:5" x14ac:dyDescent="0.25">
      <c r="A2412">
        <v>115</v>
      </c>
      <c r="B2412">
        <v>325</v>
      </c>
      <c r="C2412">
        <v>1</v>
      </c>
      <c r="D2412">
        <v>1</v>
      </c>
      <c r="E2412" t="s">
        <v>211</v>
      </c>
    </row>
    <row r="2413" spans="1:5" x14ac:dyDescent="0.25">
      <c r="A2413">
        <v>115</v>
      </c>
      <c r="B2413">
        <v>330</v>
      </c>
      <c r="C2413">
        <v>1</v>
      </c>
      <c r="D2413">
        <v>1</v>
      </c>
      <c r="E2413" t="s">
        <v>211</v>
      </c>
    </row>
    <row r="2414" spans="1:5" x14ac:dyDescent="0.25">
      <c r="A2414">
        <v>115</v>
      </c>
      <c r="B2414">
        <v>332</v>
      </c>
      <c r="C2414">
        <v>1</v>
      </c>
      <c r="D2414">
        <v>1</v>
      </c>
      <c r="E2414" t="s">
        <v>211</v>
      </c>
    </row>
    <row r="2415" spans="1:5" x14ac:dyDescent="0.25">
      <c r="A2415">
        <v>115</v>
      </c>
      <c r="B2415">
        <v>335</v>
      </c>
      <c r="C2415">
        <v>2</v>
      </c>
      <c r="D2415">
        <v>2</v>
      </c>
      <c r="E2415" t="s">
        <v>211</v>
      </c>
    </row>
    <row r="2416" spans="1:5" x14ac:dyDescent="0.25">
      <c r="A2416">
        <v>115</v>
      </c>
      <c r="B2416">
        <v>336</v>
      </c>
      <c r="C2416">
        <v>2</v>
      </c>
      <c r="D2416">
        <v>2</v>
      </c>
      <c r="E2416" t="s">
        <v>211</v>
      </c>
    </row>
    <row r="2417" spans="1:5" x14ac:dyDescent="0.25">
      <c r="A2417">
        <v>115</v>
      </c>
      <c r="B2417">
        <v>337</v>
      </c>
      <c r="C2417">
        <v>2</v>
      </c>
      <c r="D2417">
        <v>2</v>
      </c>
      <c r="E2417" t="s">
        <v>211</v>
      </c>
    </row>
    <row r="2418" spans="1:5" x14ac:dyDescent="0.25">
      <c r="A2418">
        <v>115</v>
      </c>
      <c r="B2418">
        <v>338</v>
      </c>
      <c r="C2418">
        <v>1</v>
      </c>
      <c r="D2418">
        <v>1</v>
      </c>
      <c r="E2418" t="s">
        <v>211</v>
      </c>
    </row>
    <row r="2419" spans="1:5" x14ac:dyDescent="0.25">
      <c r="A2419">
        <v>115</v>
      </c>
      <c r="B2419">
        <v>339</v>
      </c>
      <c r="C2419">
        <v>3</v>
      </c>
      <c r="D2419">
        <v>3</v>
      </c>
      <c r="E2419" t="s">
        <v>211</v>
      </c>
    </row>
    <row r="2420" spans="1:5" x14ac:dyDescent="0.25">
      <c r="A2420">
        <v>115</v>
      </c>
      <c r="B2420">
        <v>340</v>
      </c>
      <c r="C2420">
        <v>2</v>
      </c>
      <c r="D2420">
        <v>2</v>
      </c>
      <c r="E2420" t="s">
        <v>211</v>
      </c>
    </row>
    <row r="2421" spans="1:5" x14ac:dyDescent="0.25">
      <c r="A2421">
        <v>115</v>
      </c>
      <c r="B2421">
        <v>341</v>
      </c>
      <c r="C2421">
        <v>1</v>
      </c>
      <c r="D2421">
        <v>1</v>
      </c>
      <c r="E2421" t="s">
        <v>211</v>
      </c>
    </row>
    <row r="2422" spans="1:5" x14ac:dyDescent="0.25">
      <c r="A2422">
        <v>115</v>
      </c>
      <c r="B2422">
        <v>342</v>
      </c>
      <c r="C2422">
        <v>3</v>
      </c>
      <c r="D2422">
        <v>3</v>
      </c>
      <c r="E2422" t="s">
        <v>211</v>
      </c>
    </row>
    <row r="2423" spans="1:5" x14ac:dyDescent="0.25">
      <c r="A2423">
        <v>115</v>
      </c>
      <c r="B2423">
        <v>348</v>
      </c>
      <c r="C2423">
        <v>1</v>
      </c>
      <c r="D2423">
        <v>1</v>
      </c>
      <c r="E2423" t="s">
        <v>211</v>
      </c>
    </row>
    <row r="2424" spans="1:5" x14ac:dyDescent="0.25">
      <c r="A2424">
        <v>115</v>
      </c>
      <c r="B2424">
        <v>374</v>
      </c>
      <c r="C2424">
        <v>1</v>
      </c>
      <c r="D2424">
        <v>1</v>
      </c>
      <c r="E2424" t="s">
        <v>211</v>
      </c>
    </row>
    <row r="2425" spans="1:5" x14ac:dyDescent="0.25">
      <c r="A2425">
        <v>115</v>
      </c>
      <c r="B2425">
        <v>375</v>
      </c>
      <c r="C2425">
        <v>1</v>
      </c>
      <c r="D2425">
        <v>1</v>
      </c>
      <c r="E2425" t="s">
        <v>211</v>
      </c>
    </row>
    <row r="2426" spans="1:5" x14ac:dyDescent="0.25">
      <c r="A2426">
        <v>115</v>
      </c>
      <c r="B2426">
        <v>376</v>
      </c>
      <c r="C2426">
        <v>1</v>
      </c>
      <c r="D2426">
        <v>1</v>
      </c>
      <c r="E2426" t="s">
        <v>211</v>
      </c>
    </row>
    <row r="2427" spans="1:5" x14ac:dyDescent="0.25">
      <c r="A2427">
        <v>115</v>
      </c>
      <c r="B2427">
        <v>377</v>
      </c>
      <c r="C2427">
        <v>1</v>
      </c>
      <c r="D2427">
        <v>1</v>
      </c>
      <c r="E2427" t="s">
        <v>211</v>
      </c>
    </row>
    <row r="2428" spans="1:5" x14ac:dyDescent="0.25">
      <c r="A2428">
        <v>115</v>
      </c>
      <c r="B2428">
        <v>379</v>
      </c>
      <c r="C2428">
        <v>2</v>
      </c>
      <c r="D2428">
        <v>2</v>
      </c>
      <c r="E2428" t="s">
        <v>211</v>
      </c>
    </row>
    <row r="2429" spans="1:5" x14ac:dyDescent="0.25">
      <c r="A2429">
        <v>115</v>
      </c>
      <c r="B2429">
        <v>380</v>
      </c>
      <c r="C2429">
        <v>1</v>
      </c>
      <c r="D2429">
        <v>1</v>
      </c>
      <c r="E2429" t="s">
        <v>211</v>
      </c>
    </row>
    <row r="2430" spans="1:5" x14ac:dyDescent="0.25">
      <c r="A2430">
        <v>115</v>
      </c>
      <c r="B2430">
        <v>381</v>
      </c>
      <c r="C2430">
        <v>1</v>
      </c>
      <c r="D2430">
        <v>1</v>
      </c>
      <c r="E2430" t="s">
        <v>211</v>
      </c>
    </row>
    <row r="2431" spans="1:5" x14ac:dyDescent="0.25">
      <c r="A2431">
        <v>115</v>
      </c>
      <c r="B2431">
        <v>384</v>
      </c>
      <c r="C2431">
        <v>1</v>
      </c>
      <c r="D2431">
        <v>1</v>
      </c>
      <c r="E2431" t="s">
        <v>211</v>
      </c>
    </row>
    <row r="2432" spans="1:5" x14ac:dyDescent="0.25">
      <c r="A2432">
        <v>115</v>
      </c>
      <c r="B2432">
        <v>385</v>
      </c>
      <c r="C2432">
        <v>1</v>
      </c>
      <c r="D2432">
        <v>1</v>
      </c>
      <c r="E2432" t="s">
        <v>211</v>
      </c>
    </row>
    <row r="2433" spans="1:6" x14ac:dyDescent="0.25">
      <c r="A2433">
        <v>115</v>
      </c>
      <c r="B2433">
        <v>411</v>
      </c>
      <c r="C2433">
        <v>1</v>
      </c>
      <c r="D2433">
        <v>1</v>
      </c>
      <c r="E2433" t="s">
        <v>211</v>
      </c>
    </row>
    <row r="2434" spans="1:6" x14ac:dyDescent="0.25">
      <c r="A2434">
        <v>115</v>
      </c>
      <c r="B2434">
        <v>412</v>
      </c>
      <c r="C2434">
        <v>3</v>
      </c>
      <c r="D2434">
        <v>3</v>
      </c>
      <c r="E2434" t="s">
        <v>211</v>
      </c>
    </row>
    <row r="2435" spans="1:6" x14ac:dyDescent="0.25">
      <c r="A2435">
        <v>115</v>
      </c>
      <c r="B2435">
        <v>413</v>
      </c>
      <c r="C2435">
        <v>1</v>
      </c>
      <c r="D2435">
        <v>1</v>
      </c>
      <c r="E2435" t="s">
        <v>211</v>
      </c>
    </row>
    <row r="2436" spans="1:6" x14ac:dyDescent="0.25">
      <c r="A2436">
        <v>115</v>
      </c>
      <c r="B2436">
        <v>414</v>
      </c>
      <c r="C2436">
        <v>3</v>
      </c>
      <c r="D2436">
        <v>3</v>
      </c>
      <c r="E2436" t="s">
        <v>211</v>
      </c>
    </row>
    <row r="2437" spans="1:6" x14ac:dyDescent="0.25">
      <c r="A2437">
        <v>115</v>
      </c>
      <c r="B2437">
        <v>415</v>
      </c>
      <c r="C2437">
        <v>1</v>
      </c>
      <c r="D2437">
        <v>1</v>
      </c>
      <c r="E2437" t="s">
        <v>211</v>
      </c>
    </row>
    <row r="2438" spans="1:6" x14ac:dyDescent="0.25">
      <c r="A2438">
        <v>115</v>
      </c>
      <c r="B2438">
        <v>416</v>
      </c>
      <c r="C2438">
        <v>1</v>
      </c>
      <c r="D2438">
        <v>1</v>
      </c>
      <c r="E2438" t="s">
        <v>211</v>
      </c>
    </row>
    <row r="2439" spans="1:6" x14ac:dyDescent="0.25">
      <c r="A2439">
        <v>115</v>
      </c>
      <c r="B2439">
        <v>419</v>
      </c>
      <c r="C2439">
        <v>3</v>
      </c>
      <c r="D2439">
        <v>3</v>
      </c>
      <c r="E2439" t="s">
        <v>211</v>
      </c>
    </row>
    <row r="2440" spans="1:6" x14ac:dyDescent="0.25">
      <c r="A2440">
        <v>115</v>
      </c>
      <c r="B2440">
        <v>420</v>
      </c>
      <c r="C2440">
        <v>5</v>
      </c>
      <c r="D2440">
        <v>5</v>
      </c>
      <c r="E2440" t="s">
        <v>211</v>
      </c>
    </row>
    <row r="2441" spans="1:6" x14ac:dyDescent="0.25">
      <c r="A2441">
        <v>115</v>
      </c>
      <c r="B2441">
        <v>421</v>
      </c>
      <c r="C2441">
        <v>1</v>
      </c>
      <c r="D2441">
        <v>1</v>
      </c>
      <c r="E2441" t="s">
        <v>211</v>
      </c>
    </row>
    <row r="2442" spans="1:6" x14ac:dyDescent="0.25">
      <c r="A2442">
        <v>115</v>
      </c>
      <c r="B2442">
        <v>482</v>
      </c>
      <c r="C2442">
        <v>3</v>
      </c>
      <c r="D2442">
        <v>3</v>
      </c>
      <c r="E2442" t="s">
        <v>211</v>
      </c>
    </row>
    <row r="2443" spans="1:6" x14ac:dyDescent="0.25">
      <c r="A2443">
        <v>115</v>
      </c>
      <c r="B2443">
        <v>483</v>
      </c>
      <c r="C2443">
        <v>4</v>
      </c>
      <c r="D2443">
        <v>4</v>
      </c>
      <c r="E2443" t="s">
        <v>211</v>
      </c>
    </row>
    <row r="2444" spans="1:6" x14ac:dyDescent="0.25">
      <c r="A2444">
        <v>115</v>
      </c>
      <c r="B2444">
        <v>484</v>
      </c>
      <c r="C2444">
        <v>1</v>
      </c>
      <c r="D2444">
        <v>1</v>
      </c>
      <c r="E2444" t="s">
        <v>211</v>
      </c>
    </row>
    <row r="2445" spans="1:6" x14ac:dyDescent="0.25">
      <c r="A2445">
        <v>115</v>
      </c>
      <c r="B2445">
        <v>488</v>
      </c>
      <c r="C2445">
        <v>1</v>
      </c>
      <c r="D2445">
        <v>1</v>
      </c>
      <c r="E2445" t="s">
        <v>211</v>
      </c>
      <c r="F2445">
        <f>SUM(D2378:D2445)</f>
        <v>115</v>
      </c>
    </row>
    <row r="2446" spans="1:6" x14ac:dyDescent="0.25">
      <c r="A2446">
        <v>113</v>
      </c>
      <c r="B2446">
        <v>448</v>
      </c>
      <c r="C2446">
        <v>1</v>
      </c>
      <c r="D2446">
        <v>1</v>
      </c>
      <c r="E2446" t="s">
        <v>245</v>
      </c>
      <c r="F2446">
        <v>1</v>
      </c>
    </row>
    <row r="2447" spans="1:6" x14ac:dyDescent="0.25">
      <c r="A2447">
        <v>118</v>
      </c>
      <c r="B2447">
        <v>12</v>
      </c>
      <c r="C2447">
        <v>1</v>
      </c>
      <c r="D2447">
        <v>1</v>
      </c>
      <c r="E2447" t="s">
        <v>246</v>
      </c>
    </row>
    <row r="2448" spans="1:6" x14ac:dyDescent="0.25">
      <c r="A2448">
        <v>118</v>
      </c>
      <c r="B2448">
        <v>13</v>
      </c>
      <c r="C2448">
        <v>1</v>
      </c>
      <c r="D2448">
        <v>1</v>
      </c>
      <c r="E2448" t="s">
        <v>246</v>
      </c>
    </row>
    <row r="2449" spans="1:5" x14ac:dyDescent="0.25">
      <c r="A2449">
        <v>118</v>
      </c>
      <c r="B2449">
        <v>15</v>
      </c>
      <c r="C2449">
        <v>3</v>
      </c>
      <c r="D2449">
        <v>3</v>
      </c>
      <c r="E2449" t="s">
        <v>246</v>
      </c>
    </row>
    <row r="2450" spans="1:5" x14ac:dyDescent="0.25">
      <c r="A2450">
        <v>118</v>
      </c>
      <c r="B2450">
        <v>46</v>
      </c>
      <c r="C2450">
        <v>2</v>
      </c>
      <c r="D2450">
        <v>2</v>
      </c>
      <c r="E2450" t="s">
        <v>246</v>
      </c>
    </row>
    <row r="2451" spans="1:5" x14ac:dyDescent="0.25">
      <c r="A2451">
        <v>118</v>
      </c>
      <c r="B2451">
        <v>47</v>
      </c>
      <c r="C2451">
        <v>2</v>
      </c>
      <c r="D2451">
        <v>2</v>
      </c>
      <c r="E2451" t="s">
        <v>246</v>
      </c>
    </row>
    <row r="2452" spans="1:5" x14ac:dyDescent="0.25">
      <c r="A2452">
        <v>118</v>
      </c>
      <c r="B2452">
        <v>48</v>
      </c>
      <c r="C2452">
        <v>2</v>
      </c>
      <c r="D2452">
        <v>2</v>
      </c>
      <c r="E2452" t="s">
        <v>246</v>
      </c>
    </row>
    <row r="2453" spans="1:5" x14ac:dyDescent="0.25">
      <c r="A2453">
        <v>118</v>
      </c>
      <c r="B2453">
        <v>235</v>
      </c>
      <c r="C2453">
        <v>1</v>
      </c>
      <c r="D2453">
        <v>1</v>
      </c>
      <c r="E2453" t="s">
        <v>246</v>
      </c>
    </row>
    <row r="2454" spans="1:5" x14ac:dyDescent="0.25">
      <c r="A2454">
        <v>118</v>
      </c>
      <c r="B2454">
        <v>289</v>
      </c>
      <c r="C2454">
        <v>1</v>
      </c>
      <c r="D2454">
        <v>1</v>
      </c>
      <c r="E2454" t="s">
        <v>246</v>
      </c>
    </row>
    <row r="2455" spans="1:5" x14ac:dyDescent="0.25">
      <c r="A2455">
        <v>118</v>
      </c>
      <c r="B2455">
        <v>313</v>
      </c>
      <c r="C2455">
        <v>1</v>
      </c>
      <c r="D2455">
        <v>1</v>
      </c>
      <c r="E2455" t="s">
        <v>246</v>
      </c>
    </row>
    <row r="2456" spans="1:5" x14ac:dyDescent="0.25">
      <c r="A2456">
        <v>118</v>
      </c>
      <c r="B2456">
        <v>350</v>
      </c>
      <c r="C2456">
        <v>2</v>
      </c>
      <c r="D2456">
        <v>2</v>
      </c>
      <c r="E2456" t="s">
        <v>246</v>
      </c>
    </row>
    <row r="2457" spans="1:5" x14ac:dyDescent="0.25">
      <c r="A2457">
        <v>118</v>
      </c>
      <c r="B2457">
        <v>382</v>
      </c>
      <c r="C2457">
        <v>1</v>
      </c>
      <c r="D2457">
        <v>1</v>
      </c>
      <c r="E2457" t="s">
        <v>246</v>
      </c>
    </row>
    <row r="2458" spans="1:5" x14ac:dyDescent="0.25">
      <c r="A2458">
        <v>118</v>
      </c>
      <c r="B2458">
        <v>390</v>
      </c>
      <c r="C2458">
        <v>2</v>
      </c>
      <c r="D2458">
        <v>2</v>
      </c>
      <c r="E2458" t="s">
        <v>246</v>
      </c>
    </row>
    <row r="2459" spans="1:5" x14ac:dyDescent="0.25">
      <c r="A2459">
        <v>118</v>
      </c>
      <c r="B2459">
        <v>419</v>
      </c>
      <c r="C2459">
        <v>2</v>
      </c>
      <c r="D2459">
        <v>2</v>
      </c>
      <c r="E2459" t="s">
        <v>246</v>
      </c>
    </row>
    <row r="2460" spans="1:5" x14ac:dyDescent="0.25">
      <c r="A2460">
        <v>118</v>
      </c>
      <c r="B2460">
        <v>443</v>
      </c>
      <c r="C2460">
        <v>2</v>
      </c>
      <c r="D2460">
        <v>2</v>
      </c>
      <c r="E2460" t="s">
        <v>246</v>
      </c>
    </row>
    <row r="2461" spans="1:5" x14ac:dyDescent="0.25">
      <c r="A2461">
        <v>118</v>
      </c>
      <c r="B2461">
        <v>465</v>
      </c>
      <c r="C2461">
        <v>1</v>
      </c>
      <c r="D2461">
        <v>1</v>
      </c>
      <c r="E2461" t="s">
        <v>246</v>
      </c>
    </row>
    <row r="2462" spans="1:5" x14ac:dyDescent="0.25">
      <c r="A2462">
        <v>118</v>
      </c>
      <c r="B2462">
        <v>471</v>
      </c>
      <c r="C2462">
        <v>2</v>
      </c>
      <c r="D2462">
        <v>2</v>
      </c>
      <c r="E2462" t="s">
        <v>246</v>
      </c>
    </row>
    <row r="2463" spans="1:5" x14ac:dyDescent="0.25">
      <c r="A2463">
        <v>118</v>
      </c>
      <c r="B2463">
        <v>493</v>
      </c>
      <c r="C2463">
        <v>1</v>
      </c>
      <c r="D2463">
        <v>1</v>
      </c>
      <c r="E2463" t="s">
        <v>246</v>
      </c>
    </row>
    <row r="2464" spans="1:5" x14ac:dyDescent="0.25">
      <c r="A2464">
        <v>118</v>
      </c>
      <c r="B2464">
        <v>507</v>
      </c>
      <c r="C2464">
        <v>1</v>
      </c>
      <c r="D2464">
        <v>1</v>
      </c>
      <c r="E2464" t="s">
        <v>246</v>
      </c>
    </row>
    <row r="2465" spans="1:6" x14ac:dyDescent="0.25">
      <c r="A2465">
        <v>118</v>
      </c>
      <c r="B2465">
        <v>511</v>
      </c>
      <c r="C2465">
        <v>1</v>
      </c>
      <c r="D2465">
        <v>1</v>
      </c>
      <c r="E2465" t="s">
        <v>246</v>
      </c>
    </row>
    <row r="2466" spans="1:6" x14ac:dyDescent="0.25">
      <c r="A2466">
        <v>118</v>
      </c>
      <c r="B2466">
        <v>521</v>
      </c>
      <c r="C2466">
        <v>3</v>
      </c>
      <c r="D2466">
        <v>3</v>
      </c>
      <c r="E2466" t="s">
        <v>246</v>
      </c>
    </row>
    <row r="2467" spans="1:6" x14ac:dyDescent="0.25">
      <c r="A2467">
        <v>118</v>
      </c>
      <c r="B2467">
        <v>618</v>
      </c>
      <c r="C2467">
        <v>1</v>
      </c>
      <c r="D2467">
        <v>1</v>
      </c>
      <c r="E2467" t="s">
        <v>246</v>
      </c>
    </row>
    <row r="2468" spans="1:6" x14ac:dyDescent="0.25">
      <c r="A2468">
        <v>118</v>
      </c>
      <c r="B2468">
        <v>627</v>
      </c>
      <c r="C2468">
        <v>8</v>
      </c>
      <c r="D2468">
        <v>8</v>
      </c>
      <c r="E2468" t="s">
        <v>246</v>
      </c>
    </row>
    <row r="2469" spans="1:6" x14ac:dyDescent="0.25">
      <c r="A2469">
        <v>118</v>
      </c>
      <c r="B2469">
        <v>632</v>
      </c>
      <c r="C2469">
        <v>1</v>
      </c>
      <c r="D2469">
        <v>1</v>
      </c>
      <c r="E2469" t="s">
        <v>246</v>
      </c>
    </row>
    <row r="2470" spans="1:6" x14ac:dyDescent="0.25">
      <c r="A2470">
        <v>118</v>
      </c>
      <c r="B2470">
        <v>636</v>
      </c>
      <c r="C2470">
        <v>5</v>
      </c>
      <c r="D2470">
        <v>5</v>
      </c>
      <c r="E2470" t="s">
        <v>246</v>
      </c>
    </row>
    <row r="2471" spans="1:6" x14ac:dyDescent="0.25">
      <c r="A2471">
        <v>118</v>
      </c>
      <c r="B2471">
        <v>642</v>
      </c>
      <c r="C2471">
        <v>4</v>
      </c>
      <c r="D2471">
        <v>4</v>
      </c>
      <c r="E2471" t="s">
        <v>246</v>
      </c>
    </row>
    <row r="2472" spans="1:6" x14ac:dyDescent="0.25">
      <c r="A2472">
        <v>118</v>
      </c>
      <c r="B2472">
        <v>647</v>
      </c>
      <c r="C2472">
        <v>3</v>
      </c>
      <c r="D2472">
        <v>3</v>
      </c>
      <c r="E2472" t="s">
        <v>246</v>
      </c>
    </row>
    <row r="2473" spans="1:6" x14ac:dyDescent="0.25">
      <c r="A2473">
        <v>118</v>
      </c>
      <c r="B2473">
        <v>649</v>
      </c>
      <c r="C2473">
        <v>1</v>
      </c>
      <c r="D2473">
        <v>1</v>
      </c>
      <c r="E2473" t="s">
        <v>246</v>
      </c>
    </row>
    <row r="2474" spans="1:6" x14ac:dyDescent="0.25">
      <c r="A2474">
        <v>118</v>
      </c>
      <c r="B2474">
        <v>654</v>
      </c>
      <c r="C2474">
        <v>2</v>
      </c>
      <c r="D2474">
        <v>2</v>
      </c>
      <c r="E2474" t="s">
        <v>246</v>
      </c>
    </row>
    <row r="2475" spans="1:6" x14ac:dyDescent="0.25">
      <c r="A2475">
        <v>118</v>
      </c>
      <c r="B2475">
        <v>673</v>
      </c>
      <c r="C2475">
        <v>1</v>
      </c>
      <c r="D2475">
        <v>1</v>
      </c>
      <c r="E2475" t="s">
        <v>246</v>
      </c>
    </row>
    <row r="2476" spans="1:6" x14ac:dyDescent="0.25">
      <c r="A2476">
        <v>118</v>
      </c>
      <c r="B2476">
        <v>679</v>
      </c>
      <c r="C2476">
        <v>8</v>
      </c>
      <c r="D2476">
        <v>8</v>
      </c>
      <c r="E2476" t="s">
        <v>246</v>
      </c>
      <c r="F2476">
        <f>SUM(D2447:D2476)</f>
        <v>66</v>
      </c>
    </row>
    <row r="2477" spans="1:6" x14ac:dyDescent="0.25">
      <c r="A2477">
        <v>112</v>
      </c>
      <c r="B2477">
        <v>284</v>
      </c>
      <c r="C2477">
        <v>2</v>
      </c>
      <c r="D2477">
        <v>2</v>
      </c>
      <c r="E2477" t="s">
        <v>196</v>
      </c>
    </row>
    <row r="2478" spans="1:6" x14ac:dyDescent="0.25">
      <c r="A2478">
        <v>112</v>
      </c>
      <c r="B2478">
        <v>366</v>
      </c>
      <c r="C2478">
        <v>2</v>
      </c>
      <c r="D2478">
        <v>2</v>
      </c>
      <c r="E2478" t="s">
        <v>196</v>
      </c>
    </row>
    <row r="2479" spans="1:6" x14ac:dyDescent="0.25">
      <c r="A2479">
        <v>112</v>
      </c>
      <c r="B2479">
        <v>515</v>
      </c>
      <c r="C2479">
        <v>2</v>
      </c>
      <c r="D2479">
        <v>2</v>
      </c>
      <c r="E2479" t="s">
        <v>196</v>
      </c>
    </row>
    <row r="2480" spans="1:6" x14ac:dyDescent="0.25">
      <c r="A2480">
        <v>112</v>
      </c>
      <c r="B2480">
        <v>575</v>
      </c>
      <c r="C2480">
        <v>2</v>
      </c>
      <c r="D2480">
        <v>2</v>
      </c>
      <c r="E2480" t="s">
        <v>196</v>
      </c>
      <c r="F2480">
        <v>8</v>
      </c>
    </row>
    <row r="2481" spans="1:5" x14ac:dyDescent="0.25">
      <c r="A2481">
        <v>117</v>
      </c>
      <c r="B2481">
        <v>196</v>
      </c>
      <c r="C2481">
        <v>22</v>
      </c>
      <c r="D2481">
        <v>22</v>
      </c>
      <c r="E2481" t="s">
        <v>220</v>
      </c>
    </row>
    <row r="2482" spans="1:5" x14ac:dyDescent="0.25">
      <c r="A2482">
        <v>117</v>
      </c>
      <c r="B2482">
        <v>197</v>
      </c>
      <c r="C2482">
        <v>16</v>
      </c>
      <c r="D2482">
        <v>16</v>
      </c>
      <c r="E2482" t="s">
        <v>220</v>
      </c>
    </row>
    <row r="2483" spans="1:5" x14ac:dyDescent="0.25">
      <c r="A2483">
        <v>117</v>
      </c>
      <c r="B2483">
        <v>198</v>
      </c>
      <c r="C2483">
        <v>19</v>
      </c>
      <c r="D2483">
        <v>19</v>
      </c>
      <c r="E2483" t="s">
        <v>220</v>
      </c>
    </row>
    <row r="2484" spans="1:5" x14ac:dyDescent="0.25">
      <c r="A2484">
        <v>117</v>
      </c>
      <c r="B2484">
        <v>199</v>
      </c>
      <c r="C2484">
        <v>16</v>
      </c>
      <c r="D2484">
        <v>16</v>
      </c>
      <c r="E2484" t="s">
        <v>220</v>
      </c>
    </row>
    <row r="2485" spans="1:5" x14ac:dyDescent="0.25">
      <c r="A2485">
        <v>117</v>
      </c>
      <c r="B2485">
        <v>200</v>
      </c>
      <c r="C2485">
        <v>19</v>
      </c>
      <c r="D2485">
        <v>19</v>
      </c>
      <c r="E2485" t="s">
        <v>220</v>
      </c>
    </row>
    <row r="2486" spans="1:5" x14ac:dyDescent="0.25">
      <c r="A2486">
        <v>117</v>
      </c>
      <c r="B2486">
        <v>201</v>
      </c>
      <c r="C2486">
        <v>15</v>
      </c>
      <c r="D2486">
        <v>15</v>
      </c>
      <c r="E2486" t="s">
        <v>220</v>
      </c>
    </row>
    <row r="2487" spans="1:5" x14ac:dyDescent="0.25">
      <c r="A2487">
        <v>117</v>
      </c>
      <c r="B2487">
        <v>202</v>
      </c>
      <c r="C2487">
        <v>15</v>
      </c>
      <c r="D2487">
        <v>15</v>
      </c>
      <c r="E2487" t="s">
        <v>220</v>
      </c>
    </row>
    <row r="2488" spans="1:5" x14ac:dyDescent="0.25">
      <c r="A2488">
        <v>117</v>
      </c>
      <c r="B2488">
        <v>203</v>
      </c>
      <c r="C2488">
        <v>13</v>
      </c>
      <c r="D2488">
        <v>13</v>
      </c>
      <c r="E2488" t="s">
        <v>220</v>
      </c>
    </row>
    <row r="2489" spans="1:5" x14ac:dyDescent="0.25">
      <c r="A2489">
        <v>117</v>
      </c>
      <c r="B2489">
        <v>204</v>
      </c>
      <c r="C2489">
        <v>20</v>
      </c>
      <c r="D2489">
        <v>20</v>
      </c>
      <c r="E2489" t="s">
        <v>220</v>
      </c>
    </row>
    <row r="2490" spans="1:5" x14ac:dyDescent="0.25">
      <c r="A2490">
        <v>117</v>
      </c>
      <c r="B2490">
        <v>240</v>
      </c>
      <c r="C2490">
        <v>15</v>
      </c>
      <c r="D2490">
        <v>15</v>
      </c>
      <c r="E2490" t="s">
        <v>220</v>
      </c>
    </row>
    <row r="2491" spans="1:5" x14ac:dyDescent="0.25">
      <c r="A2491">
        <v>117</v>
      </c>
      <c r="B2491">
        <v>275</v>
      </c>
      <c r="C2491">
        <v>22</v>
      </c>
      <c r="D2491">
        <v>22</v>
      </c>
      <c r="E2491" t="s">
        <v>220</v>
      </c>
    </row>
    <row r="2492" spans="1:5" x14ac:dyDescent="0.25">
      <c r="A2492">
        <v>117</v>
      </c>
      <c r="B2492">
        <v>291</v>
      </c>
      <c r="C2492">
        <v>23</v>
      </c>
      <c r="D2492">
        <v>23</v>
      </c>
      <c r="E2492" t="s">
        <v>220</v>
      </c>
    </row>
    <row r="2493" spans="1:5" x14ac:dyDescent="0.25">
      <c r="A2493">
        <v>117</v>
      </c>
      <c r="B2493">
        <v>311</v>
      </c>
      <c r="C2493">
        <v>13</v>
      </c>
      <c r="D2493">
        <v>13</v>
      </c>
      <c r="E2493" t="s">
        <v>220</v>
      </c>
    </row>
    <row r="2494" spans="1:5" x14ac:dyDescent="0.25">
      <c r="A2494">
        <v>117</v>
      </c>
      <c r="B2494">
        <v>336</v>
      </c>
      <c r="C2494">
        <v>25</v>
      </c>
      <c r="D2494">
        <v>25</v>
      </c>
      <c r="E2494" t="s">
        <v>220</v>
      </c>
    </row>
    <row r="2495" spans="1:5" x14ac:dyDescent="0.25">
      <c r="A2495">
        <v>117</v>
      </c>
      <c r="B2495">
        <v>337</v>
      </c>
      <c r="C2495">
        <v>20</v>
      </c>
      <c r="D2495">
        <v>20</v>
      </c>
      <c r="E2495" t="s">
        <v>220</v>
      </c>
    </row>
    <row r="2496" spans="1:5" x14ac:dyDescent="0.25">
      <c r="A2496">
        <v>117</v>
      </c>
      <c r="B2496">
        <v>352</v>
      </c>
      <c r="C2496">
        <v>18</v>
      </c>
      <c r="D2496">
        <v>18</v>
      </c>
      <c r="E2496" t="s">
        <v>220</v>
      </c>
    </row>
    <row r="2497" spans="1:6" x14ac:dyDescent="0.25">
      <c r="A2497">
        <v>117</v>
      </c>
      <c r="B2497">
        <v>370</v>
      </c>
      <c r="C2497">
        <v>11</v>
      </c>
      <c r="D2497">
        <v>11</v>
      </c>
      <c r="E2497" t="s">
        <v>220</v>
      </c>
    </row>
    <row r="2498" spans="1:6" x14ac:dyDescent="0.25">
      <c r="A2498">
        <v>117</v>
      </c>
      <c r="B2498">
        <v>391</v>
      </c>
      <c r="C2498">
        <v>15</v>
      </c>
      <c r="D2498">
        <v>15</v>
      </c>
      <c r="E2498" t="s">
        <v>220</v>
      </c>
    </row>
    <row r="2499" spans="1:6" x14ac:dyDescent="0.25">
      <c r="A2499">
        <v>117</v>
      </c>
      <c r="B2499">
        <v>415</v>
      </c>
      <c r="C2499">
        <v>19</v>
      </c>
      <c r="D2499">
        <v>19</v>
      </c>
      <c r="E2499" t="s">
        <v>220</v>
      </c>
    </row>
    <row r="2500" spans="1:6" x14ac:dyDescent="0.25">
      <c r="A2500">
        <v>117</v>
      </c>
      <c r="B2500">
        <v>442</v>
      </c>
      <c r="C2500">
        <v>6</v>
      </c>
      <c r="D2500">
        <v>6</v>
      </c>
      <c r="E2500" t="s">
        <v>220</v>
      </c>
    </row>
    <row r="2501" spans="1:6" x14ac:dyDescent="0.25">
      <c r="A2501">
        <v>117</v>
      </c>
      <c r="B2501">
        <v>450</v>
      </c>
      <c r="C2501">
        <v>9</v>
      </c>
      <c r="D2501">
        <v>9</v>
      </c>
      <c r="E2501" t="s">
        <v>220</v>
      </c>
    </row>
    <row r="2502" spans="1:6" x14ac:dyDescent="0.25">
      <c r="A2502">
        <v>117</v>
      </c>
      <c r="B2502">
        <v>460</v>
      </c>
      <c r="C2502">
        <v>14</v>
      </c>
      <c r="D2502">
        <v>14</v>
      </c>
      <c r="E2502" t="s">
        <v>220</v>
      </c>
    </row>
    <row r="2503" spans="1:6" x14ac:dyDescent="0.25">
      <c r="A2503">
        <v>117</v>
      </c>
      <c r="B2503">
        <v>473</v>
      </c>
      <c r="C2503">
        <v>13</v>
      </c>
      <c r="D2503">
        <v>13</v>
      </c>
      <c r="E2503" t="s">
        <v>220</v>
      </c>
    </row>
    <row r="2504" spans="1:6" x14ac:dyDescent="0.25">
      <c r="A2504">
        <v>117</v>
      </c>
      <c r="B2504">
        <v>477</v>
      </c>
      <c r="C2504">
        <v>14</v>
      </c>
      <c r="D2504">
        <v>14</v>
      </c>
      <c r="E2504" t="s">
        <v>220</v>
      </c>
    </row>
    <row r="2505" spans="1:6" x14ac:dyDescent="0.25">
      <c r="A2505">
        <v>117</v>
      </c>
      <c r="B2505">
        <v>487</v>
      </c>
      <c r="C2505">
        <v>8</v>
      </c>
      <c r="D2505">
        <v>8</v>
      </c>
      <c r="E2505" t="s">
        <v>220</v>
      </c>
    </row>
    <row r="2506" spans="1:6" x14ac:dyDescent="0.25">
      <c r="A2506">
        <v>117</v>
      </c>
      <c r="B2506">
        <v>492</v>
      </c>
      <c r="C2506">
        <v>12</v>
      </c>
      <c r="D2506">
        <v>12</v>
      </c>
      <c r="E2506" t="s">
        <v>220</v>
      </c>
      <c r="F2506">
        <f>SUM(D2481:D2506)</f>
        <v>412</v>
      </c>
    </row>
    <row r="2507" spans="1:6" x14ac:dyDescent="0.25">
      <c r="A2507">
        <v>117</v>
      </c>
      <c r="B2507">
        <v>192</v>
      </c>
      <c r="C2507">
        <v>5</v>
      </c>
      <c r="D2507">
        <v>5</v>
      </c>
      <c r="E2507" t="s">
        <v>247</v>
      </c>
    </row>
    <row r="2508" spans="1:6" x14ac:dyDescent="0.25">
      <c r="A2508">
        <v>117</v>
      </c>
      <c r="B2508">
        <v>193</v>
      </c>
      <c r="C2508">
        <v>1</v>
      </c>
      <c r="D2508">
        <v>1</v>
      </c>
      <c r="E2508" t="s">
        <v>247</v>
      </c>
    </row>
    <row r="2509" spans="1:6" x14ac:dyDescent="0.25">
      <c r="A2509">
        <v>117</v>
      </c>
      <c r="B2509">
        <v>194</v>
      </c>
      <c r="C2509">
        <v>2</v>
      </c>
      <c r="D2509">
        <v>2</v>
      </c>
      <c r="E2509" t="s">
        <v>247</v>
      </c>
    </row>
    <row r="2510" spans="1:6" x14ac:dyDescent="0.25">
      <c r="A2510">
        <v>117</v>
      </c>
      <c r="B2510">
        <v>195</v>
      </c>
      <c r="C2510">
        <v>1</v>
      </c>
      <c r="D2510">
        <v>1</v>
      </c>
      <c r="E2510" t="s">
        <v>247</v>
      </c>
    </row>
    <row r="2511" spans="1:6" x14ac:dyDescent="0.25">
      <c r="A2511">
        <v>117</v>
      </c>
      <c r="B2511">
        <v>266</v>
      </c>
      <c r="C2511">
        <v>4</v>
      </c>
      <c r="D2511">
        <v>4</v>
      </c>
      <c r="E2511" t="s">
        <v>247</v>
      </c>
    </row>
    <row r="2512" spans="1:6" x14ac:dyDescent="0.25">
      <c r="A2512">
        <v>117</v>
      </c>
      <c r="B2512">
        <v>282</v>
      </c>
      <c r="C2512">
        <v>2</v>
      </c>
      <c r="D2512">
        <v>2</v>
      </c>
      <c r="E2512" t="s">
        <v>247</v>
      </c>
    </row>
    <row r="2513" spans="1:6" x14ac:dyDescent="0.25">
      <c r="A2513">
        <v>117</v>
      </c>
      <c r="B2513">
        <v>297</v>
      </c>
      <c r="C2513">
        <v>2</v>
      </c>
      <c r="D2513">
        <v>2</v>
      </c>
      <c r="E2513" t="s">
        <v>247</v>
      </c>
    </row>
    <row r="2514" spans="1:6" x14ac:dyDescent="0.25">
      <c r="A2514">
        <v>117</v>
      </c>
      <c r="B2514">
        <v>318</v>
      </c>
      <c r="C2514">
        <v>2</v>
      </c>
      <c r="D2514">
        <v>2</v>
      </c>
      <c r="E2514" t="s">
        <v>247</v>
      </c>
    </row>
    <row r="2515" spans="1:6" x14ac:dyDescent="0.25">
      <c r="A2515">
        <v>117</v>
      </c>
      <c r="B2515">
        <v>357</v>
      </c>
      <c r="C2515">
        <v>4</v>
      </c>
      <c r="D2515">
        <v>4</v>
      </c>
      <c r="E2515" t="s">
        <v>247</v>
      </c>
    </row>
    <row r="2516" spans="1:6" x14ac:dyDescent="0.25">
      <c r="A2516">
        <v>117</v>
      </c>
      <c r="B2516">
        <v>372</v>
      </c>
      <c r="C2516">
        <v>1</v>
      </c>
      <c r="D2516">
        <v>1</v>
      </c>
      <c r="E2516" t="s">
        <v>247</v>
      </c>
    </row>
    <row r="2517" spans="1:6" x14ac:dyDescent="0.25">
      <c r="A2517">
        <v>117</v>
      </c>
      <c r="B2517">
        <v>397</v>
      </c>
      <c r="C2517">
        <v>2</v>
      </c>
      <c r="D2517">
        <v>2</v>
      </c>
      <c r="E2517" t="s">
        <v>247</v>
      </c>
    </row>
    <row r="2518" spans="1:6" x14ac:dyDescent="0.25">
      <c r="A2518">
        <v>117</v>
      </c>
      <c r="B2518">
        <v>414</v>
      </c>
      <c r="C2518">
        <v>3</v>
      </c>
      <c r="D2518">
        <v>3</v>
      </c>
      <c r="E2518" t="s">
        <v>247</v>
      </c>
    </row>
    <row r="2519" spans="1:6" x14ac:dyDescent="0.25">
      <c r="A2519">
        <v>117</v>
      </c>
      <c r="B2519">
        <v>431</v>
      </c>
      <c r="C2519">
        <v>2</v>
      </c>
      <c r="D2519">
        <v>2</v>
      </c>
      <c r="E2519" t="s">
        <v>247</v>
      </c>
    </row>
    <row r="2520" spans="1:6" x14ac:dyDescent="0.25">
      <c r="A2520">
        <v>117</v>
      </c>
      <c r="B2520">
        <v>493</v>
      </c>
      <c r="C2520">
        <v>2</v>
      </c>
      <c r="D2520">
        <v>2</v>
      </c>
      <c r="E2520" t="s">
        <v>247</v>
      </c>
      <c r="F2520">
        <f>SUM(C2507:C2520)</f>
        <v>33</v>
      </c>
    </row>
    <row r="2521" spans="1:6" x14ac:dyDescent="0.25">
      <c r="A2521">
        <v>95</v>
      </c>
      <c r="B2521">
        <v>166</v>
      </c>
      <c r="C2521">
        <v>1</v>
      </c>
      <c r="D2521">
        <v>1</v>
      </c>
      <c r="E2521" t="s">
        <v>190</v>
      </c>
    </row>
    <row r="2522" spans="1:6" x14ac:dyDescent="0.25">
      <c r="A2522">
        <v>95</v>
      </c>
      <c r="B2522">
        <v>170</v>
      </c>
      <c r="C2522">
        <v>1</v>
      </c>
      <c r="D2522">
        <v>1</v>
      </c>
      <c r="E2522" t="s">
        <v>190</v>
      </c>
    </row>
    <row r="2523" spans="1:6" x14ac:dyDescent="0.25">
      <c r="A2523">
        <v>95</v>
      </c>
      <c r="B2523">
        <v>219</v>
      </c>
      <c r="C2523">
        <v>1</v>
      </c>
      <c r="D2523">
        <v>1</v>
      </c>
      <c r="E2523" t="s">
        <v>190</v>
      </c>
    </row>
    <row r="2524" spans="1:6" x14ac:dyDescent="0.25">
      <c r="A2524">
        <v>95</v>
      </c>
      <c r="B2524">
        <v>221</v>
      </c>
      <c r="C2524">
        <v>1</v>
      </c>
      <c r="D2524">
        <v>1</v>
      </c>
      <c r="E2524" t="s">
        <v>190</v>
      </c>
    </row>
    <row r="2525" spans="1:6" x14ac:dyDescent="0.25">
      <c r="A2525">
        <v>95</v>
      </c>
      <c r="B2525">
        <v>277</v>
      </c>
      <c r="C2525">
        <v>1</v>
      </c>
      <c r="D2525">
        <v>1</v>
      </c>
      <c r="E2525" t="s">
        <v>190</v>
      </c>
    </row>
    <row r="2526" spans="1:6" x14ac:dyDescent="0.25">
      <c r="A2526">
        <v>95</v>
      </c>
      <c r="B2526">
        <v>280</v>
      </c>
      <c r="C2526">
        <v>1</v>
      </c>
      <c r="D2526">
        <v>1</v>
      </c>
      <c r="E2526" t="s">
        <v>190</v>
      </c>
    </row>
    <row r="2527" spans="1:6" x14ac:dyDescent="0.25">
      <c r="A2527">
        <v>95</v>
      </c>
      <c r="B2527">
        <v>281</v>
      </c>
      <c r="C2527">
        <v>2</v>
      </c>
      <c r="D2527">
        <v>2</v>
      </c>
      <c r="E2527" t="s">
        <v>190</v>
      </c>
    </row>
    <row r="2528" spans="1:6" x14ac:dyDescent="0.25">
      <c r="A2528">
        <v>95</v>
      </c>
      <c r="B2528">
        <v>318</v>
      </c>
      <c r="C2528">
        <v>3</v>
      </c>
      <c r="D2528">
        <v>3</v>
      </c>
      <c r="E2528" t="s">
        <v>190</v>
      </c>
      <c r="F2528">
        <f>SUM(C2521:C2528)</f>
        <v>11</v>
      </c>
    </row>
    <row r="2529" spans="1:6" x14ac:dyDescent="0.25">
      <c r="A2529">
        <v>117</v>
      </c>
      <c r="B2529">
        <v>246</v>
      </c>
      <c r="C2529">
        <v>2</v>
      </c>
      <c r="D2529">
        <v>2</v>
      </c>
      <c r="E2529" t="s">
        <v>222</v>
      </c>
    </row>
    <row r="2530" spans="1:6" x14ac:dyDescent="0.25">
      <c r="A2530">
        <v>117</v>
      </c>
      <c r="B2530">
        <v>247</v>
      </c>
      <c r="C2530">
        <v>10</v>
      </c>
      <c r="D2530">
        <v>10</v>
      </c>
      <c r="E2530" t="s">
        <v>222</v>
      </c>
    </row>
    <row r="2531" spans="1:6" x14ac:dyDescent="0.25">
      <c r="A2531">
        <v>117</v>
      </c>
      <c r="B2531">
        <v>248</v>
      </c>
      <c r="C2531">
        <v>7</v>
      </c>
      <c r="D2531">
        <v>7</v>
      </c>
      <c r="E2531" t="s">
        <v>222</v>
      </c>
    </row>
    <row r="2532" spans="1:6" x14ac:dyDescent="0.25">
      <c r="A2532">
        <v>117</v>
      </c>
      <c r="B2532">
        <v>249</v>
      </c>
      <c r="C2532">
        <v>5</v>
      </c>
      <c r="D2532">
        <v>5</v>
      </c>
      <c r="E2532" t="s">
        <v>222</v>
      </c>
    </row>
    <row r="2533" spans="1:6" x14ac:dyDescent="0.25">
      <c r="A2533">
        <v>117</v>
      </c>
      <c r="B2533">
        <v>250</v>
      </c>
      <c r="C2533">
        <v>4</v>
      </c>
      <c r="D2533">
        <v>4</v>
      </c>
      <c r="E2533" t="s">
        <v>222</v>
      </c>
    </row>
    <row r="2534" spans="1:6" x14ac:dyDescent="0.25">
      <c r="A2534">
        <v>117</v>
      </c>
      <c r="B2534">
        <v>251</v>
      </c>
      <c r="C2534">
        <v>7</v>
      </c>
      <c r="D2534">
        <v>7</v>
      </c>
      <c r="E2534" t="s">
        <v>222</v>
      </c>
    </row>
    <row r="2535" spans="1:6" x14ac:dyDescent="0.25">
      <c r="A2535">
        <v>117</v>
      </c>
      <c r="B2535">
        <v>471</v>
      </c>
      <c r="C2535">
        <v>4</v>
      </c>
      <c r="D2535">
        <v>4</v>
      </c>
      <c r="E2535" t="s">
        <v>222</v>
      </c>
      <c r="F2535">
        <f>SUM(C2529:C2535)</f>
        <v>39</v>
      </c>
    </row>
    <row r="2536" spans="1:6" x14ac:dyDescent="0.25">
      <c r="A2536">
        <v>113</v>
      </c>
      <c r="B2536">
        <v>201</v>
      </c>
      <c r="C2536">
        <v>4</v>
      </c>
      <c r="D2536">
        <v>4</v>
      </c>
      <c r="E2536" t="s">
        <v>248</v>
      </c>
    </row>
    <row r="2537" spans="1:6" x14ac:dyDescent="0.25">
      <c r="A2537">
        <v>113</v>
      </c>
      <c r="B2537">
        <v>202</v>
      </c>
      <c r="C2537">
        <v>5</v>
      </c>
      <c r="D2537">
        <v>5</v>
      </c>
      <c r="E2537" t="s">
        <v>248</v>
      </c>
    </row>
    <row r="2538" spans="1:6" x14ac:dyDescent="0.25">
      <c r="A2538">
        <v>113</v>
      </c>
      <c r="B2538">
        <v>203</v>
      </c>
      <c r="C2538">
        <v>4</v>
      </c>
      <c r="D2538">
        <v>4</v>
      </c>
      <c r="E2538" t="s">
        <v>248</v>
      </c>
    </row>
    <row r="2539" spans="1:6" x14ac:dyDescent="0.25">
      <c r="A2539">
        <v>113</v>
      </c>
      <c r="B2539">
        <v>204</v>
      </c>
      <c r="C2539">
        <v>4</v>
      </c>
      <c r="D2539">
        <v>4</v>
      </c>
      <c r="E2539" t="s">
        <v>248</v>
      </c>
    </row>
    <row r="2540" spans="1:6" x14ac:dyDescent="0.25">
      <c r="A2540">
        <v>113</v>
      </c>
      <c r="B2540">
        <v>205</v>
      </c>
      <c r="C2540">
        <v>5</v>
      </c>
      <c r="D2540">
        <v>5</v>
      </c>
      <c r="E2540" t="s">
        <v>248</v>
      </c>
    </row>
    <row r="2541" spans="1:6" x14ac:dyDescent="0.25">
      <c r="A2541">
        <v>113</v>
      </c>
      <c r="B2541">
        <v>206</v>
      </c>
      <c r="C2541">
        <v>4</v>
      </c>
      <c r="D2541">
        <v>4</v>
      </c>
      <c r="E2541" t="s">
        <v>248</v>
      </c>
    </row>
    <row r="2542" spans="1:6" x14ac:dyDescent="0.25">
      <c r="A2542">
        <v>113</v>
      </c>
      <c r="B2542">
        <v>207</v>
      </c>
      <c r="C2542">
        <v>5</v>
      </c>
      <c r="D2542">
        <v>5</v>
      </c>
      <c r="E2542" t="s">
        <v>248</v>
      </c>
    </row>
    <row r="2543" spans="1:6" x14ac:dyDescent="0.25">
      <c r="A2543">
        <v>113</v>
      </c>
      <c r="B2543">
        <v>208</v>
      </c>
      <c r="C2543">
        <v>3</v>
      </c>
      <c r="D2543">
        <v>3</v>
      </c>
      <c r="E2543" t="s">
        <v>248</v>
      </c>
    </row>
    <row r="2544" spans="1:6" x14ac:dyDescent="0.25">
      <c r="A2544">
        <v>113</v>
      </c>
      <c r="B2544">
        <v>232</v>
      </c>
      <c r="C2544">
        <v>14</v>
      </c>
      <c r="D2544">
        <v>14</v>
      </c>
      <c r="E2544" t="s">
        <v>248</v>
      </c>
    </row>
    <row r="2545" spans="1:5" x14ac:dyDescent="0.25">
      <c r="A2545">
        <v>113</v>
      </c>
      <c r="B2545">
        <v>233</v>
      </c>
      <c r="C2545">
        <v>13</v>
      </c>
      <c r="D2545">
        <v>13</v>
      </c>
      <c r="E2545" t="s">
        <v>248</v>
      </c>
    </row>
    <row r="2546" spans="1:5" x14ac:dyDescent="0.25">
      <c r="A2546">
        <v>113</v>
      </c>
      <c r="B2546">
        <v>234</v>
      </c>
      <c r="C2546">
        <v>17</v>
      </c>
      <c r="D2546">
        <v>17</v>
      </c>
      <c r="E2546" t="s">
        <v>248</v>
      </c>
    </row>
    <row r="2547" spans="1:5" x14ac:dyDescent="0.25">
      <c r="A2547">
        <v>113</v>
      </c>
      <c r="B2547">
        <v>235</v>
      </c>
      <c r="C2547">
        <v>12</v>
      </c>
      <c r="D2547">
        <v>12</v>
      </c>
      <c r="E2547" t="s">
        <v>248</v>
      </c>
    </row>
    <row r="2548" spans="1:5" x14ac:dyDescent="0.25">
      <c r="A2548">
        <v>113</v>
      </c>
      <c r="B2548">
        <v>236</v>
      </c>
      <c r="C2548">
        <v>9</v>
      </c>
      <c r="D2548">
        <v>9</v>
      </c>
      <c r="E2548" t="s">
        <v>248</v>
      </c>
    </row>
    <row r="2549" spans="1:5" x14ac:dyDescent="0.25">
      <c r="A2549">
        <v>113</v>
      </c>
      <c r="B2549">
        <v>237</v>
      </c>
      <c r="C2549">
        <v>8</v>
      </c>
      <c r="D2549">
        <v>8</v>
      </c>
      <c r="E2549" t="s">
        <v>248</v>
      </c>
    </row>
    <row r="2550" spans="1:5" x14ac:dyDescent="0.25">
      <c r="A2550">
        <v>113</v>
      </c>
      <c r="B2550">
        <v>238</v>
      </c>
      <c r="C2550">
        <v>8</v>
      </c>
      <c r="D2550">
        <v>8</v>
      </c>
      <c r="E2550" t="s">
        <v>248</v>
      </c>
    </row>
    <row r="2551" spans="1:5" x14ac:dyDescent="0.25">
      <c r="A2551">
        <v>113</v>
      </c>
      <c r="B2551">
        <v>239</v>
      </c>
      <c r="C2551">
        <v>12</v>
      </c>
      <c r="D2551">
        <v>12</v>
      </c>
      <c r="E2551" t="s">
        <v>248</v>
      </c>
    </row>
    <row r="2552" spans="1:5" x14ac:dyDescent="0.25">
      <c r="A2552">
        <v>113</v>
      </c>
      <c r="B2552">
        <v>240</v>
      </c>
      <c r="C2552">
        <v>10</v>
      </c>
      <c r="D2552">
        <v>10</v>
      </c>
      <c r="E2552" t="s">
        <v>248</v>
      </c>
    </row>
    <row r="2553" spans="1:5" x14ac:dyDescent="0.25">
      <c r="A2553">
        <v>113</v>
      </c>
      <c r="B2553">
        <v>248</v>
      </c>
      <c r="C2553">
        <v>1</v>
      </c>
      <c r="D2553">
        <v>1</v>
      </c>
      <c r="E2553" t="s">
        <v>248</v>
      </c>
    </row>
    <row r="2554" spans="1:5" x14ac:dyDescent="0.25">
      <c r="A2554">
        <v>113</v>
      </c>
      <c r="B2554">
        <v>249</v>
      </c>
      <c r="C2554">
        <v>3</v>
      </c>
      <c r="D2554">
        <v>3</v>
      </c>
      <c r="E2554" t="s">
        <v>248</v>
      </c>
    </row>
    <row r="2555" spans="1:5" x14ac:dyDescent="0.25">
      <c r="A2555">
        <v>113</v>
      </c>
      <c r="B2555">
        <v>250</v>
      </c>
      <c r="C2555">
        <v>1</v>
      </c>
      <c r="D2555">
        <v>1</v>
      </c>
      <c r="E2555" t="s">
        <v>248</v>
      </c>
    </row>
    <row r="2556" spans="1:5" x14ac:dyDescent="0.25">
      <c r="A2556">
        <v>113</v>
      </c>
      <c r="B2556">
        <v>251</v>
      </c>
      <c r="C2556">
        <v>3</v>
      </c>
      <c r="D2556">
        <v>3</v>
      </c>
      <c r="E2556" t="s">
        <v>248</v>
      </c>
    </row>
    <row r="2557" spans="1:5" x14ac:dyDescent="0.25">
      <c r="A2557">
        <v>113</v>
      </c>
      <c r="B2557">
        <v>253</v>
      </c>
      <c r="C2557">
        <v>1</v>
      </c>
      <c r="D2557">
        <v>1</v>
      </c>
      <c r="E2557" t="s">
        <v>248</v>
      </c>
    </row>
    <row r="2558" spans="1:5" x14ac:dyDescent="0.25">
      <c r="A2558">
        <v>113</v>
      </c>
      <c r="B2558">
        <v>280</v>
      </c>
      <c r="C2558">
        <v>3</v>
      </c>
      <c r="D2558">
        <v>3</v>
      </c>
      <c r="E2558" t="s">
        <v>248</v>
      </c>
    </row>
    <row r="2559" spans="1:5" x14ac:dyDescent="0.25">
      <c r="A2559">
        <v>113</v>
      </c>
      <c r="B2559">
        <v>285</v>
      </c>
      <c r="C2559">
        <v>3</v>
      </c>
      <c r="D2559">
        <v>3</v>
      </c>
      <c r="E2559" t="s">
        <v>248</v>
      </c>
    </row>
    <row r="2560" spans="1:5" x14ac:dyDescent="0.25">
      <c r="A2560">
        <v>113</v>
      </c>
      <c r="B2560">
        <v>316</v>
      </c>
      <c r="C2560">
        <v>1</v>
      </c>
      <c r="D2560">
        <v>1</v>
      </c>
      <c r="E2560" t="s">
        <v>248</v>
      </c>
    </row>
    <row r="2561" spans="1:5" x14ac:dyDescent="0.25">
      <c r="A2561">
        <v>113</v>
      </c>
      <c r="B2561">
        <v>337</v>
      </c>
      <c r="C2561">
        <v>1</v>
      </c>
      <c r="D2561">
        <v>1</v>
      </c>
      <c r="E2561" t="s">
        <v>248</v>
      </c>
    </row>
    <row r="2562" spans="1:5" x14ac:dyDescent="0.25">
      <c r="A2562">
        <v>113</v>
      </c>
      <c r="B2562">
        <v>338</v>
      </c>
      <c r="C2562">
        <v>2</v>
      </c>
      <c r="D2562">
        <v>2</v>
      </c>
      <c r="E2562" t="s">
        <v>248</v>
      </c>
    </row>
    <row r="2563" spans="1:5" x14ac:dyDescent="0.25">
      <c r="A2563">
        <v>113</v>
      </c>
      <c r="B2563">
        <v>339</v>
      </c>
      <c r="C2563">
        <v>1</v>
      </c>
      <c r="D2563">
        <v>1</v>
      </c>
      <c r="E2563" t="s">
        <v>248</v>
      </c>
    </row>
    <row r="2564" spans="1:5" x14ac:dyDescent="0.25">
      <c r="A2564">
        <v>113</v>
      </c>
      <c r="B2564">
        <v>340</v>
      </c>
      <c r="C2564">
        <v>2</v>
      </c>
      <c r="D2564">
        <v>2</v>
      </c>
      <c r="E2564" t="s">
        <v>248</v>
      </c>
    </row>
    <row r="2565" spans="1:5" x14ac:dyDescent="0.25">
      <c r="A2565">
        <v>113</v>
      </c>
      <c r="B2565">
        <v>341</v>
      </c>
      <c r="C2565">
        <v>1</v>
      </c>
      <c r="D2565">
        <v>1</v>
      </c>
      <c r="E2565" t="s">
        <v>248</v>
      </c>
    </row>
    <row r="2566" spans="1:5" x14ac:dyDescent="0.25">
      <c r="A2566">
        <v>113</v>
      </c>
      <c r="B2566">
        <v>342</v>
      </c>
      <c r="C2566">
        <v>2</v>
      </c>
      <c r="D2566">
        <v>2</v>
      </c>
      <c r="E2566" t="s">
        <v>248</v>
      </c>
    </row>
    <row r="2567" spans="1:5" x14ac:dyDescent="0.25">
      <c r="A2567">
        <v>113</v>
      </c>
      <c r="B2567">
        <v>343</v>
      </c>
      <c r="C2567">
        <v>5</v>
      </c>
      <c r="D2567">
        <v>5</v>
      </c>
      <c r="E2567" t="s">
        <v>248</v>
      </c>
    </row>
    <row r="2568" spans="1:5" x14ac:dyDescent="0.25">
      <c r="A2568">
        <v>113</v>
      </c>
      <c r="B2568">
        <v>345</v>
      </c>
      <c r="C2568">
        <v>2</v>
      </c>
      <c r="D2568">
        <v>2</v>
      </c>
      <c r="E2568" t="s">
        <v>248</v>
      </c>
    </row>
    <row r="2569" spans="1:5" x14ac:dyDescent="0.25">
      <c r="A2569">
        <v>113</v>
      </c>
      <c r="B2569">
        <v>347</v>
      </c>
      <c r="C2569">
        <v>6</v>
      </c>
      <c r="D2569">
        <v>6</v>
      </c>
      <c r="E2569" t="s">
        <v>248</v>
      </c>
    </row>
    <row r="2570" spans="1:5" x14ac:dyDescent="0.25">
      <c r="A2570">
        <v>113</v>
      </c>
      <c r="B2570">
        <v>348</v>
      </c>
      <c r="C2570">
        <v>4</v>
      </c>
      <c r="D2570">
        <v>4</v>
      </c>
      <c r="E2570" t="s">
        <v>248</v>
      </c>
    </row>
    <row r="2571" spans="1:5" x14ac:dyDescent="0.25">
      <c r="A2571">
        <v>113</v>
      </c>
      <c r="B2571">
        <v>349</v>
      </c>
      <c r="C2571">
        <v>4</v>
      </c>
      <c r="D2571">
        <v>4</v>
      </c>
      <c r="E2571" t="s">
        <v>248</v>
      </c>
    </row>
    <row r="2572" spans="1:5" x14ac:dyDescent="0.25">
      <c r="A2572">
        <v>113</v>
      </c>
      <c r="B2572">
        <v>381</v>
      </c>
      <c r="C2572">
        <v>2</v>
      </c>
      <c r="D2572">
        <v>2</v>
      </c>
      <c r="E2572" t="s">
        <v>248</v>
      </c>
    </row>
    <row r="2573" spans="1:5" x14ac:dyDescent="0.25">
      <c r="A2573">
        <v>113</v>
      </c>
      <c r="B2573">
        <v>382</v>
      </c>
      <c r="C2573">
        <v>4</v>
      </c>
      <c r="D2573">
        <v>4</v>
      </c>
      <c r="E2573" t="s">
        <v>248</v>
      </c>
    </row>
    <row r="2574" spans="1:5" x14ac:dyDescent="0.25">
      <c r="A2574">
        <v>113</v>
      </c>
      <c r="B2574">
        <v>399</v>
      </c>
      <c r="C2574">
        <v>14</v>
      </c>
      <c r="D2574">
        <v>14</v>
      </c>
      <c r="E2574" t="s">
        <v>248</v>
      </c>
    </row>
    <row r="2575" spans="1:5" x14ac:dyDescent="0.25">
      <c r="A2575">
        <v>113</v>
      </c>
      <c r="B2575">
        <v>400</v>
      </c>
      <c r="C2575">
        <v>9</v>
      </c>
      <c r="D2575">
        <v>9</v>
      </c>
      <c r="E2575" t="s">
        <v>248</v>
      </c>
    </row>
    <row r="2576" spans="1:5" x14ac:dyDescent="0.25">
      <c r="A2576">
        <v>113</v>
      </c>
      <c r="B2576">
        <v>401</v>
      </c>
      <c r="C2576">
        <v>4</v>
      </c>
      <c r="D2576">
        <v>4</v>
      </c>
      <c r="E2576" t="s">
        <v>248</v>
      </c>
    </row>
    <row r="2577" spans="1:6" x14ac:dyDescent="0.25">
      <c r="A2577">
        <v>113</v>
      </c>
      <c r="B2577">
        <v>402</v>
      </c>
      <c r="C2577">
        <v>6</v>
      </c>
      <c r="D2577">
        <v>6</v>
      </c>
      <c r="E2577" t="s">
        <v>248</v>
      </c>
    </row>
    <row r="2578" spans="1:6" x14ac:dyDescent="0.25">
      <c r="A2578">
        <v>113</v>
      </c>
      <c r="B2578">
        <v>403</v>
      </c>
      <c r="C2578">
        <v>6</v>
      </c>
      <c r="D2578">
        <v>6</v>
      </c>
      <c r="E2578" t="s">
        <v>248</v>
      </c>
    </row>
    <row r="2579" spans="1:6" x14ac:dyDescent="0.25">
      <c r="A2579">
        <v>113</v>
      </c>
      <c r="B2579">
        <v>404</v>
      </c>
      <c r="C2579">
        <v>4</v>
      </c>
      <c r="D2579">
        <v>4</v>
      </c>
      <c r="E2579" t="s">
        <v>248</v>
      </c>
    </row>
    <row r="2580" spans="1:6" x14ac:dyDescent="0.25">
      <c r="A2580">
        <v>113</v>
      </c>
      <c r="B2580">
        <v>405</v>
      </c>
      <c r="C2580">
        <v>4</v>
      </c>
      <c r="D2580">
        <v>4</v>
      </c>
      <c r="E2580" t="s">
        <v>248</v>
      </c>
    </row>
    <row r="2581" spans="1:6" x14ac:dyDescent="0.25">
      <c r="A2581">
        <v>113</v>
      </c>
      <c r="B2581">
        <v>406</v>
      </c>
      <c r="C2581">
        <v>8</v>
      </c>
      <c r="D2581">
        <v>8</v>
      </c>
      <c r="E2581" t="s">
        <v>248</v>
      </c>
    </row>
    <row r="2582" spans="1:6" x14ac:dyDescent="0.25">
      <c r="A2582">
        <v>113</v>
      </c>
      <c r="B2582">
        <v>407</v>
      </c>
      <c r="C2582">
        <v>4</v>
      </c>
      <c r="D2582">
        <v>4</v>
      </c>
      <c r="E2582" t="s">
        <v>248</v>
      </c>
    </row>
    <row r="2583" spans="1:6" x14ac:dyDescent="0.25">
      <c r="A2583">
        <v>113</v>
      </c>
      <c r="B2583">
        <v>440</v>
      </c>
      <c r="C2583">
        <v>6</v>
      </c>
      <c r="D2583">
        <v>6</v>
      </c>
      <c r="E2583" t="s">
        <v>248</v>
      </c>
    </row>
    <row r="2584" spans="1:6" x14ac:dyDescent="0.25">
      <c r="A2584">
        <v>113</v>
      </c>
      <c r="B2584">
        <v>443</v>
      </c>
      <c r="C2584">
        <v>2</v>
      </c>
      <c r="D2584">
        <v>2</v>
      </c>
      <c r="E2584" t="s">
        <v>248</v>
      </c>
      <c r="F2584">
        <f>SUM(C2536:C2584)</f>
        <v>256</v>
      </c>
    </row>
    <row r="2585" spans="1:6" x14ac:dyDescent="0.25">
      <c r="A2585">
        <v>118</v>
      </c>
      <c r="B2585">
        <v>54</v>
      </c>
      <c r="C2585">
        <v>1</v>
      </c>
      <c r="D2585">
        <v>1</v>
      </c>
      <c r="E2585" t="s">
        <v>249</v>
      </c>
    </row>
    <row r="2586" spans="1:6" x14ac:dyDescent="0.25">
      <c r="A2586">
        <v>118</v>
      </c>
      <c r="B2586">
        <v>55</v>
      </c>
      <c r="C2586">
        <v>1</v>
      </c>
      <c r="D2586">
        <v>1</v>
      </c>
      <c r="E2586" t="s">
        <v>249</v>
      </c>
    </row>
    <row r="2587" spans="1:6" x14ac:dyDescent="0.25">
      <c r="A2587">
        <v>118</v>
      </c>
      <c r="B2587">
        <v>56</v>
      </c>
      <c r="C2587">
        <v>8</v>
      </c>
      <c r="D2587">
        <v>8</v>
      </c>
      <c r="E2587" t="s">
        <v>249</v>
      </c>
    </row>
    <row r="2588" spans="1:6" x14ac:dyDescent="0.25">
      <c r="A2588">
        <v>118</v>
      </c>
      <c r="B2588">
        <v>116</v>
      </c>
      <c r="C2588">
        <v>3</v>
      </c>
      <c r="D2588">
        <v>3</v>
      </c>
      <c r="E2588" t="s">
        <v>249</v>
      </c>
    </row>
    <row r="2589" spans="1:6" x14ac:dyDescent="0.25">
      <c r="A2589">
        <v>118</v>
      </c>
      <c r="B2589">
        <v>117</v>
      </c>
      <c r="C2589">
        <v>2</v>
      </c>
      <c r="D2589">
        <v>2</v>
      </c>
      <c r="E2589" t="s">
        <v>249</v>
      </c>
    </row>
    <row r="2590" spans="1:6" x14ac:dyDescent="0.25">
      <c r="A2590">
        <v>118</v>
      </c>
      <c r="B2590">
        <v>118</v>
      </c>
      <c r="C2590">
        <v>5</v>
      </c>
      <c r="D2590">
        <v>5</v>
      </c>
      <c r="E2590" t="s">
        <v>249</v>
      </c>
    </row>
    <row r="2591" spans="1:6" x14ac:dyDescent="0.25">
      <c r="A2591">
        <v>118</v>
      </c>
      <c r="B2591">
        <v>119</v>
      </c>
      <c r="C2591">
        <v>1</v>
      </c>
      <c r="D2591">
        <v>1</v>
      </c>
      <c r="E2591" t="s">
        <v>249</v>
      </c>
    </row>
    <row r="2592" spans="1:6" x14ac:dyDescent="0.25">
      <c r="A2592">
        <v>118</v>
      </c>
      <c r="B2592">
        <v>120</v>
      </c>
      <c r="C2592">
        <v>2</v>
      </c>
      <c r="D2592">
        <v>2</v>
      </c>
      <c r="E2592" t="s">
        <v>249</v>
      </c>
    </row>
    <row r="2593" spans="1:5" x14ac:dyDescent="0.25">
      <c r="A2593">
        <v>118</v>
      </c>
      <c r="B2593">
        <v>121</v>
      </c>
      <c r="C2593">
        <v>2</v>
      </c>
      <c r="D2593">
        <v>2</v>
      </c>
      <c r="E2593" t="s">
        <v>249</v>
      </c>
    </row>
    <row r="2594" spans="1:5" x14ac:dyDescent="0.25">
      <c r="A2594">
        <v>118</v>
      </c>
      <c r="B2594">
        <v>122</v>
      </c>
      <c r="C2594">
        <v>3</v>
      </c>
      <c r="D2594">
        <v>3</v>
      </c>
      <c r="E2594" t="s">
        <v>249</v>
      </c>
    </row>
    <row r="2595" spans="1:5" x14ac:dyDescent="0.25">
      <c r="A2595">
        <v>118</v>
      </c>
      <c r="B2595">
        <v>123</v>
      </c>
      <c r="C2595">
        <v>4</v>
      </c>
      <c r="D2595">
        <v>4</v>
      </c>
      <c r="E2595" t="s">
        <v>249</v>
      </c>
    </row>
    <row r="2596" spans="1:5" x14ac:dyDescent="0.25">
      <c r="A2596">
        <v>118</v>
      </c>
      <c r="B2596">
        <v>124</v>
      </c>
      <c r="C2596">
        <v>4</v>
      </c>
      <c r="D2596">
        <v>4</v>
      </c>
      <c r="E2596" t="s">
        <v>249</v>
      </c>
    </row>
    <row r="2597" spans="1:5" x14ac:dyDescent="0.25">
      <c r="A2597">
        <v>118</v>
      </c>
      <c r="B2597">
        <v>213</v>
      </c>
      <c r="C2597">
        <v>1</v>
      </c>
      <c r="D2597">
        <v>1</v>
      </c>
      <c r="E2597" t="s">
        <v>249</v>
      </c>
    </row>
    <row r="2598" spans="1:5" x14ac:dyDescent="0.25">
      <c r="A2598">
        <v>118</v>
      </c>
      <c r="B2598">
        <v>216</v>
      </c>
      <c r="C2598">
        <v>4</v>
      </c>
      <c r="D2598">
        <v>4</v>
      </c>
      <c r="E2598" t="s">
        <v>249</v>
      </c>
    </row>
    <row r="2599" spans="1:5" x14ac:dyDescent="0.25">
      <c r="A2599">
        <v>118</v>
      </c>
      <c r="B2599">
        <v>217</v>
      </c>
      <c r="C2599">
        <v>2</v>
      </c>
      <c r="D2599">
        <v>2</v>
      </c>
      <c r="E2599" t="s">
        <v>249</v>
      </c>
    </row>
    <row r="2600" spans="1:5" x14ac:dyDescent="0.25">
      <c r="A2600">
        <v>118</v>
      </c>
      <c r="B2600">
        <v>219</v>
      </c>
      <c r="C2600">
        <v>3</v>
      </c>
      <c r="D2600">
        <v>3</v>
      </c>
      <c r="E2600" t="s">
        <v>249</v>
      </c>
    </row>
    <row r="2601" spans="1:5" x14ac:dyDescent="0.25">
      <c r="A2601">
        <v>118</v>
      </c>
      <c r="B2601">
        <v>220</v>
      </c>
      <c r="C2601">
        <v>2</v>
      </c>
      <c r="D2601">
        <v>2</v>
      </c>
      <c r="E2601" t="s">
        <v>249</v>
      </c>
    </row>
    <row r="2602" spans="1:5" x14ac:dyDescent="0.25">
      <c r="A2602">
        <v>118</v>
      </c>
      <c r="B2602">
        <v>221</v>
      </c>
      <c r="C2602">
        <v>1</v>
      </c>
      <c r="D2602">
        <v>1</v>
      </c>
      <c r="E2602" t="s">
        <v>249</v>
      </c>
    </row>
    <row r="2603" spans="1:5" x14ac:dyDescent="0.25">
      <c r="A2603">
        <v>118</v>
      </c>
      <c r="B2603">
        <v>222</v>
      </c>
      <c r="C2603">
        <v>1</v>
      </c>
      <c r="D2603">
        <v>1</v>
      </c>
      <c r="E2603" t="s">
        <v>249</v>
      </c>
    </row>
    <row r="2604" spans="1:5" x14ac:dyDescent="0.25">
      <c r="A2604">
        <v>118</v>
      </c>
      <c r="B2604">
        <v>236</v>
      </c>
      <c r="C2604">
        <v>6</v>
      </c>
      <c r="D2604">
        <v>6</v>
      </c>
      <c r="E2604" t="s">
        <v>249</v>
      </c>
    </row>
    <row r="2605" spans="1:5" x14ac:dyDescent="0.25">
      <c r="A2605">
        <v>118</v>
      </c>
      <c r="B2605">
        <v>278</v>
      </c>
      <c r="C2605">
        <v>3</v>
      </c>
      <c r="D2605">
        <v>3</v>
      </c>
      <c r="E2605" t="s">
        <v>249</v>
      </c>
    </row>
    <row r="2606" spans="1:5" x14ac:dyDescent="0.25">
      <c r="A2606">
        <v>118</v>
      </c>
      <c r="B2606">
        <v>279</v>
      </c>
      <c r="C2606">
        <v>2</v>
      </c>
      <c r="D2606">
        <v>2</v>
      </c>
      <c r="E2606" t="s">
        <v>249</v>
      </c>
    </row>
    <row r="2607" spans="1:5" x14ac:dyDescent="0.25">
      <c r="A2607">
        <v>118</v>
      </c>
      <c r="B2607">
        <v>288</v>
      </c>
      <c r="C2607">
        <v>3</v>
      </c>
      <c r="D2607">
        <v>3</v>
      </c>
      <c r="E2607" t="s">
        <v>249</v>
      </c>
    </row>
    <row r="2608" spans="1:5" x14ac:dyDescent="0.25">
      <c r="A2608">
        <v>118</v>
      </c>
      <c r="B2608">
        <v>293</v>
      </c>
      <c r="C2608">
        <v>7</v>
      </c>
      <c r="D2608">
        <v>7</v>
      </c>
      <c r="E2608" t="s">
        <v>249</v>
      </c>
    </row>
    <row r="2609" spans="1:5" x14ac:dyDescent="0.25">
      <c r="A2609">
        <v>118</v>
      </c>
      <c r="B2609">
        <v>294</v>
      </c>
      <c r="C2609">
        <v>2</v>
      </c>
      <c r="D2609">
        <v>2</v>
      </c>
      <c r="E2609" t="s">
        <v>249</v>
      </c>
    </row>
    <row r="2610" spans="1:5" x14ac:dyDescent="0.25">
      <c r="A2610">
        <v>118</v>
      </c>
      <c r="B2610">
        <v>306</v>
      </c>
      <c r="C2610">
        <v>3</v>
      </c>
      <c r="D2610">
        <v>3</v>
      </c>
      <c r="E2610" t="s">
        <v>249</v>
      </c>
    </row>
    <row r="2611" spans="1:5" x14ac:dyDescent="0.25">
      <c r="A2611">
        <v>118</v>
      </c>
      <c r="B2611">
        <v>316</v>
      </c>
      <c r="C2611">
        <v>1</v>
      </c>
      <c r="D2611">
        <v>1</v>
      </c>
      <c r="E2611" t="s">
        <v>249</v>
      </c>
    </row>
    <row r="2612" spans="1:5" x14ac:dyDescent="0.25">
      <c r="A2612">
        <v>118</v>
      </c>
      <c r="B2612">
        <v>317</v>
      </c>
      <c r="C2612">
        <v>6</v>
      </c>
      <c r="D2612">
        <v>6</v>
      </c>
      <c r="E2612" t="s">
        <v>249</v>
      </c>
    </row>
    <row r="2613" spans="1:5" x14ac:dyDescent="0.25">
      <c r="A2613">
        <v>118</v>
      </c>
      <c r="B2613">
        <v>319</v>
      </c>
      <c r="C2613">
        <v>1</v>
      </c>
      <c r="D2613">
        <v>1</v>
      </c>
      <c r="E2613" t="s">
        <v>249</v>
      </c>
    </row>
    <row r="2614" spans="1:5" x14ac:dyDescent="0.25">
      <c r="A2614">
        <v>118</v>
      </c>
      <c r="B2614">
        <v>332</v>
      </c>
      <c r="C2614">
        <v>6</v>
      </c>
      <c r="D2614">
        <v>6</v>
      </c>
      <c r="E2614" t="s">
        <v>249</v>
      </c>
    </row>
    <row r="2615" spans="1:5" x14ac:dyDescent="0.25">
      <c r="A2615">
        <v>118</v>
      </c>
      <c r="B2615">
        <v>346</v>
      </c>
      <c r="C2615">
        <v>3</v>
      </c>
      <c r="D2615">
        <v>3</v>
      </c>
      <c r="E2615" t="s">
        <v>249</v>
      </c>
    </row>
    <row r="2616" spans="1:5" x14ac:dyDescent="0.25">
      <c r="A2616">
        <v>118</v>
      </c>
      <c r="B2616">
        <v>360</v>
      </c>
      <c r="C2616">
        <v>1</v>
      </c>
      <c r="D2616">
        <v>1</v>
      </c>
      <c r="E2616" t="s">
        <v>249</v>
      </c>
    </row>
    <row r="2617" spans="1:5" x14ac:dyDescent="0.25">
      <c r="A2617">
        <v>118</v>
      </c>
      <c r="B2617">
        <v>376</v>
      </c>
      <c r="C2617">
        <v>1</v>
      </c>
      <c r="D2617">
        <v>1</v>
      </c>
      <c r="E2617" t="s">
        <v>249</v>
      </c>
    </row>
    <row r="2618" spans="1:5" x14ac:dyDescent="0.25">
      <c r="A2618">
        <v>118</v>
      </c>
      <c r="B2618">
        <v>380</v>
      </c>
      <c r="C2618">
        <v>19</v>
      </c>
      <c r="D2618">
        <v>19</v>
      </c>
      <c r="E2618" t="s">
        <v>249</v>
      </c>
    </row>
    <row r="2619" spans="1:5" x14ac:dyDescent="0.25">
      <c r="A2619">
        <v>118</v>
      </c>
      <c r="B2619">
        <v>381</v>
      </c>
      <c r="C2619">
        <v>1</v>
      </c>
      <c r="D2619">
        <v>1</v>
      </c>
      <c r="E2619" t="s">
        <v>249</v>
      </c>
    </row>
    <row r="2620" spans="1:5" x14ac:dyDescent="0.25">
      <c r="A2620">
        <v>118</v>
      </c>
      <c r="B2620">
        <v>384</v>
      </c>
      <c r="C2620">
        <v>7</v>
      </c>
      <c r="D2620">
        <v>7</v>
      </c>
      <c r="E2620" t="s">
        <v>249</v>
      </c>
    </row>
    <row r="2621" spans="1:5" x14ac:dyDescent="0.25">
      <c r="A2621">
        <v>118</v>
      </c>
      <c r="B2621">
        <v>385</v>
      </c>
      <c r="C2621">
        <v>1</v>
      </c>
      <c r="D2621">
        <v>1</v>
      </c>
      <c r="E2621" t="s">
        <v>249</v>
      </c>
    </row>
    <row r="2622" spans="1:5" x14ac:dyDescent="0.25">
      <c r="A2622">
        <v>118</v>
      </c>
      <c r="B2622">
        <v>408</v>
      </c>
      <c r="C2622">
        <v>6</v>
      </c>
      <c r="D2622">
        <v>6</v>
      </c>
      <c r="E2622" t="s">
        <v>249</v>
      </c>
    </row>
    <row r="2623" spans="1:5" x14ac:dyDescent="0.25">
      <c r="A2623">
        <v>118</v>
      </c>
      <c r="B2623">
        <v>420</v>
      </c>
      <c r="C2623">
        <v>2</v>
      </c>
      <c r="D2623">
        <v>2</v>
      </c>
      <c r="E2623" t="s">
        <v>249</v>
      </c>
    </row>
    <row r="2624" spans="1:5" x14ac:dyDescent="0.25">
      <c r="A2624">
        <v>118</v>
      </c>
      <c r="B2624">
        <v>429</v>
      </c>
      <c r="C2624">
        <v>4</v>
      </c>
      <c r="D2624">
        <v>4</v>
      </c>
      <c r="E2624" t="s">
        <v>249</v>
      </c>
    </row>
    <row r="2625" spans="1:5" x14ac:dyDescent="0.25">
      <c r="A2625">
        <v>118</v>
      </c>
      <c r="B2625">
        <v>459</v>
      </c>
      <c r="C2625">
        <v>4</v>
      </c>
      <c r="D2625">
        <v>4</v>
      </c>
      <c r="E2625" t="s">
        <v>249</v>
      </c>
    </row>
    <row r="2626" spans="1:5" x14ac:dyDescent="0.25">
      <c r="A2626">
        <v>118</v>
      </c>
      <c r="B2626">
        <v>463</v>
      </c>
      <c r="C2626">
        <v>1</v>
      </c>
      <c r="D2626">
        <v>1</v>
      </c>
      <c r="E2626" t="s">
        <v>249</v>
      </c>
    </row>
    <row r="2627" spans="1:5" x14ac:dyDescent="0.25">
      <c r="A2627">
        <v>118</v>
      </c>
      <c r="B2627">
        <v>469</v>
      </c>
      <c r="C2627">
        <v>5</v>
      </c>
      <c r="D2627">
        <v>5</v>
      </c>
      <c r="E2627" t="s">
        <v>249</v>
      </c>
    </row>
    <row r="2628" spans="1:5" x14ac:dyDescent="0.25">
      <c r="A2628">
        <v>118</v>
      </c>
      <c r="B2628">
        <v>480</v>
      </c>
      <c r="C2628">
        <v>7</v>
      </c>
      <c r="D2628">
        <v>7</v>
      </c>
      <c r="E2628" t="s">
        <v>249</v>
      </c>
    </row>
    <row r="2629" spans="1:5" x14ac:dyDescent="0.25">
      <c r="A2629">
        <v>118</v>
      </c>
      <c r="B2629">
        <v>491</v>
      </c>
      <c r="C2629">
        <v>1</v>
      </c>
      <c r="D2629">
        <v>1</v>
      </c>
      <c r="E2629" t="s">
        <v>249</v>
      </c>
    </row>
    <row r="2630" spans="1:5" x14ac:dyDescent="0.25">
      <c r="A2630">
        <v>118</v>
      </c>
      <c r="B2630">
        <v>506</v>
      </c>
      <c r="C2630">
        <v>2</v>
      </c>
      <c r="D2630">
        <v>2</v>
      </c>
      <c r="E2630" t="s">
        <v>249</v>
      </c>
    </row>
    <row r="2631" spans="1:5" x14ac:dyDescent="0.25">
      <c r="A2631">
        <v>118</v>
      </c>
      <c r="B2631">
        <v>510</v>
      </c>
      <c r="C2631">
        <v>3</v>
      </c>
      <c r="D2631">
        <v>3</v>
      </c>
      <c r="E2631" t="s">
        <v>249</v>
      </c>
    </row>
    <row r="2632" spans="1:5" x14ac:dyDescent="0.25">
      <c r="A2632">
        <v>118</v>
      </c>
      <c r="B2632">
        <v>513</v>
      </c>
      <c r="C2632">
        <v>11</v>
      </c>
      <c r="D2632">
        <v>11</v>
      </c>
      <c r="E2632" t="s">
        <v>249</v>
      </c>
    </row>
    <row r="2633" spans="1:5" x14ac:dyDescent="0.25">
      <c r="A2633">
        <v>118</v>
      </c>
      <c r="B2633">
        <v>514</v>
      </c>
      <c r="C2633">
        <v>6</v>
      </c>
      <c r="D2633">
        <v>6</v>
      </c>
      <c r="E2633" t="s">
        <v>249</v>
      </c>
    </row>
    <row r="2634" spans="1:5" x14ac:dyDescent="0.25">
      <c r="A2634">
        <v>118</v>
      </c>
      <c r="B2634">
        <v>515</v>
      </c>
      <c r="C2634">
        <v>1</v>
      </c>
      <c r="D2634">
        <v>1</v>
      </c>
      <c r="E2634" t="s">
        <v>249</v>
      </c>
    </row>
    <row r="2635" spans="1:5" x14ac:dyDescent="0.25">
      <c r="A2635">
        <v>118</v>
      </c>
      <c r="B2635">
        <v>524</v>
      </c>
      <c r="C2635">
        <v>3</v>
      </c>
      <c r="D2635">
        <v>3</v>
      </c>
      <c r="E2635" t="s">
        <v>249</v>
      </c>
    </row>
    <row r="2636" spans="1:5" x14ac:dyDescent="0.25">
      <c r="A2636">
        <v>118</v>
      </c>
      <c r="B2636">
        <v>526</v>
      </c>
      <c r="C2636">
        <v>3</v>
      </c>
      <c r="D2636">
        <v>3</v>
      </c>
      <c r="E2636" t="s">
        <v>249</v>
      </c>
    </row>
    <row r="2637" spans="1:5" x14ac:dyDescent="0.25">
      <c r="A2637">
        <v>118</v>
      </c>
      <c r="B2637">
        <v>531</v>
      </c>
      <c r="C2637">
        <v>2</v>
      </c>
      <c r="D2637">
        <v>2</v>
      </c>
      <c r="E2637" t="s">
        <v>249</v>
      </c>
    </row>
    <row r="2638" spans="1:5" x14ac:dyDescent="0.25">
      <c r="A2638">
        <v>118</v>
      </c>
      <c r="B2638">
        <v>617</v>
      </c>
      <c r="C2638">
        <v>9</v>
      </c>
      <c r="D2638">
        <v>9</v>
      </c>
      <c r="E2638" t="s">
        <v>249</v>
      </c>
    </row>
    <row r="2639" spans="1:5" x14ac:dyDescent="0.25">
      <c r="A2639">
        <v>118</v>
      </c>
      <c r="B2639">
        <v>622</v>
      </c>
      <c r="C2639">
        <v>1</v>
      </c>
      <c r="D2639">
        <v>1</v>
      </c>
      <c r="E2639" t="s">
        <v>249</v>
      </c>
    </row>
    <row r="2640" spans="1:5" x14ac:dyDescent="0.25">
      <c r="A2640">
        <v>118</v>
      </c>
      <c r="B2640">
        <v>623</v>
      </c>
      <c r="C2640">
        <v>2</v>
      </c>
      <c r="D2640">
        <v>2</v>
      </c>
      <c r="E2640" t="s">
        <v>249</v>
      </c>
    </row>
    <row r="2641" spans="1:6" x14ac:dyDescent="0.25">
      <c r="A2641">
        <v>118</v>
      </c>
      <c r="B2641">
        <v>624</v>
      </c>
      <c r="C2641">
        <v>7</v>
      </c>
      <c r="D2641">
        <v>7</v>
      </c>
      <c r="E2641" t="s">
        <v>249</v>
      </c>
    </row>
    <row r="2642" spans="1:6" x14ac:dyDescent="0.25">
      <c r="A2642">
        <v>118</v>
      </c>
      <c r="B2642">
        <v>629</v>
      </c>
      <c r="C2642">
        <v>2</v>
      </c>
      <c r="D2642">
        <v>2</v>
      </c>
      <c r="E2642" t="s">
        <v>249</v>
      </c>
    </row>
    <row r="2643" spans="1:6" x14ac:dyDescent="0.25">
      <c r="A2643">
        <v>118</v>
      </c>
      <c r="B2643">
        <v>631</v>
      </c>
      <c r="C2643">
        <v>17</v>
      </c>
      <c r="D2643">
        <v>17</v>
      </c>
      <c r="E2643" t="s">
        <v>249</v>
      </c>
    </row>
    <row r="2644" spans="1:6" x14ac:dyDescent="0.25">
      <c r="A2644">
        <v>118</v>
      </c>
      <c r="B2644">
        <v>638</v>
      </c>
      <c r="C2644">
        <v>10</v>
      </c>
      <c r="D2644">
        <v>10</v>
      </c>
      <c r="E2644" t="s">
        <v>249</v>
      </c>
    </row>
    <row r="2645" spans="1:6" x14ac:dyDescent="0.25">
      <c r="A2645">
        <v>118</v>
      </c>
      <c r="B2645">
        <v>643</v>
      </c>
      <c r="C2645">
        <v>2</v>
      </c>
      <c r="D2645">
        <v>2</v>
      </c>
      <c r="E2645" t="s">
        <v>249</v>
      </c>
    </row>
    <row r="2646" spans="1:6" x14ac:dyDescent="0.25">
      <c r="A2646">
        <v>118</v>
      </c>
      <c r="B2646">
        <v>644</v>
      </c>
      <c r="C2646">
        <v>2</v>
      </c>
      <c r="D2646">
        <v>2</v>
      </c>
      <c r="E2646" t="s">
        <v>249</v>
      </c>
    </row>
    <row r="2647" spans="1:6" x14ac:dyDescent="0.25">
      <c r="A2647">
        <v>118</v>
      </c>
      <c r="B2647">
        <v>650</v>
      </c>
      <c r="C2647">
        <v>2</v>
      </c>
      <c r="D2647">
        <v>2</v>
      </c>
      <c r="E2647" t="s">
        <v>249</v>
      </c>
    </row>
    <row r="2648" spans="1:6" x14ac:dyDescent="0.25">
      <c r="A2648">
        <v>118</v>
      </c>
      <c r="B2648">
        <v>655</v>
      </c>
      <c r="C2648">
        <v>3</v>
      </c>
      <c r="D2648">
        <v>3</v>
      </c>
      <c r="E2648" t="s">
        <v>249</v>
      </c>
    </row>
    <row r="2649" spans="1:6" x14ac:dyDescent="0.25">
      <c r="A2649">
        <v>118</v>
      </c>
      <c r="B2649">
        <v>657</v>
      </c>
      <c r="C2649">
        <v>1</v>
      </c>
      <c r="D2649">
        <v>1</v>
      </c>
      <c r="E2649" t="s">
        <v>249</v>
      </c>
    </row>
    <row r="2650" spans="1:6" x14ac:dyDescent="0.25">
      <c r="A2650">
        <v>118</v>
      </c>
      <c r="B2650">
        <v>663</v>
      </c>
      <c r="C2650">
        <v>4</v>
      </c>
      <c r="D2650">
        <v>4</v>
      </c>
      <c r="E2650" t="s">
        <v>249</v>
      </c>
    </row>
    <row r="2651" spans="1:6" x14ac:dyDescent="0.25">
      <c r="A2651">
        <v>118</v>
      </c>
      <c r="B2651">
        <v>666</v>
      </c>
      <c r="C2651">
        <v>15</v>
      </c>
      <c r="D2651">
        <v>15</v>
      </c>
      <c r="E2651" t="s">
        <v>249</v>
      </c>
    </row>
    <row r="2652" spans="1:6" x14ac:dyDescent="0.25">
      <c r="A2652">
        <v>118</v>
      </c>
      <c r="B2652">
        <v>668</v>
      </c>
      <c r="C2652">
        <v>2</v>
      </c>
      <c r="D2652">
        <v>2</v>
      </c>
      <c r="E2652" t="s">
        <v>249</v>
      </c>
    </row>
    <row r="2653" spans="1:6" x14ac:dyDescent="0.25">
      <c r="A2653">
        <v>118</v>
      </c>
      <c r="B2653">
        <v>677</v>
      </c>
      <c r="C2653">
        <v>2</v>
      </c>
      <c r="D2653">
        <v>2</v>
      </c>
      <c r="E2653" t="s">
        <v>249</v>
      </c>
    </row>
    <row r="2654" spans="1:6" x14ac:dyDescent="0.25">
      <c r="A2654">
        <v>118</v>
      </c>
      <c r="B2654">
        <v>678</v>
      </c>
      <c r="C2654">
        <v>1</v>
      </c>
      <c r="D2654">
        <v>1</v>
      </c>
      <c r="E2654" t="s">
        <v>249</v>
      </c>
    </row>
    <row r="2655" spans="1:6" x14ac:dyDescent="0.25">
      <c r="A2655">
        <v>118</v>
      </c>
      <c r="B2655">
        <v>680</v>
      </c>
      <c r="C2655">
        <v>1</v>
      </c>
      <c r="D2655">
        <v>1</v>
      </c>
      <c r="E2655" t="s">
        <v>249</v>
      </c>
      <c r="F2655">
        <f>SUM(C2585:C2655)</f>
        <v>267</v>
      </c>
    </row>
    <row r="2656" spans="1:6" x14ac:dyDescent="0.25">
      <c r="A2656">
        <v>2</v>
      </c>
      <c r="B2656">
        <v>676</v>
      </c>
      <c r="C2656">
        <v>1</v>
      </c>
      <c r="D2656">
        <v>1</v>
      </c>
      <c r="E2656" t="s">
        <v>159</v>
      </c>
    </row>
    <row r="2657" spans="1:6" x14ac:dyDescent="0.25">
      <c r="A2657">
        <v>2</v>
      </c>
      <c r="B2657">
        <v>704</v>
      </c>
      <c r="C2657">
        <v>1</v>
      </c>
      <c r="D2657">
        <v>1</v>
      </c>
      <c r="E2657" t="s">
        <v>159</v>
      </c>
    </row>
    <row r="2658" spans="1:6" x14ac:dyDescent="0.25">
      <c r="A2658">
        <v>2</v>
      </c>
      <c r="B2658">
        <v>711</v>
      </c>
      <c r="C2658">
        <v>1</v>
      </c>
      <c r="D2658">
        <v>1</v>
      </c>
      <c r="E2658" t="s">
        <v>159</v>
      </c>
    </row>
    <row r="2659" spans="1:6" x14ac:dyDescent="0.25">
      <c r="A2659">
        <v>2</v>
      </c>
      <c r="B2659">
        <v>740</v>
      </c>
      <c r="C2659">
        <v>2</v>
      </c>
      <c r="D2659">
        <v>2</v>
      </c>
      <c r="E2659" t="s">
        <v>159</v>
      </c>
    </row>
    <row r="2660" spans="1:6" x14ac:dyDescent="0.25">
      <c r="A2660">
        <v>2</v>
      </c>
      <c r="B2660">
        <v>747</v>
      </c>
      <c r="C2660">
        <v>1</v>
      </c>
      <c r="D2660">
        <v>1</v>
      </c>
      <c r="E2660" t="s">
        <v>159</v>
      </c>
    </row>
    <row r="2661" spans="1:6" x14ac:dyDescent="0.25">
      <c r="A2661">
        <v>2</v>
      </c>
      <c r="B2661">
        <v>817</v>
      </c>
      <c r="C2661">
        <v>1</v>
      </c>
      <c r="D2661">
        <v>1</v>
      </c>
      <c r="E2661" t="s">
        <v>159</v>
      </c>
    </row>
    <row r="2662" spans="1:6" x14ac:dyDescent="0.25">
      <c r="A2662">
        <v>2</v>
      </c>
      <c r="B2662">
        <v>830</v>
      </c>
      <c r="C2662">
        <v>1</v>
      </c>
      <c r="D2662">
        <v>1</v>
      </c>
      <c r="E2662" t="s">
        <v>159</v>
      </c>
      <c r="F2662">
        <f>SUM(C2656:C2662)</f>
        <v>8</v>
      </c>
    </row>
    <row r="2663" spans="1:6" x14ac:dyDescent="0.25">
      <c r="A2663">
        <v>95</v>
      </c>
      <c r="B2663">
        <v>195</v>
      </c>
      <c r="C2663">
        <v>1</v>
      </c>
      <c r="D2663">
        <v>1</v>
      </c>
      <c r="E2663" t="s">
        <v>192</v>
      </c>
    </row>
    <row r="2664" spans="1:6" x14ac:dyDescent="0.25">
      <c r="A2664">
        <v>95</v>
      </c>
      <c r="B2664">
        <v>196</v>
      </c>
      <c r="C2664">
        <v>1</v>
      </c>
      <c r="D2664">
        <v>1</v>
      </c>
      <c r="E2664" t="s">
        <v>192</v>
      </c>
    </row>
    <row r="2665" spans="1:6" x14ac:dyDescent="0.25">
      <c r="A2665">
        <v>95</v>
      </c>
      <c r="B2665">
        <v>199</v>
      </c>
      <c r="C2665">
        <v>1</v>
      </c>
      <c r="D2665">
        <v>1</v>
      </c>
      <c r="E2665" t="s">
        <v>192</v>
      </c>
    </row>
    <row r="2666" spans="1:6" x14ac:dyDescent="0.25">
      <c r="A2666">
        <v>95</v>
      </c>
      <c r="B2666">
        <v>223</v>
      </c>
      <c r="C2666">
        <v>1</v>
      </c>
      <c r="D2666">
        <v>1</v>
      </c>
      <c r="E2666" t="s">
        <v>192</v>
      </c>
    </row>
    <row r="2667" spans="1:6" x14ac:dyDescent="0.25">
      <c r="A2667">
        <v>95</v>
      </c>
      <c r="B2667">
        <v>224</v>
      </c>
      <c r="C2667">
        <v>1</v>
      </c>
      <c r="D2667">
        <v>1</v>
      </c>
      <c r="E2667" t="s">
        <v>192</v>
      </c>
    </row>
    <row r="2668" spans="1:6" x14ac:dyDescent="0.25">
      <c r="A2668">
        <v>95</v>
      </c>
      <c r="B2668">
        <v>225</v>
      </c>
      <c r="C2668">
        <v>2</v>
      </c>
      <c r="D2668">
        <v>2</v>
      </c>
      <c r="E2668" t="s">
        <v>192</v>
      </c>
    </row>
    <row r="2669" spans="1:6" x14ac:dyDescent="0.25">
      <c r="A2669">
        <v>95</v>
      </c>
      <c r="B2669">
        <v>227</v>
      </c>
      <c r="C2669">
        <v>2</v>
      </c>
      <c r="D2669">
        <v>2</v>
      </c>
      <c r="E2669" t="s">
        <v>192</v>
      </c>
    </row>
    <row r="2670" spans="1:6" x14ac:dyDescent="0.25">
      <c r="A2670">
        <v>95</v>
      </c>
      <c r="B2670">
        <v>298</v>
      </c>
      <c r="C2670">
        <v>1</v>
      </c>
      <c r="D2670">
        <v>1</v>
      </c>
      <c r="E2670" t="s">
        <v>192</v>
      </c>
    </row>
    <row r="2671" spans="1:6" x14ac:dyDescent="0.25">
      <c r="A2671">
        <v>95</v>
      </c>
      <c r="B2671">
        <v>329</v>
      </c>
      <c r="C2671">
        <v>2</v>
      </c>
      <c r="D2671">
        <v>2</v>
      </c>
      <c r="E2671" t="s">
        <v>192</v>
      </c>
      <c r="F2671">
        <f>SUM(C2663:C2671)</f>
        <v>12</v>
      </c>
    </row>
    <row r="2672" spans="1:6" x14ac:dyDescent="0.25">
      <c r="A2672">
        <v>83</v>
      </c>
      <c r="B2672">
        <v>120</v>
      </c>
      <c r="C2672">
        <v>2</v>
      </c>
      <c r="D2672">
        <v>2</v>
      </c>
      <c r="E2672" t="s">
        <v>177</v>
      </c>
    </row>
    <row r="2673" spans="1:6" x14ac:dyDescent="0.25">
      <c r="A2673">
        <v>83</v>
      </c>
      <c r="B2673">
        <v>123</v>
      </c>
      <c r="C2673">
        <v>1</v>
      </c>
      <c r="D2673">
        <v>1</v>
      </c>
      <c r="E2673" t="s">
        <v>177</v>
      </c>
    </row>
    <row r="2674" spans="1:6" x14ac:dyDescent="0.25">
      <c r="A2674">
        <v>83</v>
      </c>
      <c r="B2674">
        <v>595</v>
      </c>
      <c r="C2674">
        <v>1</v>
      </c>
      <c r="D2674">
        <v>1</v>
      </c>
      <c r="E2674" t="s">
        <v>177</v>
      </c>
    </row>
    <row r="2675" spans="1:6" x14ac:dyDescent="0.25">
      <c r="A2675">
        <v>83</v>
      </c>
      <c r="B2675">
        <v>609</v>
      </c>
      <c r="C2675">
        <v>1</v>
      </c>
      <c r="D2675">
        <v>1</v>
      </c>
      <c r="E2675" t="s">
        <v>177</v>
      </c>
    </row>
    <row r="2676" spans="1:6" x14ac:dyDescent="0.25">
      <c r="A2676">
        <v>83</v>
      </c>
      <c r="B2676">
        <v>638</v>
      </c>
      <c r="C2676">
        <v>2</v>
      </c>
      <c r="D2676">
        <v>2</v>
      </c>
      <c r="E2676" t="s">
        <v>177</v>
      </c>
    </row>
    <row r="2677" spans="1:6" x14ac:dyDescent="0.25">
      <c r="A2677">
        <v>83</v>
      </c>
      <c r="B2677">
        <v>689</v>
      </c>
      <c r="C2677">
        <v>1</v>
      </c>
      <c r="D2677">
        <v>1</v>
      </c>
      <c r="E2677" t="s">
        <v>177</v>
      </c>
    </row>
    <row r="2678" spans="1:6" x14ac:dyDescent="0.25">
      <c r="A2678">
        <v>83</v>
      </c>
      <c r="B2678">
        <v>710</v>
      </c>
      <c r="C2678">
        <v>2</v>
      </c>
      <c r="D2678">
        <v>2</v>
      </c>
      <c r="E2678" t="s">
        <v>177</v>
      </c>
    </row>
    <row r="2679" spans="1:6" x14ac:dyDescent="0.25">
      <c r="A2679">
        <v>83</v>
      </c>
      <c r="B2679">
        <v>722</v>
      </c>
      <c r="C2679">
        <v>1</v>
      </c>
      <c r="D2679">
        <v>1</v>
      </c>
      <c r="E2679" t="s">
        <v>177</v>
      </c>
    </row>
    <row r="2680" spans="1:6" x14ac:dyDescent="0.25">
      <c r="A2680">
        <v>83</v>
      </c>
      <c r="B2680">
        <v>740</v>
      </c>
      <c r="C2680">
        <v>2</v>
      </c>
      <c r="D2680">
        <v>2</v>
      </c>
      <c r="E2680" t="s">
        <v>177</v>
      </c>
    </row>
    <row r="2681" spans="1:6" x14ac:dyDescent="0.25">
      <c r="A2681">
        <v>83</v>
      </c>
      <c r="B2681">
        <v>766</v>
      </c>
      <c r="C2681">
        <v>1</v>
      </c>
      <c r="D2681">
        <v>1</v>
      </c>
      <c r="E2681" t="s">
        <v>177</v>
      </c>
    </row>
    <row r="2682" spans="1:6" x14ac:dyDescent="0.25">
      <c r="A2682">
        <v>83</v>
      </c>
      <c r="B2682">
        <v>778</v>
      </c>
      <c r="C2682">
        <v>1</v>
      </c>
      <c r="D2682">
        <v>1</v>
      </c>
      <c r="E2682" t="s">
        <v>177</v>
      </c>
    </row>
    <row r="2683" spans="1:6" x14ac:dyDescent="0.25">
      <c r="A2683">
        <v>83</v>
      </c>
      <c r="B2683">
        <v>787</v>
      </c>
      <c r="C2683">
        <v>2</v>
      </c>
      <c r="D2683">
        <v>2</v>
      </c>
      <c r="E2683" t="s">
        <v>177</v>
      </c>
    </row>
    <row r="2684" spans="1:6" x14ac:dyDescent="0.25">
      <c r="A2684">
        <v>83</v>
      </c>
      <c r="B2684">
        <v>793</v>
      </c>
      <c r="C2684">
        <v>2</v>
      </c>
      <c r="D2684">
        <v>2</v>
      </c>
      <c r="E2684" t="s">
        <v>177</v>
      </c>
      <c r="F2684">
        <f>SUM(C2672:C2684)</f>
        <v>19</v>
      </c>
    </row>
    <row r="2685" spans="1:6" x14ac:dyDescent="0.25">
      <c r="A2685">
        <v>82</v>
      </c>
      <c r="B2685">
        <v>224</v>
      </c>
      <c r="C2685">
        <v>4</v>
      </c>
      <c r="D2685">
        <v>4</v>
      </c>
      <c r="E2685" t="s">
        <v>170</v>
      </c>
    </row>
    <row r="2686" spans="1:6" x14ac:dyDescent="0.25">
      <c r="A2686">
        <v>82</v>
      </c>
      <c r="B2686">
        <v>225</v>
      </c>
      <c r="C2686">
        <v>1</v>
      </c>
      <c r="D2686">
        <v>1</v>
      </c>
      <c r="E2686" t="s">
        <v>170</v>
      </c>
    </row>
    <row r="2687" spans="1:6" x14ac:dyDescent="0.25">
      <c r="A2687">
        <v>82</v>
      </c>
      <c r="B2687">
        <v>226</v>
      </c>
      <c r="C2687">
        <v>2</v>
      </c>
      <c r="D2687">
        <v>2</v>
      </c>
      <c r="E2687" t="s">
        <v>170</v>
      </c>
    </row>
    <row r="2688" spans="1:6" x14ac:dyDescent="0.25">
      <c r="A2688">
        <v>82</v>
      </c>
      <c r="B2688">
        <v>227</v>
      </c>
      <c r="C2688">
        <v>2</v>
      </c>
      <c r="D2688">
        <v>2</v>
      </c>
      <c r="E2688" t="s">
        <v>170</v>
      </c>
    </row>
    <row r="2689" spans="1:5" x14ac:dyDescent="0.25">
      <c r="A2689">
        <v>82</v>
      </c>
      <c r="B2689">
        <v>233</v>
      </c>
      <c r="C2689">
        <v>1</v>
      </c>
      <c r="D2689">
        <v>1</v>
      </c>
      <c r="E2689" t="s">
        <v>170</v>
      </c>
    </row>
    <row r="2690" spans="1:5" x14ac:dyDescent="0.25">
      <c r="A2690">
        <v>82</v>
      </c>
      <c r="B2690">
        <v>235</v>
      </c>
      <c r="C2690">
        <v>2</v>
      </c>
      <c r="D2690">
        <v>2</v>
      </c>
      <c r="E2690" t="s">
        <v>170</v>
      </c>
    </row>
    <row r="2691" spans="1:5" x14ac:dyDescent="0.25">
      <c r="A2691">
        <v>82</v>
      </c>
      <c r="B2691">
        <v>237</v>
      </c>
      <c r="C2691">
        <v>1</v>
      </c>
      <c r="D2691">
        <v>1</v>
      </c>
      <c r="E2691" t="s">
        <v>170</v>
      </c>
    </row>
    <row r="2692" spans="1:5" x14ac:dyDescent="0.25">
      <c r="A2692">
        <v>82</v>
      </c>
      <c r="B2692">
        <v>238</v>
      </c>
      <c r="C2692">
        <v>1</v>
      </c>
      <c r="D2692">
        <v>1</v>
      </c>
      <c r="E2692" t="s">
        <v>170</v>
      </c>
    </row>
    <row r="2693" spans="1:5" x14ac:dyDescent="0.25">
      <c r="A2693">
        <v>82</v>
      </c>
      <c r="B2693">
        <v>240</v>
      </c>
      <c r="C2693">
        <v>3</v>
      </c>
      <c r="D2693">
        <v>3</v>
      </c>
      <c r="E2693" t="s">
        <v>170</v>
      </c>
    </row>
    <row r="2694" spans="1:5" x14ac:dyDescent="0.25">
      <c r="A2694">
        <v>82</v>
      </c>
      <c r="B2694">
        <v>241</v>
      </c>
      <c r="C2694">
        <v>2</v>
      </c>
      <c r="D2694">
        <v>2</v>
      </c>
      <c r="E2694" t="s">
        <v>170</v>
      </c>
    </row>
    <row r="2695" spans="1:5" x14ac:dyDescent="0.25">
      <c r="A2695">
        <v>82</v>
      </c>
      <c r="B2695">
        <v>244</v>
      </c>
      <c r="C2695">
        <v>4</v>
      </c>
      <c r="D2695">
        <v>4</v>
      </c>
      <c r="E2695" t="s">
        <v>170</v>
      </c>
    </row>
    <row r="2696" spans="1:5" x14ac:dyDescent="0.25">
      <c r="A2696">
        <v>82</v>
      </c>
      <c r="B2696">
        <v>245</v>
      </c>
      <c r="C2696">
        <v>2</v>
      </c>
      <c r="D2696">
        <v>2</v>
      </c>
      <c r="E2696" t="s">
        <v>170</v>
      </c>
    </row>
    <row r="2697" spans="1:5" x14ac:dyDescent="0.25">
      <c r="A2697">
        <v>82</v>
      </c>
      <c r="B2697">
        <v>247</v>
      </c>
      <c r="C2697">
        <v>2</v>
      </c>
      <c r="D2697">
        <v>2</v>
      </c>
      <c r="E2697" t="s">
        <v>170</v>
      </c>
    </row>
    <row r="2698" spans="1:5" x14ac:dyDescent="0.25">
      <c r="A2698">
        <v>82</v>
      </c>
      <c r="B2698">
        <v>249</v>
      </c>
      <c r="C2698">
        <v>1</v>
      </c>
      <c r="D2698">
        <v>1</v>
      </c>
      <c r="E2698" t="s">
        <v>170</v>
      </c>
    </row>
    <row r="2699" spans="1:5" x14ac:dyDescent="0.25">
      <c r="A2699">
        <v>82</v>
      </c>
      <c r="B2699">
        <v>250</v>
      </c>
      <c r="C2699">
        <v>2</v>
      </c>
      <c r="D2699">
        <v>2</v>
      </c>
      <c r="E2699" t="s">
        <v>170</v>
      </c>
    </row>
    <row r="2700" spans="1:5" x14ac:dyDescent="0.25">
      <c r="A2700">
        <v>82</v>
      </c>
      <c r="B2700">
        <v>251</v>
      </c>
      <c r="C2700">
        <v>1</v>
      </c>
      <c r="D2700">
        <v>1</v>
      </c>
      <c r="E2700" t="s">
        <v>170</v>
      </c>
    </row>
    <row r="2701" spans="1:5" x14ac:dyDescent="0.25">
      <c r="A2701">
        <v>82</v>
      </c>
      <c r="B2701">
        <v>252</v>
      </c>
      <c r="C2701">
        <v>2</v>
      </c>
      <c r="D2701">
        <v>2</v>
      </c>
      <c r="E2701" t="s">
        <v>170</v>
      </c>
    </row>
    <row r="2702" spans="1:5" x14ac:dyDescent="0.25">
      <c r="A2702">
        <v>82</v>
      </c>
      <c r="B2702">
        <v>253</v>
      </c>
      <c r="C2702">
        <v>1</v>
      </c>
      <c r="D2702">
        <v>1</v>
      </c>
      <c r="E2702" t="s">
        <v>170</v>
      </c>
    </row>
    <row r="2703" spans="1:5" x14ac:dyDescent="0.25">
      <c r="A2703">
        <v>82</v>
      </c>
      <c r="B2703">
        <v>396</v>
      </c>
      <c r="C2703">
        <v>1</v>
      </c>
      <c r="D2703">
        <v>1</v>
      </c>
      <c r="E2703" t="s">
        <v>170</v>
      </c>
    </row>
    <row r="2704" spans="1:5" x14ac:dyDescent="0.25">
      <c r="A2704">
        <v>82</v>
      </c>
      <c r="B2704">
        <v>402</v>
      </c>
      <c r="C2704">
        <v>1</v>
      </c>
      <c r="D2704">
        <v>1</v>
      </c>
      <c r="E2704" t="s">
        <v>170</v>
      </c>
    </row>
    <row r="2705" spans="1:6" x14ac:dyDescent="0.25">
      <c r="A2705">
        <v>82</v>
      </c>
      <c r="B2705">
        <v>448</v>
      </c>
      <c r="C2705">
        <v>1</v>
      </c>
      <c r="D2705">
        <v>1</v>
      </c>
      <c r="E2705" t="s">
        <v>170</v>
      </c>
    </row>
    <row r="2706" spans="1:6" x14ac:dyDescent="0.25">
      <c r="A2706">
        <v>82</v>
      </c>
      <c r="B2706">
        <v>525</v>
      </c>
      <c r="C2706">
        <v>1</v>
      </c>
      <c r="D2706">
        <v>1</v>
      </c>
      <c r="E2706" t="s">
        <v>170</v>
      </c>
    </row>
    <row r="2707" spans="1:6" x14ac:dyDescent="0.25">
      <c r="A2707">
        <v>82</v>
      </c>
      <c r="B2707">
        <v>543</v>
      </c>
      <c r="C2707">
        <v>1</v>
      </c>
      <c r="D2707">
        <v>1</v>
      </c>
      <c r="E2707" t="s">
        <v>170</v>
      </c>
    </row>
    <row r="2708" spans="1:6" x14ac:dyDescent="0.25">
      <c r="A2708">
        <v>82</v>
      </c>
      <c r="B2708">
        <v>550</v>
      </c>
      <c r="C2708">
        <v>3</v>
      </c>
      <c r="D2708">
        <v>3</v>
      </c>
      <c r="E2708" t="s">
        <v>170</v>
      </c>
    </row>
    <row r="2709" spans="1:6" x14ac:dyDescent="0.25">
      <c r="A2709">
        <v>82</v>
      </c>
      <c r="B2709">
        <v>585</v>
      </c>
      <c r="C2709">
        <v>1</v>
      </c>
      <c r="D2709">
        <v>1</v>
      </c>
      <c r="E2709" t="s">
        <v>170</v>
      </c>
    </row>
    <row r="2710" spans="1:6" x14ac:dyDescent="0.25">
      <c r="A2710">
        <v>82</v>
      </c>
      <c r="B2710">
        <v>586</v>
      </c>
      <c r="C2710">
        <v>1</v>
      </c>
      <c r="D2710">
        <v>1</v>
      </c>
      <c r="E2710" t="s">
        <v>170</v>
      </c>
    </row>
    <row r="2711" spans="1:6" x14ac:dyDescent="0.25">
      <c r="A2711">
        <v>82</v>
      </c>
      <c r="B2711">
        <v>605</v>
      </c>
      <c r="C2711">
        <v>4</v>
      </c>
      <c r="D2711">
        <v>4</v>
      </c>
      <c r="E2711" t="s">
        <v>170</v>
      </c>
    </row>
    <row r="2712" spans="1:6" x14ac:dyDescent="0.25">
      <c r="A2712">
        <v>82</v>
      </c>
      <c r="B2712">
        <v>606</v>
      </c>
      <c r="C2712">
        <v>2</v>
      </c>
      <c r="D2712">
        <v>2</v>
      </c>
      <c r="E2712" t="s">
        <v>170</v>
      </c>
    </row>
    <row r="2713" spans="1:6" x14ac:dyDescent="0.25">
      <c r="A2713">
        <v>82</v>
      </c>
      <c r="B2713">
        <v>607</v>
      </c>
      <c r="C2713">
        <v>2</v>
      </c>
      <c r="D2713">
        <v>2</v>
      </c>
      <c r="E2713" t="s">
        <v>170</v>
      </c>
    </row>
    <row r="2714" spans="1:6" x14ac:dyDescent="0.25">
      <c r="A2714">
        <v>82</v>
      </c>
      <c r="B2714">
        <v>608</v>
      </c>
      <c r="C2714">
        <v>2</v>
      </c>
      <c r="D2714">
        <v>2</v>
      </c>
      <c r="E2714" t="s">
        <v>170</v>
      </c>
    </row>
    <row r="2715" spans="1:6" x14ac:dyDescent="0.25">
      <c r="A2715">
        <v>82</v>
      </c>
      <c r="B2715">
        <v>638</v>
      </c>
      <c r="C2715">
        <v>2</v>
      </c>
      <c r="D2715">
        <v>2</v>
      </c>
      <c r="E2715" t="s">
        <v>170</v>
      </c>
      <c r="F2715">
        <f>SUM(C2685:C2715)</f>
        <v>56</v>
      </c>
    </row>
    <row r="2716" spans="1:6" x14ac:dyDescent="0.25">
      <c r="A2716">
        <v>93</v>
      </c>
      <c r="B2716">
        <v>118</v>
      </c>
      <c r="C2716">
        <v>1</v>
      </c>
      <c r="D2716">
        <v>1</v>
      </c>
      <c r="E2716" t="s">
        <v>181</v>
      </c>
    </row>
    <row r="2717" spans="1:6" x14ac:dyDescent="0.25">
      <c r="A2717">
        <v>93</v>
      </c>
      <c r="B2717">
        <v>121</v>
      </c>
      <c r="C2717">
        <v>1</v>
      </c>
      <c r="D2717">
        <v>1</v>
      </c>
      <c r="E2717" t="s">
        <v>181</v>
      </c>
    </row>
    <row r="2718" spans="1:6" x14ac:dyDescent="0.25">
      <c r="A2718">
        <v>93</v>
      </c>
      <c r="B2718">
        <v>124</v>
      </c>
      <c r="C2718">
        <v>4</v>
      </c>
      <c r="D2718">
        <v>4</v>
      </c>
      <c r="E2718" t="s">
        <v>181</v>
      </c>
    </row>
    <row r="2719" spans="1:6" x14ac:dyDescent="0.25">
      <c r="A2719">
        <v>93</v>
      </c>
      <c r="B2719">
        <v>125</v>
      </c>
      <c r="C2719">
        <v>1</v>
      </c>
      <c r="D2719">
        <v>1</v>
      </c>
      <c r="E2719" t="s">
        <v>181</v>
      </c>
    </row>
    <row r="2720" spans="1:6" x14ac:dyDescent="0.25">
      <c r="A2720">
        <v>93</v>
      </c>
      <c r="B2720">
        <v>190</v>
      </c>
      <c r="C2720">
        <v>1</v>
      </c>
      <c r="D2720">
        <v>1</v>
      </c>
      <c r="E2720" t="s">
        <v>181</v>
      </c>
    </row>
    <row r="2721" spans="1:5" x14ac:dyDescent="0.25">
      <c r="A2721">
        <v>93</v>
      </c>
      <c r="B2721">
        <v>193</v>
      </c>
      <c r="C2721">
        <v>1</v>
      </c>
      <c r="D2721">
        <v>1</v>
      </c>
      <c r="E2721" t="s">
        <v>181</v>
      </c>
    </row>
    <row r="2722" spans="1:5" x14ac:dyDescent="0.25">
      <c r="A2722">
        <v>93</v>
      </c>
      <c r="B2722">
        <v>194</v>
      </c>
      <c r="C2722">
        <v>1</v>
      </c>
      <c r="D2722">
        <v>1</v>
      </c>
      <c r="E2722" t="s">
        <v>181</v>
      </c>
    </row>
    <row r="2723" spans="1:5" x14ac:dyDescent="0.25">
      <c r="A2723">
        <v>93</v>
      </c>
      <c r="B2723">
        <v>195</v>
      </c>
      <c r="C2723">
        <v>1</v>
      </c>
      <c r="D2723">
        <v>1</v>
      </c>
      <c r="E2723" t="s">
        <v>181</v>
      </c>
    </row>
    <row r="2724" spans="1:5" x14ac:dyDescent="0.25">
      <c r="A2724">
        <v>93</v>
      </c>
      <c r="B2724">
        <v>199</v>
      </c>
      <c r="C2724">
        <v>1</v>
      </c>
      <c r="D2724">
        <v>1</v>
      </c>
      <c r="E2724" t="s">
        <v>181</v>
      </c>
    </row>
    <row r="2725" spans="1:5" x14ac:dyDescent="0.25">
      <c r="A2725">
        <v>93</v>
      </c>
      <c r="B2725">
        <v>201</v>
      </c>
      <c r="C2725">
        <v>1</v>
      </c>
      <c r="D2725">
        <v>1</v>
      </c>
      <c r="E2725" t="s">
        <v>181</v>
      </c>
    </row>
    <row r="2726" spans="1:5" x14ac:dyDescent="0.25">
      <c r="A2726">
        <v>93</v>
      </c>
      <c r="B2726">
        <v>202</v>
      </c>
      <c r="C2726">
        <v>1</v>
      </c>
      <c r="D2726">
        <v>1</v>
      </c>
      <c r="E2726" t="s">
        <v>181</v>
      </c>
    </row>
    <row r="2727" spans="1:5" x14ac:dyDescent="0.25">
      <c r="A2727">
        <v>93</v>
      </c>
      <c r="B2727">
        <v>204</v>
      </c>
      <c r="C2727">
        <v>1</v>
      </c>
      <c r="D2727">
        <v>1</v>
      </c>
      <c r="E2727" t="s">
        <v>181</v>
      </c>
    </row>
    <row r="2728" spans="1:5" x14ac:dyDescent="0.25">
      <c r="A2728">
        <v>93</v>
      </c>
      <c r="B2728">
        <v>205</v>
      </c>
      <c r="C2728">
        <v>1</v>
      </c>
      <c r="D2728">
        <v>1</v>
      </c>
      <c r="E2728" t="s">
        <v>181</v>
      </c>
    </row>
    <row r="2729" spans="1:5" x14ac:dyDescent="0.25">
      <c r="A2729">
        <v>93</v>
      </c>
      <c r="B2729">
        <v>207</v>
      </c>
      <c r="C2729">
        <v>2</v>
      </c>
      <c r="D2729">
        <v>2</v>
      </c>
      <c r="E2729" t="s">
        <v>181</v>
      </c>
    </row>
    <row r="2730" spans="1:5" x14ac:dyDescent="0.25">
      <c r="A2730">
        <v>93</v>
      </c>
      <c r="B2730">
        <v>247</v>
      </c>
      <c r="C2730">
        <v>2</v>
      </c>
      <c r="D2730">
        <v>2</v>
      </c>
      <c r="E2730" t="s">
        <v>181</v>
      </c>
    </row>
    <row r="2731" spans="1:5" x14ac:dyDescent="0.25">
      <c r="A2731">
        <v>93</v>
      </c>
      <c r="B2731">
        <v>262</v>
      </c>
      <c r="C2731">
        <v>1</v>
      </c>
      <c r="D2731">
        <v>1</v>
      </c>
      <c r="E2731" t="s">
        <v>181</v>
      </c>
    </row>
    <row r="2732" spans="1:5" x14ac:dyDescent="0.25">
      <c r="A2732">
        <v>93</v>
      </c>
      <c r="B2732">
        <v>264</v>
      </c>
      <c r="C2732">
        <v>1</v>
      </c>
      <c r="D2732">
        <v>1</v>
      </c>
      <c r="E2732" t="s">
        <v>181</v>
      </c>
    </row>
    <row r="2733" spans="1:5" x14ac:dyDescent="0.25">
      <c r="A2733">
        <v>93</v>
      </c>
      <c r="B2733">
        <v>267</v>
      </c>
      <c r="C2733">
        <v>3</v>
      </c>
      <c r="D2733">
        <v>3</v>
      </c>
      <c r="E2733" t="s">
        <v>181</v>
      </c>
    </row>
    <row r="2734" spans="1:5" x14ac:dyDescent="0.25">
      <c r="A2734">
        <v>93</v>
      </c>
      <c r="B2734">
        <v>268</v>
      </c>
      <c r="C2734">
        <v>1</v>
      </c>
      <c r="D2734">
        <v>1</v>
      </c>
      <c r="E2734" t="s">
        <v>181</v>
      </c>
    </row>
    <row r="2735" spans="1:5" x14ac:dyDescent="0.25">
      <c r="A2735">
        <v>93</v>
      </c>
      <c r="B2735">
        <v>275</v>
      </c>
      <c r="C2735">
        <v>1</v>
      </c>
      <c r="D2735">
        <v>1</v>
      </c>
      <c r="E2735" t="s">
        <v>181</v>
      </c>
    </row>
    <row r="2736" spans="1:5" x14ac:dyDescent="0.25">
      <c r="A2736">
        <v>93</v>
      </c>
      <c r="B2736">
        <v>280</v>
      </c>
      <c r="C2736">
        <v>1</v>
      </c>
      <c r="D2736">
        <v>1</v>
      </c>
      <c r="E2736" t="s">
        <v>181</v>
      </c>
    </row>
    <row r="2737" spans="1:6" x14ac:dyDescent="0.25">
      <c r="A2737">
        <v>93</v>
      </c>
      <c r="B2737">
        <v>281</v>
      </c>
      <c r="C2737">
        <v>2</v>
      </c>
      <c r="D2737">
        <v>2</v>
      </c>
      <c r="E2737" t="s">
        <v>181</v>
      </c>
    </row>
    <row r="2738" spans="1:6" x14ac:dyDescent="0.25">
      <c r="A2738">
        <v>93</v>
      </c>
      <c r="B2738">
        <v>286</v>
      </c>
      <c r="C2738">
        <v>2</v>
      </c>
      <c r="D2738">
        <v>2</v>
      </c>
      <c r="E2738" t="s">
        <v>181</v>
      </c>
    </row>
    <row r="2739" spans="1:6" x14ac:dyDescent="0.25">
      <c r="A2739">
        <v>93</v>
      </c>
      <c r="B2739">
        <v>313</v>
      </c>
      <c r="C2739">
        <v>1</v>
      </c>
      <c r="D2739">
        <v>1</v>
      </c>
      <c r="E2739" t="s">
        <v>181</v>
      </c>
      <c r="F2739">
        <f>SUM(C2716:C2739)</f>
        <v>33</v>
      </c>
    </row>
    <row r="2740" spans="1:6" x14ac:dyDescent="0.25">
      <c r="A2740">
        <v>3</v>
      </c>
      <c r="B2740">
        <v>279</v>
      </c>
      <c r="C2740">
        <v>1</v>
      </c>
      <c r="D2740">
        <v>1</v>
      </c>
      <c r="E2740" t="s">
        <v>163</v>
      </c>
    </row>
    <row r="2741" spans="1:6" x14ac:dyDescent="0.25">
      <c r="A2741">
        <v>3</v>
      </c>
      <c r="B2741">
        <v>280</v>
      </c>
      <c r="C2741">
        <v>1</v>
      </c>
      <c r="D2741">
        <v>1</v>
      </c>
      <c r="E2741" t="s">
        <v>163</v>
      </c>
    </row>
    <row r="2742" spans="1:6" x14ac:dyDescent="0.25">
      <c r="A2742">
        <v>3</v>
      </c>
      <c r="B2742">
        <v>282</v>
      </c>
      <c r="C2742">
        <v>1</v>
      </c>
      <c r="D2742">
        <v>1</v>
      </c>
      <c r="E2742" t="s">
        <v>163</v>
      </c>
    </row>
    <row r="2743" spans="1:6" x14ac:dyDescent="0.25">
      <c r="A2743">
        <v>3</v>
      </c>
      <c r="B2743">
        <v>285</v>
      </c>
      <c r="C2743">
        <v>1</v>
      </c>
      <c r="D2743">
        <v>1</v>
      </c>
      <c r="E2743" t="s">
        <v>163</v>
      </c>
    </row>
    <row r="2744" spans="1:6" x14ac:dyDescent="0.25">
      <c r="A2744">
        <v>3</v>
      </c>
      <c r="B2744">
        <v>287</v>
      </c>
      <c r="C2744">
        <v>1</v>
      </c>
      <c r="D2744">
        <v>1</v>
      </c>
      <c r="E2744" t="s">
        <v>163</v>
      </c>
    </row>
    <row r="2745" spans="1:6" x14ac:dyDescent="0.25">
      <c r="A2745">
        <v>3</v>
      </c>
      <c r="B2745">
        <v>288</v>
      </c>
      <c r="C2745">
        <v>1</v>
      </c>
      <c r="D2745">
        <v>1</v>
      </c>
      <c r="E2745" t="s">
        <v>163</v>
      </c>
    </row>
    <row r="2746" spans="1:6" x14ac:dyDescent="0.25">
      <c r="A2746">
        <v>3</v>
      </c>
      <c r="B2746">
        <v>446</v>
      </c>
      <c r="C2746">
        <v>1</v>
      </c>
      <c r="D2746">
        <v>1</v>
      </c>
      <c r="E2746" t="s">
        <v>163</v>
      </c>
    </row>
    <row r="2747" spans="1:6" x14ac:dyDescent="0.25">
      <c r="A2747">
        <v>3</v>
      </c>
      <c r="B2747">
        <v>448</v>
      </c>
      <c r="C2747">
        <v>1</v>
      </c>
      <c r="D2747">
        <v>1</v>
      </c>
      <c r="E2747" t="s">
        <v>163</v>
      </c>
    </row>
    <row r="2748" spans="1:6" x14ac:dyDescent="0.25">
      <c r="A2748">
        <v>3</v>
      </c>
      <c r="B2748">
        <v>482</v>
      </c>
      <c r="C2748">
        <v>1</v>
      </c>
      <c r="D2748">
        <v>1</v>
      </c>
      <c r="E2748" t="s">
        <v>163</v>
      </c>
    </row>
    <row r="2749" spans="1:6" x14ac:dyDescent="0.25">
      <c r="A2749">
        <v>3</v>
      </c>
      <c r="B2749">
        <v>484</v>
      </c>
      <c r="C2749">
        <v>2</v>
      </c>
      <c r="D2749">
        <v>2</v>
      </c>
      <c r="E2749" t="s">
        <v>163</v>
      </c>
    </row>
    <row r="2750" spans="1:6" x14ac:dyDescent="0.25">
      <c r="A2750">
        <v>3</v>
      </c>
      <c r="B2750">
        <v>487</v>
      </c>
      <c r="C2750">
        <v>1</v>
      </c>
      <c r="D2750">
        <v>1</v>
      </c>
      <c r="E2750" t="s">
        <v>163</v>
      </c>
    </row>
    <row r="2751" spans="1:6" x14ac:dyDescent="0.25">
      <c r="A2751">
        <v>3</v>
      </c>
      <c r="B2751">
        <v>507</v>
      </c>
      <c r="C2751">
        <v>1</v>
      </c>
      <c r="D2751">
        <v>1</v>
      </c>
      <c r="E2751" t="s">
        <v>163</v>
      </c>
    </row>
    <row r="2752" spans="1:6" x14ac:dyDescent="0.25">
      <c r="A2752">
        <v>3</v>
      </c>
      <c r="B2752">
        <v>536</v>
      </c>
      <c r="C2752">
        <v>1</v>
      </c>
      <c r="D2752">
        <v>1</v>
      </c>
      <c r="E2752" t="s">
        <v>163</v>
      </c>
    </row>
    <row r="2753" spans="1:6" x14ac:dyDescent="0.25">
      <c r="A2753">
        <v>3</v>
      </c>
      <c r="B2753">
        <v>549</v>
      </c>
      <c r="C2753">
        <v>1</v>
      </c>
      <c r="D2753">
        <v>1</v>
      </c>
      <c r="E2753" t="s">
        <v>163</v>
      </c>
    </row>
    <row r="2754" spans="1:6" x14ac:dyDescent="0.25">
      <c r="A2754">
        <v>3</v>
      </c>
      <c r="B2754">
        <v>562</v>
      </c>
      <c r="C2754">
        <v>1</v>
      </c>
      <c r="D2754">
        <v>1</v>
      </c>
      <c r="E2754" t="s">
        <v>163</v>
      </c>
      <c r="F2754">
        <f>SUM(C2740:C2754)</f>
        <v>16</v>
      </c>
    </row>
    <row r="2755" spans="1:6" x14ac:dyDescent="0.25">
      <c r="A2755">
        <v>1</v>
      </c>
      <c r="B2755">
        <v>719</v>
      </c>
      <c r="C2755">
        <v>1</v>
      </c>
      <c r="D2755">
        <v>1</v>
      </c>
      <c r="E2755" t="s">
        <v>154</v>
      </c>
      <c r="F2755">
        <f>SUM(C2755:C2755)</f>
        <v>1</v>
      </c>
    </row>
    <row r="2756" spans="1:6" x14ac:dyDescent="0.25">
      <c r="A2756">
        <v>93</v>
      </c>
      <c r="B2756">
        <v>79</v>
      </c>
      <c r="C2756">
        <v>1</v>
      </c>
      <c r="D2756">
        <v>1</v>
      </c>
      <c r="E2756" t="s">
        <v>250</v>
      </c>
    </row>
    <row r="2757" spans="1:6" x14ac:dyDescent="0.25">
      <c r="A2757">
        <v>93</v>
      </c>
      <c r="B2757">
        <v>80</v>
      </c>
      <c r="C2757">
        <v>1</v>
      </c>
      <c r="D2757">
        <v>1</v>
      </c>
      <c r="E2757" t="s">
        <v>250</v>
      </c>
    </row>
    <row r="2758" spans="1:6" x14ac:dyDescent="0.25">
      <c r="A2758">
        <v>93</v>
      </c>
      <c r="B2758">
        <v>84</v>
      </c>
      <c r="C2758">
        <v>1</v>
      </c>
      <c r="D2758">
        <v>1</v>
      </c>
      <c r="E2758" t="s">
        <v>250</v>
      </c>
    </row>
    <row r="2759" spans="1:6" x14ac:dyDescent="0.25">
      <c r="A2759">
        <v>93</v>
      </c>
      <c r="B2759">
        <v>85</v>
      </c>
      <c r="C2759">
        <v>1</v>
      </c>
      <c r="D2759">
        <v>1</v>
      </c>
      <c r="E2759" t="s">
        <v>250</v>
      </c>
    </row>
    <row r="2760" spans="1:6" x14ac:dyDescent="0.25">
      <c r="A2760">
        <v>93</v>
      </c>
      <c r="B2760">
        <v>86</v>
      </c>
      <c r="C2760">
        <v>1</v>
      </c>
      <c r="D2760">
        <v>1</v>
      </c>
      <c r="E2760" t="s">
        <v>250</v>
      </c>
    </row>
    <row r="2761" spans="1:6" x14ac:dyDescent="0.25">
      <c r="A2761">
        <v>93</v>
      </c>
      <c r="B2761">
        <v>89</v>
      </c>
      <c r="C2761">
        <v>1</v>
      </c>
      <c r="D2761">
        <v>1</v>
      </c>
      <c r="E2761" t="s">
        <v>250</v>
      </c>
    </row>
    <row r="2762" spans="1:6" x14ac:dyDescent="0.25">
      <c r="A2762">
        <v>93</v>
      </c>
      <c r="B2762">
        <v>90</v>
      </c>
      <c r="C2762">
        <v>1</v>
      </c>
      <c r="D2762">
        <v>1</v>
      </c>
      <c r="E2762" t="s">
        <v>250</v>
      </c>
    </row>
    <row r="2763" spans="1:6" x14ac:dyDescent="0.25">
      <c r="A2763">
        <v>93</v>
      </c>
      <c r="B2763">
        <v>91</v>
      </c>
      <c r="C2763">
        <v>2</v>
      </c>
      <c r="D2763">
        <v>2</v>
      </c>
      <c r="E2763" t="s">
        <v>250</v>
      </c>
    </row>
    <row r="2764" spans="1:6" x14ac:dyDescent="0.25">
      <c r="A2764">
        <v>93</v>
      </c>
      <c r="B2764">
        <v>92</v>
      </c>
      <c r="C2764">
        <v>2</v>
      </c>
      <c r="D2764">
        <v>2</v>
      </c>
      <c r="E2764" t="s">
        <v>250</v>
      </c>
    </row>
    <row r="2765" spans="1:6" x14ac:dyDescent="0.25">
      <c r="A2765">
        <v>93</v>
      </c>
      <c r="B2765">
        <v>93</v>
      </c>
      <c r="C2765">
        <v>1</v>
      </c>
      <c r="D2765">
        <v>1</v>
      </c>
      <c r="E2765" t="s">
        <v>250</v>
      </c>
    </row>
    <row r="2766" spans="1:6" x14ac:dyDescent="0.25">
      <c r="A2766">
        <v>93</v>
      </c>
      <c r="B2766">
        <v>94</v>
      </c>
      <c r="C2766">
        <v>3</v>
      </c>
      <c r="D2766">
        <v>3</v>
      </c>
      <c r="E2766" t="s">
        <v>250</v>
      </c>
    </row>
    <row r="2767" spans="1:6" x14ac:dyDescent="0.25">
      <c r="A2767">
        <v>93</v>
      </c>
      <c r="B2767">
        <v>96</v>
      </c>
      <c r="C2767">
        <v>2</v>
      </c>
      <c r="D2767">
        <v>2</v>
      </c>
      <c r="E2767" t="s">
        <v>250</v>
      </c>
    </row>
    <row r="2768" spans="1:6" x14ac:dyDescent="0.25">
      <c r="A2768">
        <v>93</v>
      </c>
      <c r="B2768">
        <v>97</v>
      </c>
      <c r="C2768">
        <v>1</v>
      </c>
      <c r="D2768">
        <v>1</v>
      </c>
      <c r="E2768" t="s">
        <v>250</v>
      </c>
    </row>
    <row r="2769" spans="1:5" x14ac:dyDescent="0.25">
      <c r="A2769">
        <v>93</v>
      </c>
      <c r="B2769">
        <v>99</v>
      </c>
      <c r="C2769">
        <v>1</v>
      </c>
      <c r="D2769">
        <v>1</v>
      </c>
      <c r="E2769" t="s">
        <v>250</v>
      </c>
    </row>
    <row r="2770" spans="1:5" x14ac:dyDescent="0.25">
      <c r="A2770">
        <v>93</v>
      </c>
      <c r="B2770">
        <v>101</v>
      </c>
      <c r="C2770">
        <v>2</v>
      </c>
      <c r="D2770">
        <v>2</v>
      </c>
      <c r="E2770" t="s">
        <v>250</v>
      </c>
    </row>
    <row r="2771" spans="1:5" x14ac:dyDescent="0.25">
      <c r="A2771">
        <v>93</v>
      </c>
      <c r="B2771">
        <v>102</v>
      </c>
      <c r="C2771">
        <v>2</v>
      </c>
      <c r="D2771">
        <v>2</v>
      </c>
      <c r="E2771" t="s">
        <v>250</v>
      </c>
    </row>
    <row r="2772" spans="1:5" x14ac:dyDescent="0.25">
      <c r="A2772">
        <v>93</v>
      </c>
      <c r="B2772">
        <v>104</v>
      </c>
      <c r="C2772">
        <v>1</v>
      </c>
      <c r="D2772">
        <v>1</v>
      </c>
      <c r="E2772" t="s">
        <v>250</v>
      </c>
    </row>
    <row r="2773" spans="1:5" x14ac:dyDescent="0.25">
      <c r="A2773">
        <v>93</v>
      </c>
      <c r="B2773">
        <v>126</v>
      </c>
      <c r="C2773">
        <v>2</v>
      </c>
      <c r="D2773">
        <v>2</v>
      </c>
      <c r="E2773" t="s">
        <v>250</v>
      </c>
    </row>
    <row r="2774" spans="1:5" x14ac:dyDescent="0.25">
      <c r="A2774">
        <v>93</v>
      </c>
      <c r="B2774">
        <v>129</v>
      </c>
      <c r="C2774">
        <v>3</v>
      </c>
      <c r="D2774">
        <v>3</v>
      </c>
      <c r="E2774" t="s">
        <v>250</v>
      </c>
    </row>
    <row r="2775" spans="1:5" x14ac:dyDescent="0.25">
      <c r="A2775">
        <v>93</v>
      </c>
      <c r="B2775">
        <v>131</v>
      </c>
      <c r="C2775">
        <v>2</v>
      </c>
      <c r="D2775">
        <v>2</v>
      </c>
      <c r="E2775" t="s">
        <v>250</v>
      </c>
    </row>
    <row r="2776" spans="1:5" x14ac:dyDescent="0.25">
      <c r="A2776">
        <v>93</v>
      </c>
      <c r="B2776">
        <v>132</v>
      </c>
      <c r="C2776">
        <v>1</v>
      </c>
      <c r="D2776">
        <v>1</v>
      </c>
      <c r="E2776" t="s">
        <v>250</v>
      </c>
    </row>
    <row r="2777" spans="1:5" x14ac:dyDescent="0.25">
      <c r="A2777">
        <v>93</v>
      </c>
      <c r="B2777">
        <v>133</v>
      </c>
      <c r="C2777">
        <v>3</v>
      </c>
      <c r="D2777">
        <v>3</v>
      </c>
      <c r="E2777" t="s">
        <v>250</v>
      </c>
    </row>
    <row r="2778" spans="1:5" x14ac:dyDescent="0.25">
      <c r="A2778">
        <v>93</v>
      </c>
      <c r="B2778">
        <v>134</v>
      </c>
      <c r="C2778">
        <v>6</v>
      </c>
      <c r="D2778">
        <v>6</v>
      </c>
      <c r="E2778" t="s">
        <v>250</v>
      </c>
    </row>
    <row r="2779" spans="1:5" x14ac:dyDescent="0.25">
      <c r="A2779">
        <v>93</v>
      </c>
      <c r="B2779">
        <v>135</v>
      </c>
      <c r="C2779">
        <v>3</v>
      </c>
      <c r="D2779">
        <v>3</v>
      </c>
      <c r="E2779" t="s">
        <v>250</v>
      </c>
    </row>
    <row r="2780" spans="1:5" x14ac:dyDescent="0.25">
      <c r="A2780">
        <v>93</v>
      </c>
      <c r="B2780">
        <v>136</v>
      </c>
      <c r="C2780">
        <v>3</v>
      </c>
      <c r="D2780">
        <v>3</v>
      </c>
      <c r="E2780" t="s">
        <v>250</v>
      </c>
    </row>
    <row r="2781" spans="1:5" x14ac:dyDescent="0.25">
      <c r="A2781">
        <v>93</v>
      </c>
      <c r="B2781">
        <v>137</v>
      </c>
      <c r="C2781">
        <v>2</v>
      </c>
      <c r="D2781">
        <v>2</v>
      </c>
      <c r="E2781" t="s">
        <v>250</v>
      </c>
    </row>
    <row r="2782" spans="1:5" x14ac:dyDescent="0.25">
      <c r="A2782">
        <v>93</v>
      </c>
      <c r="B2782">
        <v>138</v>
      </c>
      <c r="C2782">
        <v>5</v>
      </c>
      <c r="D2782">
        <v>5</v>
      </c>
      <c r="E2782" t="s">
        <v>250</v>
      </c>
    </row>
    <row r="2783" spans="1:5" x14ac:dyDescent="0.25">
      <c r="A2783">
        <v>93</v>
      </c>
      <c r="B2783">
        <v>139</v>
      </c>
      <c r="C2783">
        <v>2</v>
      </c>
      <c r="D2783">
        <v>2</v>
      </c>
      <c r="E2783" t="s">
        <v>250</v>
      </c>
    </row>
    <row r="2784" spans="1:5" x14ac:dyDescent="0.25">
      <c r="A2784">
        <v>93</v>
      </c>
      <c r="B2784">
        <v>140</v>
      </c>
      <c r="C2784">
        <v>1</v>
      </c>
      <c r="D2784">
        <v>1</v>
      </c>
      <c r="E2784" t="s">
        <v>250</v>
      </c>
    </row>
    <row r="2785" spans="1:5" x14ac:dyDescent="0.25">
      <c r="A2785">
        <v>93</v>
      </c>
      <c r="B2785">
        <v>142</v>
      </c>
      <c r="C2785">
        <v>3</v>
      </c>
      <c r="D2785">
        <v>3</v>
      </c>
      <c r="E2785" t="s">
        <v>250</v>
      </c>
    </row>
    <row r="2786" spans="1:5" x14ac:dyDescent="0.25">
      <c r="A2786">
        <v>93</v>
      </c>
      <c r="B2786">
        <v>146</v>
      </c>
      <c r="C2786">
        <v>1</v>
      </c>
      <c r="D2786">
        <v>1</v>
      </c>
      <c r="E2786" t="s">
        <v>250</v>
      </c>
    </row>
    <row r="2787" spans="1:5" x14ac:dyDescent="0.25">
      <c r="A2787">
        <v>93</v>
      </c>
      <c r="B2787">
        <v>147</v>
      </c>
      <c r="C2787">
        <v>2</v>
      </c>
      <c r="D2787">
        <v>2</v>
      </c>
      <c r="E2787" t="s">
        <v>250</v>
      </c>
    </row>
    <row r="2788" spans="1:5" x14ac:dyDescent="0.25">
      <c r="A2788">
        <v>93</v>
      </c>
      <c r="B2788">
        <v>148</v>
      </c>
      <c r="C2788">
        <v>2</v>
      </c>
      <c r="D2788">
        <v>2</v>
      </c>
      <c r="E2788" t="s">
        <v>250</v>
      </c>
    </row>
    <row r="2789" spans="1:5" x14ac:dyDescent="0.25">
      <c r="A2789">
        <v>93</v>
      </c>
      <c r="B2789">
        <v>150</v>
      </c>
      <c r="C2789">
        <v>3</v>
      </c>
      <c r="D2789">
        <v>3</v>
      </c>
      <c r="E2789" t="s">
        <v>250</v>
      </c>
    </row>
    <row r="2790" spans="1:5" x14ac:dyDescent="0.25">
      <c r="A2790">
        <v>93</v>
      </c>
      <c r="B2790">
        <v>151</v>
      </c>
      <c r="C2790">
        <v>1</v>
      </c>
      <c r="D2790">
        <v>1</v>
      </c>
      <c r="E2790" t="s">
        <v>250</v>
      </c>
    </row>
    <row r="2791" spans="1:5" x14ac:dyDescent="0.25">
      <c r="A2791">
        <v>93</v>
      </c>
      <c r="B2791">
        <v>152</v>
      </c>
      <c r="C2791">
        <v>1</v>
      </c>
      <c r="D2791">
        <v>1</v>
      </c>
      <c r="E2791" t="s">
        <v>250</v>
      </c>
    </row>
    <row r="2792" spans="1:5" x14ac:dyDescent="0.25">
      <c r="A2792">
        <v>93</v>
      </c>
      <c r="B2792">
        <v>153</v>
      </c>
      <c r="C2792">
        <v>3</v>
      </c>
      <c r="D2792">
        <v>3</v>
      </c>
      <c r="E2792" t="s">
        <v>250</v>
      </c>
    </row>
    <row r="2793" spans="1:5" x14ac:dyDescent="0.25">
      <c r="A2793">
        <v>93</v>
      </c>
      <c r="B2793">
        <v>154</v>
      </c>
      <c r="C2793">
        <v>1</v>
      </c>
      <c r="D2793">
        <v>1</v>
      </c>
      <c r="E2793" t="s">
        <v>250</v>
      </c>
    </row>
    <row r="2794" spans="1:5" x14ac:dyDescent="0.25">
      <c r="A2794">
        <v>93</v>
      </c>
      <c r="B2794">
        <v>156</v>
      </c>
      <c r="C2794">
        <v>4</v>
      </c>
      <c r="D2794">
        <v>4</v>
      </c>
      <c r="E2794" t="s">
        <v>250</v>
      </c>
    </row>
    <row r="2795" spans="1:5" x14ac:dyDescent="0.25">
      <c r="A2795">
        <v>93</v>
      </c>
      <c r="B2795">
        <v>157</v>
      </c>
      <c r="C2795">
        <v>2</v>
      </c>
      <c r="D2795">
        <v>2</v>
      </c>
      <c r="E2795" t="s">
        <v>250</v>
      </c>
    </row>
    <row r="2796" spans="1:5" x14ac:dyDescent="0.25">
      <c r="A2796">
        <v>93</v>
      </c>
      <c r="B2796">
        <v>158</v>
      </c>
      <c r="C2796">
        <v>4</v>
      </c>
      <c r="D2796">
        <v>4</v>
      </c>
      <c r="E2796" t="s">
        <v>250</v>
      </c>
    </row>
    <row r="2797" spans="1:5" x14ac:dyDescent="0.25">
      <c r="A2797">
        <v>93</v>
      </c>
      <c r="B2797">
        <v>160</v>
      </c>
      <c r="C2797">
        <v>2</v>
      </c>
      <c r="D2797">
        <v>2</v>
      </c>
      <c r="E2797" t="s">
        <v>250</v>
      </c>
    </row>
    <row r="2798" spans="1:5" x14ac:dyDescent="0.25">
      <c r="A2798">
        <v>93</v>
      </c>
      <c r="B2798">
        <v>161</v>
      </c>
      <c r="C2798">
        <v>1</v>
      </c>
      <c r="D2798">
        <v>1</v>
      </c>
      <c r="E2798" t="s">
        <v>250</v>
      </c>
    </row>
    <row r="2799" spans="1:5" x14ac:dyDescent="0.25">
      <c r="A2799">
        <v>93</v>
      </c>
      <c r="B2799">
        <v>209</v>
      </c>
      <c r="C2799">
        <v>2</v>
      </c>
      <c r="D2799">
        <v>2</v>
      </c>
      <c r="E2799" t="s">
        <v>250</v>
      </c>
    </row>
    <row r="2800" spans="1:5" x14ac:dyDescent="0.25">
      <c r="A2800">
        <v>93</v>
      </c>
      <c r="B2800">
        <v>210</v>
      </c>
      <c r="C2800">
        <v>2</v>
      </c>
      <c r="D2800">
        <v>2</v>
      </c>
      <c r="E2800" t="s">
        <v>250</v>
      </c>
    </row>
    <row r="2801" spans="1:5" x14ac:dyDescent="0.25">
      <c r="A2801">
        <v>93</v>
      </c>
      <c r="B2801">
        <v>211</v>
      </c>
      <c r="C2801">
        <v>2</v>
      </c>
      <c r="D2801">
        <v>2</v>
      </c>
      <c r="E2801" t="s">
        <v>250</v>
      </c>
    </row>
    <row r="2802" spans="1:5" x14ac:dyDescent="0.25">
      <c r="A2802">
        <v>93</v>
      </c>
      <c r="B2802">
        <v>212</v>
      </c>
      <c r="C2802">
        <v>2</v>
      </c>
      <c r="D2802">
        <v>2</v>
      </c>
      <c r="E2802" t="s">
        <v>250</v>
      </c>
    </row>
    <row r="2803" spans="1:5" x14ac:dyDescent="0.25">
      <c r="A2803">
        <v>93</v>
      </c>
      <c r="B2803">
        <v>213</v>
      </c>
      <c r="C2803">
        <v>2</v>
      </c>
      <c r="D2803">
        <v>2</v>
      </c>
      <c r="E2803" t="s">
        <v>250</v>
      </c>
    </row>
    <row r="2804" spans="1:5" x14ac:dyDescent="0.25">
      <c r="A2804">
        <v>93</v>
      </c>
      <c r="B2804">
        <v>215</v>
      </c>
      <c r="C2804">
        <v>2</v>
      </c>
      <c r="D2804">
        <v>2</v>
      </c>
      <c r="E2804" t="s">
        <v>250</v>
      </c>
    </row>
    <row r="2805" spans="1:5" x14ac:dyDescent="0.25">
      <c r="A2805">
        <v>93</v>
      </c>
      <c r="B2805">
        <v>216</v>
      </c>
      <c r="C2805">
        <v>1</v>
      </c>
      <c r="D2805">
        <v>1</v>
      </c>
      <c r="E2805" t="s">
        <v>250</v>
      </c>
    </row>
    <row r="2806" spans="1:5" x14ac:dyDescent="0.25">
      <c r="A2806">
        <v>93</v>
      </c>
      <c r="B2806">
        <v>217</v>
      </c>
      <c r="C2806">
        <v>6</v>
      </c>
      <c r="D2806">
        <v>6</v>
      </c>
      <c r="E2806" t="s">
        <v>250</v>
      </c>
    </row>
    <row r="2807" spans="1:5" x14ac:dyDescent="0.25">
      <c r="A2807">
        <v>93</v>
      </c>
      <c r="B2807">
        <v>218</v>
      </c>
      <c r="C2807">
        <v>4</v>
      </c>
      <c r="D2807">
        <v>4</v>
      </c>
      <c r="E2807" t="s">
        <v>250</v>
      </c>
    </row>
    <row r="2808" spans="1:5" x14ac:dyDescent="0.25">
      <c r="A2808">
        <v>93</v>
      </c>
      <c r="B2808">
        <v>219</v>
      </c>
      <c r="C2808">
        <v>5</v>
      </c>
      <c r="D2808">
        <v>5</v>
      </c>
      <c r="E2808" t="s">
        <v>250</v>
      </c>
    </row>
    <row r="2809" spans="1:5" x14ac:dyDescent="0.25">
      <c r="A2809">
        <v>93</v>
      </c>
      <c r="B2809">
        <v>220</v>
      </c>
      <c r="C2809">
        <v>5</v>
      </c>
      <c r="D2809">
        <v>5</v>
      </c>
      <c r="E2809" t="s">
        <v>250</v>
      </c>
    </row>
    <row r="2810" spans="1:5" x14ac:dyDescent="0.25">
      <c r="A2810">
        <v>93</v>
      </c>
      <c r="B2810">
        <v>221</v>
      </c>
      <c r="C2810">
        <v>4</v>
      </c>
      <c r="D2810">
        <v>4</v>
      </c>
      <c r="E2810" t="s">
        <v>250</v>
      </c>
    </row>
    <row r="2811" spans="1:5" x14ac:dyDescent="0.25">
      <c r="A2811">
        <v>93</v>
      </c>
      <c r="B2811">
        <v>222</v>
      </c>
      <c r="C2811">
        <v>6</v>
      </c>
      <c r="D2811">
        <v>6</v>
      </c>
      <c r="E2811" t="s">
        <v>250</v>
      </c>
    </row>
    <row r="2812" spans="1:5" x14ac:dyDescent="0.25">
      <c r="A2812">
        <v>93</v>
      </c>
      <c r="B2812">
        <v>223</v>
      </c>
      <c r="C2812">
        <v>6</v>
      </c>
      <c r="D2812">
        <v>6</v>
      </c>
      <c r="E2812" t="s">
        <v>250</v>
      </c>
    </row>
    <row r="2813" spans="1:5" x14ac:dyDescent="0.25">
      <c r="A2813">
        <v>93</v>
      </c>
      <c r="B2813">
        <v>224</v>
      </c>
      <c r="C2813">
        <v>3</v>
      </c>
      <c r="D2813">
        <v>3</v>
      </c>
      <c r="E2813" t="s">
        <v>250</v>
      </c>
    </row>
    <row r="2814" spans="1:5" x14ac:dyDescent="0.25">
      <c r="A2814">
        <v>93</v>
      </c>
      <c r="B2814">
        <v>225</v>
      </c>
      <c r="C2814">
        <v>4</v>
      </c>
      <c r="D2814">
        <v>4</v>
      </c>
      <c r="E2814" t="s">
        <v>250</v>
      </c>
    </row>
    <row r="2815" spans="1:5" x14ac:dyDescent="0.25">
      <c r="A2815">
        <v>93</v>
      </c>
      <c r="B2815">
        <v>226</v>
      </c>
      <c r="C2815">
        <v>3</v>
      </c>
      <c r="D2815">
        <v>3</v>
      </c>
      <c r="E2815" t="s">
        <v>250</v>
      </c>
    </row>
    <row r="2816" spans="1:5" x14ac:dyDescent="0.25">
      <c r="A2816">
        <v>93</v>
      </c>
      <c r="B2816">
        <v>227</v>
      </c>
      <c r="C2816">
        <v>6</v>
      </c>
      <c r="D2816">
        <v>6</v>
      </c>
      <c r="E2816" t="s">
        <v>250</v>
      </c>
    </row>
    <row r="2817" spans="1:5" x14ac:dyDescent="0.25">
      <c r="A2817">
        <v>93</v>
      </c>
      <c r="B2817">
        <v>228</v>
      </c>
      <c r="C2817">
        <v>4</v>
      </c>
      <c r="D2817">
        <v>4</v>
      </c>
      <c r="E2817" t="s">
        <v>250</v>
      </c>
    </row>
    <row r="2818" spans="1:5" x14ac:dyDescent="0.25">
      <c r="A2818">
        <v>93</v>
      </c>
      <c r="B2818">
        <v>229</v>
      </c>
      <c r="C2818">
        <v>4</v>
      </c>
      <c r="D2818">
        <v>4</v>
      </c>
      <c r="E2818" t="s">
        <v>250</v>
      </c>
    </row>
    <row r="2819" spans="1:5" x14ac:dyDescent="0.25">
      <c r="A2819">
        <v>93</v>
      </c>
      <c r="B2819">
        <v>230</v>
      </c>
      <c r="C2819">
        <v>6</v>
      </c>
      <c r="D2819">
        <v>6</v>
      </c>
      <c r="E2819" t="s">
        <v>250</v>
      </c>
    </row>
    <row r="2820" spans="1:5" x14ac:dyDescent="0.25">
      <c r="A2820">
        <v>93</v>
      </c>
      <c r="B2820">
        <v>231</v>
      </c>
      <c r="C2820">
        <v>8</v>
      </c>
      <c r="D2820">
        <v>8</v>
      </c>
      <c r="E2820" t="s">
        <v>250</v>
      </c>
    </row>
    <row r="2821" spans="1:5" x14ac:dyDescent="0.25">
      <c r="A2821">
        <v>93</v>
      </c>
      <c r="B2821">
        <v>232</v>
      </c>
      <c r="C2821">
        <v>4</v>
      </c>
      <c r="D2821">
        <v>4</v>
      </c>
      <c r="E2821" t="s">
        <v>250</v>
      </c>
    </row>
    <row r="2822" spans="1:5" x14ac:dyDescent="0.25">
      <c r="A2822">
        <v>93</v>
      </c>
      <c r="B2822">
        <v>233</v>
      </c>
      <c r="C2822">
        <v>2</v>
      </c>
      <c r="D2822">
        <v>2</v>
      </c>
      <c r="E2822" t="s">
        <v>250</v>
      </c>
    </row>
    <row r="2823" spans="1:5" x14ac:dyDescent="0.25">
      <c r="A2823">
        <v>93</v>
      </c>
      <c r="B2823">
        <v>234</v>
      </c>
      <c r="C2823">
        <v>6</v>
      </c>
      <c r="D2823">
        <v>6</v>
      </c>
      <c r="E2823" t="s">
        <v>250</v>
      </c>
    </row>
    <row r="2824" spans="1:5" x14ac:dyDescent="0.25">
      <c r="A2824">
        <v>93</v>
      </c>
      <c r="B2824">
        <v>235</v>
      </c>
      <c r="C2824">
        <v>4</v>
      </c>
      <c r="D2824">
        <v>4</v>
      </c>
      <c r="E2824" t="s">
        <v>250</v>
      </c>
    </row>
    <row r="2825" spans="1:5" x14ac:dyDescent="0.25">
      <c r="A2825">
        <v>93</v>
      </c>
      <c r="B2825">
        <v>238</v>
      </c>
      <c r="C2825">
        <v>2</v>
      </c>
      <c r="D2825">
        <v>2</v>
      </c>
      <c r="E2825" t="s">
        <v>250</v>
      </c>
    </row>
    <row r="2826" spans="1:5" x14ac:dyDescent="0.25">
      <c r="A2826">
        <v>93</v>
      </c>
      <c r="B2826">
        <v>239</v>
      </c>
      <c r="C2826">
        <v>3</v>
      </c>
      <c r="D2826">
        <v>3</v>
      </c>
      <c r="E2826" t="s">
        <v>250</v>
      </c>
    </row>
    <row r="2827" spans="1:5" x14ac:dyDescent="0.25">
      <c r="A2827">
        <v>93</v>
      </c>
      <c r="B2827">
        <v>240</v>
      </c>
      <c r="C2827">
        <v>2</v>
      </c>
      <c r="D2827">
        <v>2</v>
      </c>
      <c r="E2827" t="s">
        <v>250</v>
      </c>
    </row>
    <row r="2828" spans="1:5" x14ac:dyDescent="0.25">
      <c r="A2828">
        <v>93</v>
      </c>
      <c r="B2828">
        <v>242</v>
      </c>
      <c r="C2828">
        <v>2</v>
      </c>
      <c r="D2828">
        <v>2</v>
      </c>
      <c r="E2828" t="s">
        <v>250</v>
      </c>
    </row>
    <row r="2829" spans="1:5" x14ac:dyDescent="0.25">
      <c r="A2829">
        <v>93</v>
      </c>
      <c r="B2829">
        <v>243</v>
      </c>
      <c r="C2829">
        <v>1</v>
      </c>
      <c r="D2829">
        <v>1</v>
      </c>
      <c r="E2829" t="s">
        <v>250</v>
      </c>
    </row>
    <row r="2830" spans="1:5" x14ac:dyDescent="0.25">
      <c r="A2830">
        <v>93</v>
      </c>
      <c r="B2830">
        <v>245</v>
      </c>
      <c r="C2830">
        <v>2</v>
      </c>
      <c r="D2830">
        <v>2</v>
      </c>
      <c r="E2830" t="s">
        <v>250</v>
      </c>
    </row>
    <row r="2831" spans="1:5" x14ac:dyDescent="0.25">
      <c r="A2831">
        <v>93</v>
      </c>
      <c r="B2831">
        <v>249</v>
      </c>
      <c r="C2831">
        <v>1</v>
      </c>
      <c r="D2831">
        <v>1</v>
      </c>
      <c r="E2831" t="s">
        <v>250</v>
      </c>
    </row>
    <row r="2832" spans="1:5" x14ac:dyDescent="0.25">
      <c r="A2832">
        <v>93</v>
      </c>
      <c r="B2832">
        <v>251</v>
      </c>
      <c r="C2832">
        <v>4</v>
      </c>
      <c r="D2832">
        <v>4</v>
      </c>
      <c r="E2832" t="s">
        <v>250</v>
      </c>
    </row>
    <row r="2833" spans="1:5" x14ac:dyDescent="0.25">
      <c r="A2833">
        <v>93</v>
      </c>
      <c r="B2833">
        <v>252</v>
      </c>
      <c r="C2833">
        <v>1</v>
      </c>
      <c r="D2833">
        <v>1</v>
      </c>
      <c r="E2833" t="s">
        <v>250</v>
      </c>
    </row>
    <row r="2834" spans="1:5" x14ac:dyDescent="0.25">
      <c r="A2834">
        <v>93</v>
      </c>
      <c r="B2834">
        <v>254</v>
      </c>
      <c r="C2834">
        <v>2</v>
      </c>
      <c r="D2834">
        <v>2</v>
      </c>
      <c r="E2834" t="s">
        <v>250</v>
      </c>
    </row>
    <row r="2835" spans="1:5" x14ac:dyDescent="0.25">
      <c r="A2835">
        <v>93</v>
      </c>
      <c r="B2835">
        <v>255</v>
      </c>
      <c r="C2835">
        <v>4</v>
      </c>
      <c r="D2835">
        <v>4</v>
      </c>
      <c r="E2835" t="s">
        <v>250</v>
      </c>
    </row>
    <row r="2836" spans="1:5" x14ac:dyDescent="0.25">
      <c r="A2836">
        <v>93</v>
      </c>
      <c r="B2836">
        <v>256</v>
      </c>
      <c r="C2836">
        <v>5</v>
      </c>
      <c r="D2836">
        <v>5</v>
      </c>
      <c r="E2836" t="s">
        <v>250</v>
      </c>
    </row>
    <row r="2837" spans="1:5" x14ac:dyDescent="0.25">
      <c r="A2837">
        <v>93</v>
      </c>
      <c r="B2837">
        <v>257</v>
      </c>
      <c r="C2837">
        <v>3</v>
      </c>
      <c r="D2837">
        <v>3</v>
      </c>
      <c r="E2837" t="s">
        <v>250</v>
      </c>
    </row>
    <row r="2838" spans="1:5" x14ac:dyDescent="0.25">
      <c r="A2838">
        <v>93</v>
      </c>
      <c r="B2838">
        <v>258</v>
      </c>
      <c r="C2838">
        <v>1</v>
      </c>
      <c r="D2838">
        <v>1</v>
      </c>
      <c r="E2838" t="s">
        <v>250</v>
      </c>
    </row>
    <row r="2839" spans="1:5" x14ac:dyDescent="0.25">
      <c r="A2839">
        <v>93</v>
      </c>
      <c r="B2839">
        <v>265</v>
      </c>
      <c r="C2839">
        <v>3</v>
      </c>
      <c r="D2839">
        <v>3</v>
      </c>
      <c r="E2839" t="s">
        <v>250</v>
      </c>
    </row>
    <row r="2840" spans="1:5" x14ac:dyDescent="0.25">
      <c r="A2840">
        <v>93</v>
      </c>
      <c r="B2840">
        <v>269</v>
      </c>
      <c r="C2840">
        <v>3</v>
      </c>
      <c r="D2840">
        <v>3</v>
      </c>
      <c r="E2840" t="s">
        <v>250</v>
      </c>
    </row>
    <row r="2841" spans="1:5" x14ac:dyDescent="0.25">
      <c r="A2841">
        <v>93</v>
      </c>
      <c r="B2841">
        <v>274</v>
      </c>
      <c r="C2841">
        <v>6</v>
      </c>
      <c r="D2841">
        <v>6</v>
      </c>
      <c r="E2841" t="s">
        <v>250</v>
      </c>
    </row>
    <row r="2842" spans="1:5" x14ac:dyDescent="0.25">
      <c r="A2842">
        <v>93</v>
      </c>
      <c r="B2842">
        <v>276</v>
      </c>
      <c r="C2842">
        <v>1</v>
      </c>
      <c r="D2842">
        <v>1</v>
      </c>
      <c r="E2842" t="s">
        <v>250</v>
      </c>
    </row>
    <row r="2843" spans="1:5" x14ac:dyDescent="0.25">
      <c r="A2843">
        <v>93</v>
      </c>
      <c r="B2843">
        <v>277</v>
      </c>
      <c r="C2843">
        <v>3</v>
      </c>
      <c r="D2843">
        <v>3</v>
      </c>
      <c r="E2843" t="s">
        <v>250</v>
      </c>
    </row>
    <row r="2844" spans="1:5" x14ac:dyDescent="0.25">
      <c r="A2844">
        <v>93</v>
      </c>
      <c r="B2844">
        <v>279</v>
      </c>
      <c r="C2844">
        <v>3</v>
      </c>
      <c r="D2844">
        <v>3</v>
      </c>
      <c r="E2844" t="s">
        <v>250</v>
      </c>
    </row>
    <row r="2845" spans="1:5" x14ac:dyDescent="0.25">
      <c r="A2845">
        <v>93</v>
      </c>
      <c r="B2845">
        <v>284</v>
      </c>
      <c r="C2845">
        <v>2</v>
      </c>
      <c r="D2845">
        <v>2</v>
      </c>
      <c r="E2845" t="s">
        <v>250</v>
      </c>
    </row>
    <row r="2846" spans="1:5" x14ac:dyDescent="0.25">
      <c r="A2846">
        <v>93</v>
      </c>
      <c r="B2846">
        <v>287</v>
      </c>
      <c r="C2846">
        <v>3</v>
      </c>
      <c r="D2846">
        <v>3</v>
      </c>
      <c r="E2846" t="s">
        <v>250</v>
      </c>
    </row>
    <row r="2847" spans="1:5" x14ac:dyDescent="0.25">
      <c r="A2847">
        <v>93</v>
      </c>
      <c r="B2847">
        <v>291</v>
      </c>
      <c r="C2847">
        <v>3</v>
      </c>
      <c r="D2847">
        <v>3</v>
      </c>
      <c r="E2847" t="s">
        <v>250</v>
      </c>
    </row>
    <row r="2848" spans="1:5" x14ac:dyDescent="0.25">
      <c r="A2848">
        <v>93</v>
      </c>
      <c r="B2848">
        <v>293</v>
      </c>
      <c r="C2848">
        <v>2</v>
      </c>
      <c r="D2848">
        <v>2</v>
      </c>
      <c r="E2848" t="s">
        <v>250</v>
      </c>
    </row>
    <row r="2849" spans="1:6" x14ac:dyDescent="0.25">
      <c r="A2849">
        <v>93</v>
      </c>
      <c r="B2849">
        <v>294</v>
      </c>
      <c r="C2849">
        <v>3</v>
      </c>
      <c r="D2849">
        <v>3</v>
      </c>
      <c r="E2849" t="s">
        <v>250</v>
      </c>
    </row>
    <row r="2850" spans="1:6" x14ac:dyDescent="0.25">
      <c r="A2850">
        <v>93</v>
      </c>
      <c r="B2850">
        <v>300</v>
      </c>
      <c r="C2850">
        <v>3</v>
      </c>
      <c r="D2850">
        <v>3</v>
      </c>
      <c r="E2850" t="s">
        <v>250</v>
      </c>
    </row>
    <row r="2851" spans="1:6" x14ac:dyDescent="0.25">
      <c r="A2851">
        <v>93</v>
      </c>
      <c r="B2851">
        <v>306</v>
      </c>
      <c r="C2851">
        <v>2</v>
      </c>
      <c r="D2851">
        <v>2</v>
      </c>
      <c r="E2851" t="s">
        <v>250</v>
      </c>
    </row>
    <row r="2852" spans="1:6" x14ac:dyDescent="0.25">
      <c r="A2852">
        <v>93</v>
      </c>
      <c r="B2852">
        <v>308</v>
      </c>
      <c r="C2852">
        <v>2</v>
      </c>
      <c r="D2852">
        <v>2</v>
      </c>
      <c r="E2852" t="s">
        <v>250</v>
      </c>
      <c r="F2852">
        <f>SUM(C2756:C2852)</f>
        <v>262</v>
      </c>
    </row>
    <row r="2853" spans="1:6" x14ac:dyDescent="0.25">
      <c r="A2853">
        <v>114</v>
      </c>
      <c r="B2853">
        <v>71</v>
      </c>
      <c r="C2853">
        <v>1</v>
      </c>
      <c r="D2853">
        <v>1</v>
      </c>
      <c r="E2853" t="s">
        <v>207</v>
      </c>
    </row>
    <row r="2854" spans="1:6" x14ac:dyDescent="0.25">
      <c r="A2854">
        <v>114</v>
      </c>
      <c r="B2854">
        <v>72</v>
      </c>
      <c r="C2854">
        <v>2</v>
      </c>
      <c r="D2854">
        <v>2</v>
      </c>
      <c r="E2854" t="s">
        <v>207</v>
      </c>
    </row>
    <row r="2855" spans="1:6" x14ac:dyDescent="0.25">
      <c r="A2855">
        <v>114</v>
      </c>
      <c r="B2855">
        <v>103</v>
      </c>
      <c r="C2855">
        <v>1</v>
      </c>
      <c r="D2855">
        <v>1</v>
      </c>
      <c r="E2855" t="s">
        <v>207</v>
      </c>
    </row>
    <row r="2856" spans="1:6" x14ac:dyDescent="0.25">
      <c r="A2856">
        <v>114</v>
      </c>
      <c r="B2856">
        <v>105</v>
      </c>
      <c r="C2856">
        <v>1</v>
      </c>
      <c r="D2856">
        <v>1</v>
      </c>
      <c r="E2856" t="s">
        <v>207</v>
      </c>
    </row>
    <row r="2857" spans="1:6" x14ac:dyDescent="0.25">
      <c r="A2857">
        <v>114</v>
      </c>
      <c r="B2857">
        <v>106</v>
      </c>
      <c r="C2857">
        <v>2</v>
      </c>
      <c r="D2857">
        <v>2</v>
      </c>
      <c r="E2857" t="s">
        <v>207</v>
      </c>
    </row>
    <row r="2858" spans="1:6" x14ac:dyDescent="0.25">
      <c r="A2858">
        <v>114</v>
      </c>
      <c r="B2858">
        <v>107</v>
      </c>
      <c r="C2858">
        <v>1</v>
      </c>
      <c r="D2858">
        <v>1</v>
      </c>
      <c r="E2858" t="s">
        <v>207</v>
      </c>
    </row>
    <row r="2859" spans="1:6" x14ac:dyDescent="0.25">
      <c r="A2859">
        <v>114</v>
      </c>
      <c r="B2859">
        <v>109</v>
      </c>
      <c r="C2859">
        <v>3</v>
      </c>
      <c r="D2859">
        <v>3</v>
      </c>
      <c r="E2859" t="s">
        <v>207</v>
      </c>
    </row>
    <row r="2860" spans="1:6" x14ac:dyDescent="0.25">
      <c r="A2860">
        <v>114</v>
      </c>
      <c r="B2860">
        <v>110</v>
      </c>
      <c r="C2860">
        <v>5</v>
      </c>
      <c r="D2860">
        <v>5</v>
      </c>
      <c r="E2860" t="s">
        <v>207</v>
      </c>
    </row>
    <row r="2861" spans="1:6" x14ac:dyDescent="0.25">
      <c r="A2861">
        <v>114</v>
      </c>
      <c r="B2861">
        <v>111</v>
      </c>
      <c r="C2861">
        <v>1</v>
      </c>
      <c r="D2861">
        <v>1</v>
      </c>
      <c r="E2861" t="s">
        <v>207</v>
      </c>
    </row>
    <row r="2862" spans="1:6" x14ac:dyDescent="0.25">
      <c r="A2862">
        <v>114</v>
      </c>
      <c r="B2862">
        <v>112</v>
      </c>
      <c r="C2862">
        <v>2</v>
      </c>
      <c r="D2862">
        <v>2</v>
      </c>
      <c r="E2862" t="s">
        <v>207</v>
      </c>
    </row>
    <row r="2863" spans="1:6" x14ac:dyDescent="0.25">
      <c r="A2863">
        <v>114</v>
      </c>
      <c r="B2863">
        <v>113</v>
      </c>
      <c r="C2863">
        <v>3</v>
      </c>
      <c r="D2863">
        <v>3</v>
      </c>
      <c r="E2863" t="s">
        <v>207</v>
      </c>
    </row>
    <row r="2864" spans="1:6" x14ac:dyDescent="0.25">
      <c r="A2864">
        <v>114</v>
      </c>
      <c r="B2864">
        <v>114</v>
      </c>
      <c r="C2864">
        <v>4</v>
      </c>
      <c r="D2864">
        <v>4</v>
      </c>
      <c r="E2864" t="s">
        <v>207</v>
      </c>
    </row>
    <row r="2865" spans="1:5" x14ac:dyDescent="0.25">
      <c r="A2865">
        <v>114</v>
      </c>
      <c r="B2865">
        <v>197</v>
      </c>
      <c r="C2865">
        <v>2</v>
      </c>
      <c r="D2865">
        <v>2</v>
      </c>
      <c r="E2865" t="s">
        <v>207</v>
      </c>
    </row>
    <row r="2866" spans="1:5" x14ac:dyDescent="0.25">
      <c r="A2866">
        <v>114</v>
      </c>
      <c r="B2866">
        <v>199</v>
      </c>
      <c r="C2866">
        <v>1</v>
      </c>
      <c r="D2866">
        <v>1</v>
      </c>
      <c r="E2866" t="s">
        <v>207</v>
      </c>
    </row>
    <row r="2867" spans="1:5" x14ac:dyDescent="0.25">
      <c r="A2867">
        <v>114</v>
      </c>
      <c r="B2867">
        <v>200</v>
      </c>
      <c r="C2867">
        <v>1</v>
      </c>
      <c r="D2867">
        <v>1</v>
      </c>
      <c r="E2867" t="s">
        <v>207</v>
      </c>
    </row>
    <row r="2868" spans="1:5" x14ac:dyDescent="0.25">
      <c r="A2868">
        <v>114</v>
      </c>
      <c r="B2868">
        <v>201</v>
      </c>
      <c r="C2868">
        <v>2</v>
      </c>
      <c r="D2868">
        <v>2</v>
      </c>
      <c r="E2868" t="s">
        <v>207</v>
      </c>
    </row>
    <row r="2869" spans="1:5" x14ac:dyDescent="0.25">
      <c r="A2869">
        <v>114</v>
      </c>
      <c r="B2869">
        <v>202</v>
      </c>
      <c r="C2869">
        <v>3</v>
      </c>
      <c r="D2869">
        <v>3</v>
      </c>
      <c r="E2869" t="s">
        <v>207</v>
      </c>
    </row>
    <row r="2870" spans="1:5" x14ac:dyDescent="0.25">
      <c r="A2870">
        <v>114</v>
      </c>
      <c r="B2870">
        <v>203</v>
      </c>
      <c r="C2870">
        <v>2</v>
      </c>
      <c r="D2870">
        <v>2</v>
      </c>
      <c r="E2870" t="s">
        <v>207</v>
      </c>
    </row>
    <row r="2871" spans="1:5" x14ac:dyDescent="0.25">
      <c r="A2871">
        <v>114</v>
      </c>
      <c r="B2871">
        <v>204</v>
      </c>
      <c r="C2871">
        <v>3</v>
      </c>
      <c r="D2871">
        <v>3</v>
      </c>
      <c r="E2871" t="s">
        <v>207</v>
      </c>
    </row>
    <row r="2872" spans="1:5" x14ac:dyDescent="0.25">
      <c r="A2872">
        <v>114</v>
      </c>
      <c r="B2872">
        <v>215</v>
      </c>
      <c r="C2872">
        <v>3</v>
      </c>
      <c r="D2872">
        <v>3</v>
      </c>
      <c r="E2872" t="s">
        <v>207</v>
      </c>
    </row>
    <row r="2873" spans="1:5" x14ac:dyDescent="0.25">
      <c r="A2873">
        <v>114</v>
      </c>
      <c r="B2873">
        <v>217</v>
      </c>
      <c r="C2873">
        <v>1</v>
      </c>
      <c r="D2873">
        <v>1</v>
      </c>
      <c r="E2873" t="s">
        <v>207</v>
      </c>
    </row>
    <row r="2874" spans="1:5" x14ac:dyDescent="0.25">
      <c r="A2874">
        <v>114</v>
      </c>
      <c r="B2874">
        <v>252</v>
      </c>
      <c r="C2874">
        <v>3</v>
      </c>
      <c r="D2874">
        <v>3</v>
      </c>
      <c r="E2874" t="s">
        <v>207</v>
      </c>
    </row>
    <row r="2875" spans="1:5" x14ac:dyDescent="0.25">
      <c r="A2875">
        <v>114</v>
      </c>
      <c r="B2875">
        <v>253</v>
      </c>
      <c r="C2875">
        <v>2</v>
      </c>
      <c r="D2875">
        <v>2</v>
      </c>
      <c r="E2875" t="s">
        <v>207</v>
      </c>
    </row>
    <row r="2876" spans="1:5" x14ac:dyDescent="0.25">
      <c r="A2876">
        <v>114</v>
      </c>
      <c r="B2876">
        <v>254</v>
      </c>
      <c r="C2876">
        <v>1</v>
      </c>
      <c r="D2876">
        <v>1</v>
      </c>
      <c r="E2876" t="s">
        <v>207</v>
      </c>
    </row>
    <row r="2877" spans="1:5" x14ac:dyDescent="0.25">
      <c r="A2877">
        <v>114</v>
      </c>
      <c r="B2877">
        <v>268</v>
      </c>
      <c r="C2877">
        <v>3</v>
      </c>
      <c r="D2877">
        <v>3</v>
      </c>
      <c r="E2877" t="s">
        <v>207</v>
      </c>
    </row>
    <row r="2878" spans="1:5" x14ac:dyDescent="0.25">
      <c r="A2878">
        <v>114</v>
      </c>
      <c r="B2878">
        <v>269</v>
      </c>
      <c r="C2878">
        <v>3</v>
      </c>
      <c r="D2878">
        <v>3</v>
      </c>
      <c r="E2878" t="s">
        <v>207</v>
      </c>
    </row>
    <row r="2879" spans="1:5" x14ac:dyDescent="0.25">
      <c r="A2879">
        <v>114</v>
      </c>
      <c r="B2879">
        <v>293</v>
      </c>
      <c r="C2879">
        <v>1</v>
      </c>
      <c r="D2879">
        <v>1</v>
      </c>
      <c r="E2879" t="s">
        <v>207</v>
      </c>
    </row>
    <row r="2880" spans="1:5" x14ac:dyDescent="0.25">
      <c r="A2880">
        <v>114</v>
      </c>
      <c r="B2880">
        <v>322</v>
      </c>
      <c r="C2880">
        <v>3</v>
      </c>
      <c r="D2880">
        <v>3</v>
      </c>
      <c r="E2880" t="s">
        <v>207</v>
      </c>
    </row>
    <row r="2881" spans="1:6" x14ac:dyDescent="0.25">
      <c r="A2881">
        <v>114</v>
      </c>
      <c r="B2881">
        <v>343</v>
      </c>
      <c r="C2881">
        <v>1</v>
      </c>
      <c r="D2881">
        <v>1</v>
      </c>
      <c r="E2881" t="s">
        <v>207</v>
      </c>
    </row>
    <row r="2882" spans="1:6" x14ac:dyDescent="0.25">
      <c r="A2882">
        <v>114</v>
      </c>
      <c r="B2882">
        <v>352</v>
      </c>
      <c r="C2882">
        <v>1</v>
      </c>
      <c r="D2882">
        <v>1</v>
      </c>
      <c r="E2882" t="s">
        <v>207</v>
      </c>
      <c r="F2882">
        <f>SUM(C2853:C2882)</f>
        <v>62</v>
      </c>
    </row>
    <row r="2883" spans="1:6" x14ac:dyDescent="0.25">
      <c r="A2883">
        <v>94</v>
      </c>
      <c r="B2883">
        <v>3</v>
      </c>
      <c r="C2883">
        <v>1</v>
      </c>
      <c r="D2883">
        <v>1</v>
      </c>
      <c r="E2883" t="s">
        <v>182</v>
      </c>
    </row>
    <row r="2884" spans="1:6" x14ac:dyDescent="0.25">
      <c r="A2884">
        <v>94</v>
      </c>
      <c r="B2884">
        <v>7</v>
      </c>
      <c r="C2884">
        <v>1</v>
      </c>
      <c r="D2884">
        <v>1</v>
      </c>
      <c r="E2884" t="s">
        <v>182</v>
      </c>
    </row>
    <row r="2885" spans="1:6" x14ac:dyDescent="0.25">
      <c r="A2885">
        <v>94</v>
      </c>
      <c r="B2885">
        <v>8</v>
      </c>
      <c r="C2885">
        <v>2</v>
      </c>
      <c r="D2885">
        <v>2</v>
      </c>
      <c r="E2885" t="s">
        <v>182</v>
      </c>
    </row>
    <row r="2886" spans="1:6" x14ac:dyDescent="0.25">
      <c r="A2886">
        <v>94</v>
      </c>
      <c r="B2886">
        <v>12</v>
      </c>
      <c r="C2886">
        <v>1</v>
      </c>
      <c r="D2886">
        <v>1</v>
      </c>
      <c r="E2886" t="s">
        <v>182</v>
      </c>
    </row>
    <row r="2887" spans="1:6" x14ac:dyDescent="0.25">
      <c r="A2887">
        <v>94</v>
      </c>
      <c r="B2887">
        <v>211</v>
      </c>
      <c r="C2887">
        <v>1</v>
      </c>
      <c r="D2887">
        <v>1</v>
      </c>
      <c r="E2887" t="s">
        <v>182</v>
      </c>
    </row>
    <row r="2888" spans="1:6" x14ac:dyDescent="0.25">
      <c r="A2888">
        <v>94</v>
      </c>
      <c r="B2888">
        <v>217</v>
      </c>
      <c r="C2888">
        <v>1</v>
      </c>
      <c r="D2888">
        <v>1</v>
      </c>
      <c r="E2888" t="s">
        <v>182</v>
      </c>
    </row>
    <row r="2889" spans="1:6" x14ac:dyDescent="0.25">
      <c r="A2889">
        <v>94</v>
      </c>
      <c r="B2889">
        <v>373</v>
      </c>
      <c r="C2889">
        <v>1</v>
      </c>
      <c r="D2889">
        <v>1</v>
      </c>
      <c r="E2889" t="s">
        <v>182</v>
      </c>
    </row>
    <row r="2890" spans="1:6" x14ac:dyDescent="0.25">
      <c r="A2890">
        <v>94</v>
      </c>
      <c r="B2890">
        <v>374</v>
      </c>
      <c r="C2890">
        <v>1</v>
      </c>
      <c r="D2890">
        <v>1</v>
      </c>
      <c r="E2890" t="s">
        <v>182</v>
      </c>
    </row>
    <row r="2891" spans="1:6" x14ac:dyDescent="0.25">
      <c r="A2891">
        <v>94</v>
      </c>
      <c r="B2891">
        <v>375</v>
      </c>
      <c r="C2891">
        <v>2</v>
      </c>
      <c r="D2891">
        <v>2</v>
      </c>
      <c r="E2891" t="s">
        <v>182</v>
      </c>
    </row>
    <row r="2892" spans="1:6" x14ac:dyDescent="0.25">
      <c r="A2892">
        <v>94</v>
      </c>
      <c r="B2892">
        <v>425</v>
      </c>
      <c r="C2892">
        <v>1</v>
      </c>
      <c r="D2892">
        <v>1</v>
      </c>
      <c r="E2892" t="s">
        <v>182</v>
      </c>
    </row>
    <row r="2893" spans="1:6" x14ac:dyDescent="0.25">
      <c r="A2893">
        <v>94</v>
      </c>
      <c r="B2893">
        <v>445</v>
      </c>
      <c r="C2893">
        <v>1</v>
      </c>
      <c r="D2893">
        <v>1</v>
      </c>
      <c r="E2893" t="s">
        <v>182</v>
      </c>
    </row>
    <row r="2894" spans="1:6" x14ac:dyDescent="0.25">
      <c r="A2894">
        <v>94</v>
      </c>
      <c r="B2894">
        <v>462</v>
      </c>
      <c r="C2894">
        <v>2</v>
      </c>
      <c r="D2894">
        <v>2</v>
      </c>
      <c r="E2894" t="s">
        <v>182</v>
      </c>
    </row>
    <row r="2895" spans="1:6" x14ac:dyDescent="0.25">
      <c r="A2895">
        <v>94</v>
      </c>
      <c r="B2895">
        <v>574</v>
      </c>
      <c r="C2895">
        <v>1</v>
      </c>
      <c r="D2895">
        <v>1</v>
      </c>
      <c r="E2895" t="s">
        <v>182</v>
      </c>
    </row>
    <row r="2896" spans="1:6" x14ac:dyDescent="0.25">
      <c r="A2896">
        <v>94</v>
      </c>
      <c r="B2896">
        <v>607</v>
      </c>
      <c r="C2896">
        <v>1</v>
      </c>
      <c r="D2896">
        <v>1</v>
      </c>
      <c r="E2896" t="s">
        <v>182</v>
      </c>
    </row>
    <row r="2897" spans="1:5" x14ac:dyDescent="0.25">
      <c r="A2897">
        <v>94</v>
      </c>
      <c r="B2897">
        <v>646</v>
      </c>
      <c r="C2897">
        <v>1</v>
      </c>
      <c r="D2897">
        <v>1</v>
      </c>
      <c r="E2897" t="s">
        <v>182</v>
      </c>
    </row>
    <row r="2898" spans="1:5" x14ac:dyDescent="0.25">
      <c r="A2898">
        <v>94</v>
      </c>
      <c r="B2898">
        <v>687</v>
      </c>
      <c r="C2898">
        <v>1</v>
      </c>
      <c r="D2898">
        <v>1</v>
      </c>
      <c r="E2898" t="s">
        <v>182</v>
      </c>
    </row>
    <row r="2899" spans="1:5" x14ac:dyDescent="0.25">
      <c r="A2899">
        <v>94</v>
      </c>
      <c r="B2899">
        <v>706</v>
      </c>
      <c r="C2899">
        <v>1</v>
      </c>
      <c r="D2899">
        <v>1</v>
      </c>
      <c r="E2899" t="s">
        <v>182</v>
      </c>
    </row>
    <row r="2900" spans="1:5" x14ac:dyDescent="0.25">
      <c r="A2900">
        <v>94</v>
      </c>
      <c r="B2900">
        <v>758</v>
      </c>
      <c r="C2900">
        <v>1</v>
      </c>
      <c r="D2900">
        <v>1</v>
      </c>
      <c r="E2900" t="s">
        <v>182</v>
      </c>
    </row>
    <row r="2901" spans="1:5" x14ac:dyDescent="0.25">
      <c r="A2901">
        <v>94</v>
      </c>
      <c r="B2901">
        <v>760</v>
      </c>
      <c r="C2901">
        <v>3</v>
      </c>
      <c r="D2901">
        <v>3</v>
      </c>
      <c r="E2901" t="s">
        <v>182</v>
      </c>
    </row>
    <row r="2902" spans="1:5" x14ac:dyDescent="0.25">
      <c r="A2902">
        <v>94</v>
      </c>
      <c r="B2902">
        <v>773</v>
      </c>
      <c r="C2902">
        <v>2</v>
      </c>
      <c r="D2902">
        <v>2</v>
      </c>
      <c r="E2902" t="s">
        <v>182</v>
      </c>
    </row>
    <row r="2903" spans="1:5" x14ac:dyDescent="0.25">
      <c r="A2903">
        <v>94</v>
      </c>
      <c r="B2903">
        <v>777</v>
      </c>
      <c r="C2903">
        <v>1</v>
      </c>
      <c r="D2903">
        <v>1</v>
      </c>
      <c r="E2903" t="s">
        <v>182</v>
      </c>
    </row>
    <row r="2904" spans="1:5" x14ac:dyDescent="0.25">
      <c r="A2904">
        <v>94</v>
      </c>
      <c r="B2904">
        <v>781</v>
      </c>
      <c r="C2904">
        <v>1</v>
      </c>
      <c r="D2904">
        <v>1</v>
      </c>
      <c r="E2904" t="s">
        <v>182</v>
      </c>
    </row>
    <row r="2905" spans="1:5" x14ac:dyDescent="0.25">
      <c r="A2905">
        <v>94</v>
      </c>
      <c r="B2905">
        <v>795</v>
      </c>
      <c r="C2905">
        <v>1</v>
      </c>
      <c r="D2905">
        <v>1</v>
      </c>
      <c r="E2905" t="s">
        <v>182</v>
      </c>
    </row>
    <row r="2906" spans="1:5" x14ac:dyDescent="0.25">
      <c r="A2906">
        <v>94</v>
      </c>
      <c r="B2906">
        <v>796</v>
      </c>
      <c r="C2906">
        <v>2</v>
      </c>
      <c r="D2906">
        <v>2</v>
      </c>
      <c r="E2906" t="s">
        <v>182</v>
      </c>
    </row>
    <row r="2907" spans="1:5" x14ac:dyDescent="0.25">
      <c r="A2907">
        <v>94</v>
      </c>
      <c r="B2907">
        <v>801</v>
      </c>
      <c r="C2907">
        <v>1</v>
      </c>
      <c r="D2907">
        <v>1</v>
      </c>
      <c r="E2907" t="s">
        <v>182</v>
      </c>
    </row>
    <row r="2908" spans="1:5" x14ac:dyDescent="0.25">
      <c r="A2908">
        <v>94</v>
      </c>
      <c r="B2908">
        <v>812</v>
      </c>
      <c r="C2908">
        <v>2</v>
      </c>
      <c r="D2908">
        <v>2</v>
      </c>
      <c r="E2908" t="s">
        <v>182</v>
      </c>
    </row>
    <row r="2909" spans="1:5" x14ac:dyDescent="0.25">
      <c r="A2909">
        <v>94</v>
      </c>
      <c r="B2909">
        <v>819</v>
      </c>
      <c r="C2909">
        <v>1</v>
      </c>
      <c r="D2909">
        <v>1</v>
      </c>
      <c r="E2909" t="s">
        <v>182</v>
      </c>
    </row>
    <row r="2910" spans="1:5" x14ac:dyDescent="0.25">
      <c r="A2910">
        <v>94</v>
      </c>
      <c r="B2910">
        <v>837</v>
      </c>
      <c r="C2910">
        <v>1</v>
      </c>
      <c r="D2910">
        <v>1</v>
      </c>
      <c r="E2910" t="s">
        <v>182</v>
      </c>
    </row>
    <row r="2911" spans="1:5" x14ac:dyDescent="0.25">
      <c r="A2911">
        <v>94</v>
      </c>
      <c r="B2911">
        <v>849</v>
      </c>
      <c r="C2911">
        <v>3</v>
      </c>
      <c r="D2911">
        <v>3</v>
      </c>
      <c r="E2911" t="s">
        <v>182</v>
      </c>
    </row>
    <row r="2912" spans="1:5" x14ac:dyDescent="0.25">
      <c r="A2912">
        <v>94</v>
      </c>
      <c r="B2912">
        <v>856</v>
      </c>
      <c r="C2912">
        <v>1</v>
      </c>
      <c r="D2912">
        <v>1</v>
      </c>
      <c r="E2912" t="s">
        <v>182</v>
      </c>
    </row>
    <row r="2913" spans="1:6" x14ac:dyDescent="0.25">
      <c r="A2913">
        <v>94</v>
      </c>
      <c r="B2913">
        <v>865</v>
      </c>
      <c r="C2913">
        <v>2</v>
      </c>
      <c r="D2913">
        <v>2</v>
      </c>
      <c r="E2913" t="s">
        <v>182</v>
      </c>
    </row>
    <row r="2914" spans="1:6" x14ac:dyDescent="0.25">
      <c r="A2914">
        <v>94</v>
      </c>
      <c r="B2914">
        <v>911</v>
      </c>
      <c r="C2914">
        <v>3</v>
      </c>
      <c r="D2914">
        <v>3</v>
      </c>
      <c r="E2914" t="s">
        <v>182</v>
      </c>
    </row>
    <row r="2915" spans="1:6" x14ac:dyDescent="0.25">
      <c r="A2915">
        <v>94</v>
      </c>
      <c r="B2915">
        <v>932</v>
      </c>
      <c r="C2915">
        <v>1</v>
      </c>
      <c r="D2915">
        <v>1</v>
      </c>
      <c r="E2915" t="s">
        <v>182</v>
      </c>
      <c r="F2915">
        <f>SUM(C2883:C2915)</f>
        <v>46</v>
      </c>
    </row>
    <row r="2916" spans="1:6" x14ac:dyDescent="0.25">
      <c r="A2916">
        <v>113</v>
      </c>
      <c r="B2916">
        <v>209</v>
      </c>
      <c r="C2916">
        <v>7</v>
      </c>
      <c r="D2916">
        <v>7</v>
      </c>
      <c r="E2916" t="s">
        <v>251</v>
      </c>
    </row>
    <row r="2917" spans="1:6" x14ac:dyDescent="0.25">
      <c r="A2917">
        <v>113</v>
      </c>
      <c r="B2917">
        <v>210</v>
      </c>
      <c r="C2917">
        <v>15</v>
      </c>
      <c r="D2917">
        <v>15</v>
      </c>
      <c r="E2917" t="s">
        <v>251</v>
      </c>
    </row>
    <row r="2918" spans="1:6" x14ac:dyDescent="0.25">
      <c r="A2918">
        <v>113</v>
      </c>
      <c r="B2918">
        <v>211</v>
      </c>
      <c r="C2918">
        <v>15</v>
      </c>
      <c r="D2918">
        <v>15</v>
      </c>
      <c r="E2918" t="s">
        <v>251</v>
      </c>
    </row>
    <row r="2919" spans="1:6" x14ac:dyDescent="0.25">
      <c r="A2919">
        <v>113</v>
      </c>
      <c r="B2919">
        <v>212</v>
      </c>
      <c r="C2919">
        <v>15</v>
      </c>
      <c r="D2919">
        <v>15</v>
      </c>
      <c r="E2919" t="s">
        <v>251</v>
      </c>
    </row>
    <row r="2920" spans="1:6" x14ac:dyDescent="0.25">
      <c r="A2920">
        <v>113</v>
      </c>
      <c r="B2920">
        <v>213</v>
      </c>
      <c r="C2920">
        <v>12</v>
      </c>
      <c r="D2920">
        <v>12</v>
      </c>
      <c r="E2920" t="s">
        <v>251</v>
      </c>
    </row>
    <row r="2921" spans="1:6" x14ac:dyDescent="0.25">
      <c r="A2921">
        <v>113</v>
      </c>
      <c r="B2921">
        <v>214</v>
      </c>
      <c r="C2921">
        <v>7</v>
      </c>
      <c r="D2921">
        <v>7</v>
      </c>
      <c r="E2921" t="s">
        <v>251</v>
      </c>
    </row>
    <row r="2922" spans="1:6" x14ac:dyDescent="0.25">
      <c r="A2922">
        <v>113</v>
      </c>
      <c r="B2922">
        <v>215</v>
      </c>
      <c r="C2922">
        <v>10</v>
      </c>
      <c r="D2922">
        <v>10</v>
      </c>
      <c r="E2922" t="s">
        <v>251</v>
      </c>
    </row>
    <row r="2923" spans="1:6" x14ac:dyDescent="0.25">
      <c r="A2923">
        <v>113</v>
      </c>
      <c r="B2923">
        <v>216</v>
      </c>
      <c r="C2923">
        <v>14</v>
      </c>
      <c r="D2923">
        <v>14</v>
      </c>
      <c r="E2923" t="s">
        <v>251</v>
      </c>
    </row>
    <row r="2924" spans="1:6" x14ac:dyDescent="0.25">
      <c r="A2924">
        <v>113</v>
      </c>
      <c r="B2924">
        <v>217</v>
      </c>
      <c r="C2924">
        <v>5</v>
      </c>
      <c r="D2924">
        <v>5</v>
      </c>
      <c r="E2924" t="s">
        <v>251</v>
      </c>
    </row>
    <row r="2925" spans="1:6" x14ac:dyDescent="0.25">
      <c r="A2925">
        <v>113</v>
      </c>
      <c r="B2925">
        <v>218</v>
      </c>
      <c r="C2925">
        <v>4</v>
      </c>
      <c r="D2925">
        <v>4</v>
      </c>
      <c r="E2925" t="s">
        <v>251</v>
      </c>
    </row>
    <row r="2926" spans="1:6" x14ac:dyDescent="0.25">
      <c r="A2926">
        <v>113</v>
      </c>
      <c r="B2926">
        <v>219</v>
      </c>
      <c r="C2926">
        <v>7</v>
      </c>
      <c r="D2926">
        <v>7</v>
      </c>
      <c r="E2926" t="s">
        <v>251</v>
      </c>
    </row>
    <row r="2927" spans="1:6" x14ac:dyDescent="0.25">
      <c r="A2927">
        <v>113</v>
      </c>
      <c r="B2927">
        <v>220</v>
      </c>
      <c r="C2927">
        <v>4</v>
      </c>
      <c r="D2927">
        <v>4</v>
      </c>
      <c r="E2927" t="s">
        <v>251</v>
      </c>
    </row>
    <row r="2928" spans="1:6" x14ac:dyDescent="0.25">
      <c r="A2928">
        <v>113</v>
      </c>
      <c r="B2928">
        <v>221</v>
      </c>
      <c r="C2928">
        <v>4</v>
      </c>
      <c r="D2928">
        <v>4</v>
      </c>
      <c r="E2928" t="s">
        <v>251</v>
      </c>
    </row>
    <row r="2929" spans="1:5" x14ac:dyDescent="0.25">
      <c r="A2929">
        <v>113</v>
      </c>
      <c r="B2929">
        <v>222</v>
      </c>
      <c r="C2929">
        <v>3</v>
      </c>
      <c r="D2929">
        <v>3</v>
      </c>
      <c r="E2929" t="s">
        <v>251</v>
      </c>
    </row>
    <row r="2930" spans="1:5" x14ac:dyDescent="0.25">
      <c r="A2930">
        <v>113</v>
      </c>
      <c r="B2930">
        <v>223</v>
      </c>
      <c r="C2930">
        <v>6</v>
      </c>
      <c r="D2930">
        <v>6</v>
      </c>
      <c r="E2930" t="s">
        <v>251</v>
      </c>
    </row>
    <row r="2931" spans="1:5" x14ac:dyDescent="0.25">
      <c r="A2931">
        <v>113</v>
      </c>
      <c r="B2931">
        <v>224</v>
      </c>
      <c r="C2931">
        <v>1</v>
      </c>
      <c r="D2931">
        <v>1</v>
      </c>
      <c r="E2931" t="s">
        <v>251</v>
      </c>
    </row>
    <row r="2932" spans="1:5" x14ac:dyDescent="0.25">
      <c r="A2932">
        <v>113</v>
      </c>
      <c r="B2932">
        <v>225</v>
      </c>
      <c r="C2932">
        <v>5</v>
      </c>
      <c r="D2932">
        <v>5</v>
      </c>
      <c r="E2932" t="s">
        <v>251</v>
      </c>
    </row>
    <row r="2933" spans="1:5" x14ac:dyDescent="0.25">
      <c r="A2933">
        <v>113</v>
      </c>
      <c r="B2933">
        <v>226</v>
      </c>
      <c r="C2933">
        <v>10</v>
      </c>
      <c r="D2933">
        <v>10</v>
      </c>
      <c r="E2933" t="s">
        <v>251</v>
      </c>
    </row>
    <row r="2934" spans="1:5" x14ac:dyDescent="0.25">
      <c r="A2934">
        <v>113</v>
      </c>
      <c r="B2934">
        <v>227</v>
      </c>
      <c r="C2934">
        <v>5</v>
      </c>
      <c r="D2934">
        <v>5</v>
      </c>
      <c r="E2934" t="s">
        <v>251</v>
      </c>
    </row>
    <row r="2935" spans="1:5" x14ac:dyDescent="0.25">
      <c r="A2935">
        <v>113</v>
      </c>
      <c r="B2935">
        <v>228</v>
      </c>
      <c r="C2935">
        <v>3</v>
      </c>
      <c r="D2935">
        <v>3</v>
      </c>
      <c r="E2935" t="s">
        <v>251</v>
      </c>
    </row>
    <row r="2936" spans="1:5" x14ac:dyDescent="0.25">
      <c r="A2936">
        <v>113</v>
      </c>
      <c r="B2936">
        <v>229</v>
      </c>
      <c r="C2936">
        <v>1</v>
      </c>
      <c r="D2936">
        <v>1</v>
      </c>
      <c r="E2936" t="s">
        <v>251</v>
      </c>
    </row>
    <row r="2937" spans="1:5" x14ac:dyDescent="0.25">
      <c r="A2937">
        <v>113</v>
      </c>
      <c r="B2937">
        <v>230</v>
      </c>
      <c r="C2937">
        <v>3</v>
      </c>
      <c r="D2937">
        <v>3</v>
      </c>
      <c r="E2937" t="s">
        <v>251</v>
      </c>
    </row>
    <row r="2938" spans="1:5" x14ac:dyDescent="0.25">
      <c r="A2938">
        <v>113</v>
      </c>
      <c r="B2938">
        <v>231</v>
      </c>
      <c r="C2938">
        <v>2</v>
      </c>
      <c r="D2938">
        <v>2</v>
      </c>
      <c r="E2938" t="s">
        <v>251</v>
      </c>
    </row>
    <row r="2939" spans="1:5" x14ac:dyDescent="0.25">
      <c r="A2939">
        <v>113</v>
      </c>
      <c r="B2939">
        <v>242</v>
      </c>
      <c r="C2939">
        <v>1</v>
      </c>
      <c r="D2939">
        <v>1</v>
      </c>
      <c r="E2939" t="s">
        <v>251</v>
      </c>
    </row>
    <row r="2940" spans="1:5" x14ac:dyDescent="0.25">
      <c r="A2940">
        <v>113</v>
      </c>
      <c r="B2940">
        <v>243</v>
      </c>
      <c r="C2940">
        <v>1</v>
      </c>
      <c r="D2940">
        <v>1</v>
      </c>
      <c r="E2940" t="s">
        <v>251</v>
      </c>
    </row>
    <row r="2941" spans="1:5" x14ac:dyDescent="0.25">
      <c r="A2941">
        <v>113</v>
      </c>
      <c r="B2941">
        <v>245</v>
      </c>
      <c r="C2941">
        <v>1</v>
      </c>
      <c r="D2941">
        <v>1</v>
      </c>
      <c r="E2941" t="s">
        <v>251</v>
      </c>
    </row>
    <row r="2942" spans="1:5" x14ac:dyDescent="0.25">
      <c r="A2942">
        <v>113</v>
      </c>
      <c r="B2942">
        <v>246</v>
      </c>
      <c r="C2942">
        <v>1</v>
      </c>
      <c r="D2942">
        <v>1</v>
      </c>
      <c r="E2942" t="s">
        <v>251</v>
      </c>
    </row>
    <row r="2943" spans="1:5" x14ac:dyDescent="0.25">
      <c r="A2943">
        <v>113</v>
      </c>
      <c r="B2943">
        <v>264</v>
      </c>
      <c r="C2943">
        <v>1</v>
      </c>
      <c r="D2943">
        <v>1</v>
      </c>
      <c r="E2943" t="s">
        <v>251</v>
      </c>
    </row>
    <row r="2944" spans="1:5" x14ac:dyDescent="0.25">
      <c r="A2944">
        <v>113</v>
      </c>
      <c r="B2944">
        <v>265</v>
      </c>
      <c r="C2944">
        <v>1</v>
      </c>
      <c r="D2944">
        <v>1</v>
      </c>
      <c r="E2944" t="s">
        <v>251</v>
      </c>
    </row>
    <row r="2945" spans="1:6" x14ac:dyDescent="0.25">
      <c r="A2945">
        <v>113</v>
      </c>
      <c r="B2945">
        <v>266</v>
      </c>
      <c r="C2945">
        <v>2</v>
      </c>
      <c r="D2945">
        <v>2</v>
      </c>
      <c r="E2945" t="s">
        <v>251</v>
      </c>
    </row>
    <row r="2946" spans="1:6" x14ac:dyDescent="0.25">
      <c r="A2946">
        <v>113</v>
      </c>
      <c r="B2946">
        <v>267</v>
      </c>
      <c r="C2946">
        <v>1</v>
      </c>
      <c r="D2946">
        <v>1</v>
      </c>
      <c r="E2946" t="s">
        <v>251</v>
      </c>
    </row>
    <row r="2947" spans="1:6" x14ac:dyDescent="0.25">
      <c r="A2947">
        <v>113</v>
      </c>
      <c r="B2947">
        <v>268</v>
      </c>
      <c r="C2947">
        <v>2</v>
      </c>
      <c r="D2947">
        <v>2</v>
      </c>
      <c r="E2947" t="s">
        <v>251</v>
      </c>
    </row>
    <row r="2948" spans="1:6" x14ac:dyDescent="0.25">
      <c r="A2948">
        <v>113</v>
      </c>
      <c r="B2948">
        <v>269</v>
      </c>
      <c r="C2948">
        <v>3</v>
      </c>
      <c r="D2948">
        <v>3</v>
      </c>
      <c r="E2948" t="s">
        <v>251</v>
      </c>
    </row>
    <row r="2949" spans="1:6" x14ac:dyDescent="0.25">
      <c r="A2949">
        <v>113</v>
      </c>
      <c r="B2949">
        <v>270</v>
      </c>
      <c r="C2949">
        <v>1</v>
      </c>
      <c r="D2949">
        <v>1</v>
      </c>
      <c r="E2949" t="s">
        <v>251</v>
      </c>
    </row>
    <row r="2950" spans="1:6" x14ac:dyDescent="0.25">
      <c r="A2950">
        <v>113</v>
      </c>
      <c r="B2950">
        <v>271</v>
      </c>
      <c r="C2950">
        <v>1</v>
      </c>
      <c r="D2950">
        <v>1</v>
      </c>
      <c r="E2950" t="s">
        <v>251</v>
      </c>
    </row>
    <row r="2951" spans="1:6" x14ac:dyDescent="0.25">
      <c r="A2951">
        <v>113</v>
      </c>
      <c r="B2951">
        <v>275</v>
      </c>
      <c r="C2951">
        <v>2</v>
      </c>
      <c r="D2951">
        <v>2</v>
      </c>
      <c r="E2951" t="s">
        <v>251</v>
      </c>
    </row>
    <row r="2952" spans="1:6" x14ac:dyDescent="0.25">
      <c r="A2952">
        <v>113</v>
      </c>
      <c r="B2952">
        <v>276</v>
      </c>
      <c r="C2952">
        <v>13</v>
      </c>
      <c r="D2952">
        <v>13</v>
      </c>
      <c r="E2952" t="s">
        <v>251</v>
      </c>
    </row>
    <row r="2953" spans="1:6" x14ac:dyDescent="0.25">
      <c r="A2953">
        <v>113</v>
      </c>
      <c r="B2953">
        <v>286</v>
      </c>
      <c r="C2953">
        <v>1</v>
      </c>
      <c r="D2953">
        <v>1</v>
      </c>
      <c r="E2953" t="s">
        <v>251</v>
      </c>
    </row>
    <row r="2954" spans="1:6" x14ac:dyDescent="0.25">
      <c r="A2954">
        <v>113</v>
      </c>
      <c r="B2954">
        <v>293</v>
      </c>
      <c r="C2954">
        <v>10</v>
      </c>
      <c r="D2954">
        <v>10</v>
      </c>
      <c r="E2954" t="s">
        <v>251</v>
      </c>
    </row>
    <row r="2955" spans="1:6" x14ac:dyDescent="0.25">
      <c r="A2955">
        <v>113</v>
      </c>
      <c r="B2955">
        <v>302</v>
      </c>
      <c r="C2955">
        <v>2</v>
      </c>
      <c r="D2955">
        <v>2</v>
      </c>
      <c r="E2955" t="s">
        <v>251</v>
      </c>
    </row>
    <row r="2956" spans="1:6" x14ac:dyDescent="0.25">
      <c r="A2956">
        <v>113</v>
      </c>
      <c r="B2956">
        <v>311</v>
      </c>
      <c r="C2956">
        <v>1</v>
      </c>
      <c r="D2956">
        <v>1</v>
      </c>
      <c r="E2956" t="s">
        <v>251</v>
      </c>
    </row>
    <row r="2957" spans="1:6" x14ac:dyDescent="0.25">
      <c r="A2957">
        <v>113</v>
      </c>
      <c r="B2957">
        <v>319</v>
      </c>
      <c r="C2957">
        <v>5</v>
      </c>
      <c r="D2957">
        <v>5</v>
      </c>
      <c r="E2957" t="s">
        <v>251</v>
      </c>
    </row>
    <row r="2958" spans="1:6" x14ac:dyDescent="0.25">
      <c r="A2958">
        <v>113</v>
      </c>
      <c r="B2958">
        <v>321</v>
      </c>
      <c r="C2958">
        <v>2</v>
      </c>
      <c r="D2958">
        <v>2</v>
      </c>
      <c r="E2958" t="s">
        <v>251</v>
      </c>
    </row>
    <row r="2959" spans="1:6" x14ac:dyDescent="0.25">
      <c r="A2959">
        <v>113</v>
      </c>
      <c r="B2959">
        <v>322</v>
      </c>
      <c r="C2959">
        <v>3</v>
      </c>
      <c r="D2959">
        <v>3</v>
      </c>
      <c r="E2959" t="s">
        <v>251</v>
      </c>
      <c r="F2959">
        <f>SUM(C2916:C2959)</f>
        <v>213</v>
      </c>
    </row>
    <row r="2960" spans="1:6" x14ac:dyDescent="0.25">
      <c r="A2960">
        <v>112</v>
      </c>
      <c r="B2960">
        <v>529</v>
      </c>
      <c r="C2960">
        <v>1</v>
      </c>
      <c r="D2960">
        <v>1</v>
      </c>
      <c r="E2960" t="s">
        <v>199</v>
      </c>
    </row>
    <row r="2961" spans="1:6" x14ac:dyDescent="0.25">
      <c r="A2961">
        <v>112</v>
      </c>
      <c r="B2961">
        <v>531</v>
      </c>
      <c r="C2961">
        <v>4</v>
      </c>
      <c r="D2961">
        <v>4</v>
      </c>
      <c r="E2961" t="s">
        <v>199</v>
      </c>
    </row>
    <row r="2962" spans="1:6" x14ac:dyDescent="0.25">
      <c r="A2962">
        <v>112</v>
      </c>
      <c r="B2962">
        <v>557</v>
      </c>
      <c r="C2962">
        <v>3</v>
      </c>
      <c r="D2962">
        <v>3</v>
      </c>
      <c r="E2962" t="s">
        <v>199</v>
      </c>
    </row>
    <row r="2963" spans="1:6" x14ac:dyDescent="0.25">
      <c r="A2963">
        <v>112</v>
      </c>
      <c r="B2963">
        <v>572</v>
      </c>
      <c r="C2963">
        <v>5</v>
      </c>
      <c r="D2963">
        <v>5</v>
      </c>
      <c r="E2963" t="s">
        <v>199</v>
      </c>
      <c r="F2963">
        <f>SUM(C2960:C2963)</f>
        <v>13</v>
      </c>
    </row>
    <row r="2964" spans="1:6" x14ac:dyDescent="0.25">
      <c r="A2964">
        <v>82</v>
      </c>
      <c r="B2964">
        <v>29</v>
      </c>
      <c r="C2964">
        <v>1</v>
      </c>
      <c r="D2964">
        <v>1</v>
      </c>
      <c r="E2964" t="s">
        <v>252</v>
      </c>
    </row>
    <row r="2965" spans="1:6" x14ac:dyDescent="0.25">
      <c r="A2965">
        <v>82</v>
      </c>
      <c r="B2965">
        <v>31</v>
      </c>
      <c r="C2965">
        <v>1</v>
      </c>
      <c r="D2965">
        <v>1</v>
      </c>
      <c r="E2965" t="s">
        <v>252</v>
      </c>
    </row>
    <row r="2966" spans="1:6" x14ac:dyDescent="0.25">
      <c r="A2966">
        <v>82</v>
      </c>
      <c r="B2966">
        <v>32</v>
      </c>
      <c r="C2966">
        <v>1</v>
      </c>
      <c r="D2966">
        <v>1</v>
      </c>
      <c r="E2966" t="s">
        <v>252</v>
      </c>
    </row>
    <row r="2967" spans="1:6" x14ac:dyDescent="0.25">
      <c r="A2967">
        <v>82</v>
      </c>
      <c r="B2967">
        <v>33</v>
      </c>
      <c r="C2967">
        <v>1</v>
      </c>
      <c r="D2967">
        <v>1</v>
      </c>
      <c r="E2967" t="s">
        <v>252</v>
      </c>
    </row>
    <row r="2968" spans="1:6" x14ac:dyDescent="0.25">
      <c r="A2968">
        <v>82</v>
      </c>
      <c r="B2968">
        <v>182</v>
      </c>
      <c r="C2968">
        <v>2</v>
      </c>
      <c r="D2968">
        <v>2</v>
      </c>
      <c r="E2968" t="s">
        <v>252</v>
      </c>
    </row>
    <row r="2969" spans="1:6" x14ac:dyDescent="0.25">
      <c r="A2969">
        <v>82</v>
      </c>
      <c r="B2969">
        <v>183</v>
      </c>
      <c r="C2969">
        <v>5</v>
      </c>
      <c r="D2969">
        <v>5</v>
      </c>
      <c r="E2969" t="s">
        <v>252</v>
      </c>
    </row>
    <row r="2970" spans="1:6" x14ac:dyDescent="0.25">
      <c r="A2970">
        <v>82</v>
      </c>
      <c r="B2970">
        <v>184</v>
      </c>
      <c r="C2970">
        <v>1</v>
      </c>
      <c r="D2970">
        <v>1</v>
      </c>
      <c r="E2970" t="s">
        <v>252</v>
      </c>
    </row>
    <row r="2971" spans="1:6" x14ac:dyDescent="0.25">
      <c r="A2971">
        <v>82</v>
      </c>
      <c r="B2971">
        <v>255</v>
      </c>
      <c r="C2971">
        <v>2</v>
      </c>
      <c r="D2971">
        <v>2</v>
      </c>
      <c r="E2971" t="s">
        <v>252</v>
      </c>
    </row>
    <row r="2972" spans="1:6" x14ac:dyDescent="0.25">
      <c r="A2972">
        <v>82</v>
      </c>
      <c r="B2972">
        <v>256</v>
      </c>
      <c r="C2972">
        <v>2</v>
      </c>
      <c r="D2972">
        <v>2</v>
      </c>
      <c r="E2972" t="s">
        <v>252</v>
      </c>
    </row>
    <row r="2973" spans="1:6" x14ac:dyDescent="0.25">
      <c r="A2973">
        <v>82</v>
      </c>
      <c r="B2973">
        <v>257</v>
      </c>
      <c r="C2973">
        <v>1</v>
      </c>
      <c r="D2973">
        <v>1</v>
      </c>
      <c r="E2973" t="s">
        <v>252</v>
      </c>
    </row>
    <row r="2974" spans="1:6" x14ac:dyDescent="0.25">
      <c r="A2974">
        <v>82</v>
      </c>
      <c r="B2974">
        <v>259</v>
      </c>
      <c r="C2974">
        <v>1</v>
      </c>
      <c r="D2974">
        <v>1</v>
      </c>
      <c r="E2974" t="s">
        <v>252</v>
      </c>
    </row>
    <row r="2975" spans="1:6" x14ac:dyDescent="0.25">
      <c r="A2975">
        <v>82</v>
      </c>
      <c r="B2975">
        <v>348</v>
      </c>
      <c r="C2975">
        <v>5</v>
      </c>
      <c r="D2975">
        <v>5</v>
      </c>
      <c r="E2975" t="s">
        <v>252</v>
      </c>
    </row>
    <row r="2976" spans="1:6" x14ac:dyDescent="0.25">
      <c r="A2976">
        <v>82</v>
      </c>
      <c r="B2976">
        <v>349</v>
      </c>
      <c r="C2976">
        <v>2</v>
      </c>
      <c r="D2976">
        <v>2</v>
      </c>
      <c r="E2976" t="s">
        <v>252</v>
      </c>
    </row>
    <row r="2977" spans="1:5" x14ac:dyDescent="0.25">
      <c r="A2977">
        <v>82</v>
      </c>
      <c r="B2977">
        <v>350</v>
      </c>
      <c r="C2977">
        <v>1</v>
      </c>
      <c r="D2977">
        <v>1</v>
      </c>
      <c r="E2977" t="s">
        <v>252</v>
      </c>
    </row>
    <row r="2978" spans="1:5" x14ac:dyDescent="0.25">
      <c r="A2978">
        <v>82</v>
      </c>
      <c r="B2978">
        <v>351</v>
      </c>
      <c r="C2978">
        <v>3</v>
      </c>
      <c r="D2978">
        <v>3</v>
      </c>
      <c r="E2978" t="s">
        <v>252</v>
      </c>
    </row>
    <row r="2979" spans="1:5" x14ac:dyDescent="0.25">
      <c r="A2979">
        <v>82</v>
      </c>
      <c r="B2979">
        <v>360</v>
      </c>
      <c r="C2979">
        <v>1</v>
      </c>
      <c r="D2979">
        <v>1</v>
      </c>
      <c r="E2979" t="s">
        <v>252</v>
      </c>
    </row>
    <row r="2980" spans="1:5" x14ac:dyDescent="0.25">
      <c r="A2980">
        <v>82</v>
      </c>
      <c r="B2980">
        <v>362</v>
      </c>
      <c r="C2980">
        <v>1</v>
      </c>
      <c r="D2980">
        <v>1</v>
      </c>
      <c r="E2980" t="s">
        <v>252</v>
      </c>
    </row>
    <row r="2981" spans="1:5" x14ac:dyDescent="0.25">
      <c r="A2981">
        <v>82</v>
      </c>
      <c r="B2981">
        <v>363</v>
      </c>
      <c r="C2981">
        <v>1</v>
      </c>
      <c r="D2981">
        <v>1</v>
      </c>
      <c r="E2981" t="s">
        <v>252</v>
      </c>
    </row>
    <row r="2982" spans="1:5" x14ac:dyDescent="0.25">
      <c r="A2982">
        <v>82</v>
      </c>
      <c r="B2982">
        <v>368</v>
      </c>
      <c r="C2982">
        <v>3</v>
      </c>
      <c r="D2982">
        <v>3</v>
      </c>
      <c r="E2982" t="s">
        <v>252</v>
      </c>
    </row>
    <row r="2983" spans="1:5" x14ac:dyDescent="0.25">
      <c r="A2983">
        <v>82</v>
      </c>
      <c r="B2983">
        <v>369</v>
      </c>
      <c r="C2983">
        <v>3</v>
      </c>
      <c r="D2983">
        <v>3</v>
      </c>
      <c r="E2983" t="s">
        <v>252</v>
      </c>
    </row>
    <row r="2984" spans="1:5" x14ac:dyDescent="0.25">
      <c r="A2984">
        <v>82</v>
      </c>
      <c r="B2984">
        <v>370</v>
      </c>
      <c r="C2984">
        <v>1</v>
      </c>
      <c r="D2984">
        <v>1</v>
      </c>
      <c r="E2984" t="s">
        <v>252</v>
      </c>
    </row>
    <row r="2985" spans="1:5" x14ac:dyDescent="0.25">
      <c r="A2985">
        <v>82</v>
      </c>
      <c r="B2985">
        <v>431</v>
      </c>
      <c r="C2985">
        <v>2</v>
      </c>
      <c r="D2985">
        <v>2</v>
      </c>
      <c r="E2985" t="s">
        <v>252</v>
      </c>
    </row>
    <row r="2986" spans="1:5" x14ac:dyDescent="0.25">
      <c r="A2986">
        <v>82</v>
      </c>
      <c r="B2986">
        <v>461</v>
      </c>
      <c r="C2986">
        <v>4</v>
      </c>
      <c r="D2986">
        <v>4</v>
      </c>
      <c r="E2986" t="s">
        <v>252</v>
      </c>
    </row>
    <row r="2987" spans="1:5" x14ac:dyDescent="0.25">
      <c r="A2987">
        <v>82</v>
      </c>
      <c r="B2987">
        <v>465</v>
      </c>
      <c r="C2987">
        <v>2</v>
      </c>
      <c r="D2987">
        <v>2</v>
      </c>
      <c r="E2987" t="s">
        <v>252</v>
      </c>
    </row>
    <row r="2988" spans="1:5" x14ac:dyDescent="0.25">
      <c r="A2988">
        <v>82</v>
      </c>
      <c r="B2988">
        <v>469</v>
      </c>
      <c r="C2988">
        <v>1</v>
      </c>
      <c r="D2988">
        <v>1</v>
      </c>
      <c r="E2988" t="s">
        <v>252</v>
      </c>
    </row>
    <row r="2989" spans="1:5" x14ac:dyDescent="0.25">
      <c r="A2989">
        <v>82</v>
      </c>
      <c r="B2989">
        <v>471</v>
      </c>
      <c r="C2989">
        <v>2</v>
      </c>
      <c r="D2989">
        <v>2</v>
      </c>
      <c r="E2989" t="s">
        <v>252</v>
      </c>
    </row>
    <row r="2990" spans="1:5" x14ac:dyDescent="0.25">
      <c r="A2990">
        <v>82</v>
      </c>
      <c r="B2990">
        <v>490</v>
      </c>
      <c r="C2990">
        <v>3</v>
      </c>
      <c r="D2990">
        <v>3</v>
      </c>
      <c r="E2990" t="s">
        <v>252</v>
      </c>
    </row>
    <row r="2991" spans="1:5" x14ac:dyDescent="0.25">
      <c r="A2991">
        <v>82</v>
      </c>
      <c r="B2991">
        <v>540</v>
      </c>
      <c r="C2991">
        <v>3</v>
      </c>
      <c r="D2991">
        <v>3</v>
      </c>
      <c r="E2991" t="s">
        <v>252</v>
      </c>
    </row>
    <row r="2992" spans="1:5" x14ac:dyDescent="0.25">
      <c r="A2992">
        <v>82</v>
      </c>
      <c r="B2992">
        <v>544</v>
      </c>
      <c r="C2992">
        <v>4</v>
      </c>
      <c r="D2992">
        <v>4</v>
      </c>
      <c r="E2992" t="s">
        <v>252</v>
      </c>
    </row>
    <row r="2993" spans="1:6" x14ac:dyDescent="0.25">
      <c r="A2993">
        <v>82</v>
      </c>
      <c r="B2993">
        <v>577</v>
      </c>
      <c r="C2993">
        <v>3</v>
      </c>
      <c r="D2993">
        <v>3</v>
      </c>
      <c r="E2993" t="s">
        <v>252</v>
      </c>
    </row>
    <row r="2994" spans="1:6" x14ac:dyDescent="0.25">
      <c r="A2994">
        <v>82</v>
      </c>
      <c r="B2994">
        <v>619</v>
      </c>
      <c r="C2994">
        <v>2</v>
      </c>
      <c r="D2994">
        <v>2</v>
      </c>
      <c r="E2994" t="s">
        <v>252</v>
      </c>
    </row>
    <row r="2995" spans="1:6" x14ac:dyDescent="0.25">
      <c r="A2995">
        <v>82</v>
      </c>
      <c r="B2995">
        <v>626</v>
      </c>
      <c r="C2995">
        <v>3</v>
      </c>
      <c r="D2995">
        <v>3</v>
      </c>
      <c r="E2995" t="s">
        <v>252</v>
      </c>
    </row>
    <row r="2996" spans="1:6" x14ac:dyDescent="0.25">
      <c r="A2996">
        <v>82</v>
      </c>
      <c r="B2996">
        <v>643</v>
      </c>
      <c r="C2996">
        <v>1</v>
      </c>
      <c r="D2996">
        <v>1</v>
      </c>
      <c r="E2996" t="s">
        <v>252</v>
      </c>
    </row>
    <row r="2997" spans="1:6" x14ac:dyDescent="0.25">
      <c r="A2997">
        <v>113</v>
      </c>
      <c r="B2997">
        <v>383</v>
      </c>
      <c r="C2997">
        <v>2</v>
      </c>
      <c r="D2997">
        <v>2</v>
      </c>
      <c r="E2997" t="s">
        <v>252</v>
      </c>
    </row>
    <row r="2998" spans="1:6" x14ac:dyDescent="0.25">
      <c r="A2998">
        <v>113</v>
      </c>
      <c r="B2998">
        <v>384</v>
      </c>
      <c r="C2998">
        <v>1</v>
      </c>
      <c r="D2998">
        <v>1</v>
      </c>
      <c r="E2998" t="s">
        <v>252</v>
      </c>
    </row>
    <row r="2999" spans="1:6" x14ac:dyDescent="0.25">
      <c r="A2999">
        <v>113</v>
      </c>
      <c r="B2999">
        <v>385</v>
      </c>
      <c r="C2999">
        <v>1</v>
      </c>
      <c r="D2999">
        <v>1</v>
      </c>
      <c r="E2999" t="s">
        <v>252</v>
      </c>
    </row>
    <row r="3000" spans="1:6" x14ac:dyDescent="0.25">
      <c r="A3000">
        <v>113</v>
      </c>
      <c r="B3000">
        <v>386</v>
      </c>
      <c r="C3000">
        <v>1</v>
      </c>
      <c r="D3000">
        <v>1</v>
      </c>
      <c r="E3000" t="s">
        <v>252</v>
      </c>
      <c r="F3000">
        <f>SUM(C2964:C3000)</f>
        <v>74</v>
      </c>
    </row>
    <row r="3001" spans="1:6" x14ac:dyDescent="0.25">
      <c r="A3001">
        <v>112</v>
      </c>
      <c r="B3001">
        <v>395</v>
      </c>
      <c r="C3001">
        <v>1</v>
      </c>
      <c r="D3001">
        <v>1</v>
      </c>
      <c r="E3001" t="s">
        <v>253</v>
      </c>
    </row>
    <row r="3002" spans="1:6" x14ac:dyDescent="0.25">
      <c r="A3002">
        <v>112</v>
      </c>
      <c r="B3002">
        <v>398</v>
      </c>
      <c r="C3002">
        <v>1</v>
      </c>
      <c r="D3002">
        <v>1</v>
      </c>
      <c r="E3002" t="s">
        <v>253</v>
      </c>
    </row>
    <row r="3003" spans="1:6" x14ac:dyDescent="0.25">
      <c r="A3003">
        <v>112</v>
      </c>
      <c r="B3003">
        <v>400</v>
      </c>
      <c r="C3003">
        <v>1</v>
      </c>
      <c r="D3003">
        <v>1</v>
      </c>
      <c r="E3003" t="s">
        <v>253</v>
      </c>
    </row>
    <row r="3004" spans="1:6" x14ac:dyDescent="0.25">
      <c r="A3004">
        <v>112</v>
      </c>
      <c r="B3004">
        <v>401</v>
      </c>
      <c r="C3004">
        <v>1</v>
      </c>
      <c r="D3004">
        <v>1</v>
      </c>
      <c r="E3004" t="s">
        <v>253</v>
      </c>
    </row>
    <row r="3005" spans="1:6" x14ac:dyDescent="0.25">
      <c r="A3005">
        <v>112</v>
      </c>
      <c r="B3005">
        <v>403</v>
      </c>
      <c r="C3005">
        <v>1</v>
      </c>
      <c r="D3005">
        <v>1</v>
      </c>
      <c r="E3005" t="s">
        <v>253</v>
      </c>
    </row>
    <row r="3006" spans="1:6" x14ac:dyDescent="0.25">
      <c r="A3006">
        <v>112</v>
      </c>
      <c r="B3006">
        <v>477</v>
      </c>
      <c r="C3006">
        <v>1</v>
      </c>
      <c r="D3006">
        <v>1</v>
      </c>
      <c r="E3006" t="s">
        <v>253</v>
      </c>
    </row>
    <row r="3007" spans="1:6" x14ac:dyDescent="0.25">
      <c r="A3007">
        <v>112</v>
      </c>
      <c r="B3007">
        <v>484</v>
      </c>
      <c r="C3007">
        <v>1</v>
      </c>
      <c r="D3007">
        <v>1</v>
      </c>
      <c r="E3007" t="s">
        <v>253</v>
      </c>
    </row>
    <row r="3008" spans="1:6" x14ac:dyDescent="0.25">
      <c r="A3008">
        <v>112</v>
      </c>
      <c r="B3008">
        <v>488</v>
      </c>
      <c r="C3008">
        <v>1</v>
      </c>
      <c r="D3008">
        <v>1</v>
      </c>
      <c r="E3008" t="s">
        <v>253</v>
      </c>
    </row>
    <row r="3009" spans="1:6" x14ac:dyDescent="0.25">
      <c r="A3009">
        <v>112</v>
      </c>
      <c r="B3009">
        <v>491</v>
      </c>
      <c r="C3009">
        <v>1</v>
      </c>
      <c r="D3009">
        <v>1</v>
      </c>
      <c r="E3009" t="s">
        <v>253</v>
      </c>
    </row>
    <row r="3010" spans="1:6" x14ac:dyDescent="0.25">
      <c r="A3010">
        <v>112</v>
      </c>
      <c r="B3010">
        <v>500</v>
      </c>
      <c r="C3010">
        <v>1</v>
      </c>
      <c r="D3010">
        <v>1</v>
      </c>
      <c r="E3010" t="s">
        <v>253</v>
      </c>
      <c r="F3010">
        <f>SUM(C3001:C3010)</f>
        <v>10</v>
      </c>
    </row>
    <row r="3011" spans="1:6" x14ac:dyDescent="0.25">
      <c r="A3011">
        <v>115</v>
      </c>
      <c r="B3011">
        <v>89</v>
      </c>
      <c r="C3011">
        <v>1</v>
      </c>
      <c r="D3011">
        <v>1</v>
      </c>
      <c r="E3011" t="s">
        <v>212</v>
      </c>
    </row>
    <row r="3012" spans="1:6" x14ac:dyDescent="0.25">
      <c r="A3012">
        <v>115</v>
      </c>
      <c r="B3012">
        <v>91</v>
      </c>
      <c r="C3012">
        <v>1</v>
      </c>
      <c r="D3012">
        <v>1</v>
      </c>
      <c r="E3012" t="s">
        <v>212</v>
      </c>
    </row>
    <row r="3013" spans="1:6" x14ac:dyDescent="0.25">
      <c r="A3013">
        <v>115</v>
      </c>
      <c r="B3013">
        <v>93</v>
      </c>
      <c r="C3013">
        <v>1</v>
      </c>
      <c r="D3013">
        <v>1</v>
      </c>
      <c r="E3013" t="s">
        <v>212</v>
      </c>
    </row>
    <row r="3014" spans="1:6" x14ac:dyDescent="0.25">
      <c r="A3014">
        <v>115</v>
      </c>
      <c r="B3014">
        <v>96</v>
      </c>
      <c r="C3014">
        <v>2</v>
      </c>
      <c r="D3014">
        <v>2</v>
      </c>
      <c r="E3014" t="s">
        <v>212</v>
      </c>
    </row>
    <row r="3015" spans="1:6" x14ac:dyDescent="0.25">
      <c r="A3015">
        <v>115</v>
      </c>
      <c r="B3015">
        <v>213</v>
      </c>
      <c r="C3015">
        <v>2</v>
      </c>
      <c r="D3015">
        <v>2</v>
      </c>
      <c r="E3015" t="s">
        <v>212</v>
      </c>
    </row>
    <row r="3016" spans="1:6" x14ac:dyDescent="0.25">
      <c r="A3016">
        <v>115</v>
      </c>
      <c r="B3016">
        <v>215</v>
      </c>
      <c r="C3016">
        <v>1</v>
      </c>
      <c r="D3016">
        <v>1</v>
      </c>
      <c r="E3016" t="s">
        <v>212</v>
      </c>
    </row>
    <row r="3017" spans="1:6" x14ac:dyDescent="0.25">
      <c r="A3017">
        <v>115</v>
      </c>
      <c r="B3017">
        <v>225</v>
      </c>
      <c r="C3017">
        <v>2</v>
      </c>
      <c r="D3017">
        <v>2</v>
      </c>
      <c r="E3017" t="s">
        <v>212</v>
      </c>
    </row>
    <row r="3018" spans="1:6" x14ac:dyDescent="0.25">
      <c r="A3018">
        <v>115</v>
      </c>
      <c r="B3018">
        <v>228</v>
      </c>
      <c r="C3018">
        <v>1</v>
      </c>
      <c r="D3018">
        <v>1</v>
      </c>
      <c r="E3018" t="s">
        <v>212</v>
      </c>
    </row>
    <row r="3019" spans="1:6" x14ac:dyDescent="0.25">
      <c r="A3019">
        <v>115</v>
      </c>
      <c r="B3019">
        <v>259</v>
      </c>
      <c r="C3019">
        <v>2</v>
      </c>
      <c r="D3019">
        <v>2</v>
      </c>
      <c r="E3019" t="s">
        <v>212</v>
      </c>
    </row>
    <row r="3020" spans="1:6" x14ac:dyDescent="0.25">
      <c r="A3020">
        <v>115</v>
      </c>
      <c r="B3020">
        <v>279</v>
      </c>
      <c r="C3020">
        <v>1</v>
      </c>
      <c r="D3020">
        <v>1</v>
      </c>
      <c r="E3020" t="s">
        <v>212</v>
      </c>
    </row>
    <row r="3021" spans="1:6" x14ac:dyDescent="0.25">
      <c r="A3021">
        <v>118</v>
      </c>
      <c r="B3021">
        <v>210</v>
      </c>
      <c r="C3021">
        <v>2</v>
      </c>
      <c r="D3021">
        <v>2</v>
      </c>
      <c r="E3021" t="s">
        <v>212</v>
      </c>
    </row>
    <row r="3022" spans="1:6" x14ac:dyDescent="0.25">
      <c r="A3022">
        <v>118</v>
      </c>
      <c r="B3022">
        <v>211</v>
      </c>
      <c r="C3022">
        <v>2</v>
      </c>
      <c r="D3022">
        <v>2</v>
      </c>
      <c r="E3022" t="s">
        <v>212</v>
      </c>
    </row>
    <row r="3023" spans="1:6" x14ac:dyDescent="0.25">
      <c r="A3023">
        <v>118</v>
      </c>
      <c r="B3023">
        <v>262</v>
      </c>
      <c r="C3023">
        <v>1</v>
      </c>
      <c r="D3023">
        <v>1</v>
      </c>
      <c r="E3023" t="s">
        <v>212</v>
      </c>
    </row>
    <row r="3024" spans="1:6" x14ac:dyDescent="0.25">
      <c r="A3024">
        <v>118</v>
      </c>
      <c r="B3024">
        <v>263</v>
      </c>
      <c r="C3024">
        <v>3</v>
      </c>
      <c r="D3024">
        <v>3</v>
      </c>
      <c r="E3024" t="s">
        <v>212</v>
      </c>
    </row>
    <row r="3025" spans="1:5" x14ac:dyDescent="0.25">
      <c r="A3025">
        <v>118</v>
      </c>
      <c r="B3025">
        <v>266</v>
      </c>
      <c r="C3025">
        <v>3</v>
      </c>
      <c r="D3025">
        <v>3</v>
      </c>
      <c r="E3025" t="s">
        <v>212</v>
      </c>
    </row>
    <row r="3026" spans="1:5" x14ac:dyDescent="0.25">
      <c r="A3026">
        <v>118</v>
      </c>
      <c r="B3026">
        <v>268</v>
      </c>
      <c r="C3026">
        <v>2</v>
      </c>
      <c r="D3026">
        <v>2</v>
      </c>
      <c r="E3026" t="s">
        <v>212</v>
      </c>
    </row>
    <row r="3027" spans="1:5" x14ac:dyDescent="0.25">
      <c r="A3027">
        <v>118</v>
      </c>
      <c r="B3027">
        <v>269</v>
      </c>
      <c r="C3027">
        <v>3</v>
      </c>
      <c r="D3027">
        <v>3</v>
      </c>
      <c r="E3027" t="s">
        <v>212</v>
      </c>
    </row>
    <row r="3028" spans="1:5" x14ac:dyDescent="0.25">
      <c r="A3028">
        <v>118</v>
      </c>
      <c r="B3028">
        <v>270</v>
      </c>
      <c r="C3028">
        <v>2</v>
      </c>
      <c r="D3028">
        <v>2</v>
      </c>
      <c r="E3028" t="s">
        <v>212</v>
      </c>
    </row>
    <row r="3029" spans="1:5" x14ac:dyDescent="0.25">
      <c r="A3029">
        <v>118</v>
      </c>
      <c r="B3029">
        <v>271</v>
      </c>
      <c r="C3029">
        <v>2</v>
      </c>
      <c r="D3029">
        <v>2</v>
      </c>
      <c r="E3029" t="s">
        <v>212</v>
      </c>
    </row>
    <row r="3030" spans="1:5" x14ac:dyDescent="0.25">
      <c r="A3030">
        <v>118</v>
      </c>
      <c r="B3030">
        <v>277</v>
      </c>
      <c r="C3030">
        <v>1</v>
      </c>
      <c r="D3030">
        <v>1</v>
      </c>
      <c r="E3030" t="s">
        <v>212</v>
      </c>
    </row>
    <row r="3031" spans="1:5" x14ac:dyDescent="0.25">
      <c r="A3031">
        <v>118</v>
      </c>
      <c r="B3031">
        <v>298</v>
      </c>
      <c r="C3031">
        <v>1</v>
      </c>
      <c r="D3031">
        <v>1</v>
      </c>
      <c r="E3031" t="s">
        <v>212</v>
      </c>
    </row>
    <row r="3032" spans="1:5" x14ac:dyDescent="0.25">
      <c r="A3032">
        <v>118</v>
      </c>
      <c r="B3032">
        <v>325</v>
      </c>
      <c r="C3032">
        <v>2</v>
      </c>
      <c r="D3032">
        <v>2</v>
      </c>
      <c r="E3032" t="s">
        <v>212</v>
      </c>
    </row>
    <row r="3033" spans="1:5" x14ac:dyDescent="0.25">
      <c r="A3033">
        <v>118</v>
      </c>
      <c r="B3033">
        <v>330</v>
      </c>
      <c r="C3033">
        <v>1</v>
      </c>
      <c r="D3033">
        <v>1</v>
      </c>
      <c r="E3033" t="s">
        <v>212</v>
      </c>
    </row>
    <row r="3034" spans="1:5" x14ac:dyDescent="0.25">
      <c r="A3034">
        <v>118</v>
      </c>
      <c r="B3034">
        <v>359</v>
      </c>
      <c r="C3034">
        <v>1</v>
      </c>
      <c r="D3034">
        <v>1</v>
      </c>
      <c r="E3034" t="s">
        <v>212</v>
      </c>
    </row>
    <row r="3035" spans="1:5" x14ac:dyDescent="0.25">
      <c r="A3035">
        <v>118</v>
      </c>
      <c r="B3035">
        <v>378</v>
      </c>
      <c r="C3035">
        <v>2</v>
      </c>
      <c r="D3035">
        <v>2</v>
      </c>
      <c r="E3035" t="s">
        <v>212</v>
      </c>
    </row>
    <row r="3036" spans="1:5" x14ac:dyDescent="0.25">
      <c r="A3036">
        <v>118</v>
      </c>
      <c r="B3036">
        <v>405</v>
      </c>
      <c r="C3036">
        <v>4</v>
      </c>
      <c r="D3036">
        <v>4</v>
      </c>
      <c r="E3036" t="s">
        <v>212</v>
      </c>
    </row>
    <row r="3037" spans="1:5" x14ac:dyDescent="0.25">
      <c r="A3037">
        <v>118</v>
      </c>
      <c r="B3037">
        <v>406</v>
      </c>
      <c r="C3037">
        <v>1</v>
      </c>
      <c r="D3037">
        <v>1</v>
      </c>
      <c r="E3037" t="s">
        <v>212</v>
      </c>
    </row>
    <row r="3038" spans="1:5" x14ac:dyDescent="0.25">
      <c r="A3038">
        <v>118</v>
      </c>
      <c r="B3038">
        <v>413</v>
      </c>
      <c r="C3038">
        <v>3</v>
      </c>
      <c r="D3038">
        <v>3</v>
      </c>
      <c r="E3038" t="s">
        <v>212</v>
      </c>
    </row>
    <row r="3039" spans="1:5" x14ac:dyDescent="0.25">
      <c r="A3039">
        <v>118</v>
      </c>
      <c r="B3039">
        <v>426</v>
      </c>
      <c r="C3039">
        <v>2</v>
      </c>
      <c r="D3039">
        <v>2</v>
      </c>
      <c r="E3039" t="s">
        <v>212</v>
      </c>
    </row>
    <row r="3040" spans="1:5" x14ac:dyDescent="0.25">
      <c r="A3040">
        <v>118</v>
      </c>
      <c r="B3040">
        <v>432</v>
      </c>
      <c r="C3040">
        <v>1</v>
      </c>
      <c r="D3040">
        <v>1</v>
      </c>
      <c r="E3040" t="s">
        <v>212</v>
      </c>
    </row>
    <row r="3041" spans="1:6" x14ac:dyDescent="0.25">
      <c r="A3041">
        <v>118</v>
      </c>
      <c r="B3041">
        <v>437</v>
      </c>
      <c r="C3041">
        <v>1</v>
      </c>
      <c r="D3041">
        <v>1</v>
      </c>
      <c r="E3041" t="s">
        <v>212</v>
      </c>
    </row>
    <row r="3042" spans="1:6" x14ac:dyDescent="0.25">
      <c r="A3042">
        <v>118</v>
      </c>
      <c r="B3042">
        <v>444</v>
      </c>
      <c r="C3042">
        <v>1</v>
      </c>
      <c r="D3042">
        <v>1</v>
      </c>
      <c r="E3042" t="s">
        <v>212</v>
      </c>
    </row>
    <row r="3043" spans="1:6" x14ac:dyDescent="0.25">
      <c r="A3043">
        <v>118</v>
      </c>
      <c r="B3043">
        <v>460</v>
      </c>
      <c r="C3043">
        <v>2</v>
      </c>
      <c r="D3043">
        <v>2</v>
      </c>
      <c r="E3043" t="s">
        <v>212</v>
      </c>
    </row>
    <row r="3044" spans="1:6" x14ac:dyDescent="0.25">
      <c r="A3044">
        <v>118</v>
      </c>
      <c r="B3044">
        <v>614</v>
      </c>
      <c r="C3044">
        <v>1</v>
      </c>
      <c r="D3044">
        <v>1</v>
      </c>
      <c r="E3044" t="s">
        <v>212</v>
      </c>
    </row>
    <row r="3045" spans="1:6" x14ac:dyDescent="0.25">
      <c r="A3045">
        <v>118</v>
      </c>
      <c r="B3045">
        <v>621</v>
      </c>
      <c r="C3045">
        <v>1</v>
      </c>
      <c r="D3045">
        <v>1</v>
      </c>
      <c r="E3045" t="s">
        <v>212</v>
      </c>
    </row>
    <row r="3046" spans="1:6" x14ac:dyDescent="0.25">
      <c r="A3046">
        <v>118</v>
      </c>
      <c r="B3046">
        <v>630</v>
      </c>
      <c r="C3046">
        <v>3</v>
      </c>
      <c r="D3046">
        <v>3</v>
      </c>
      <c r="E3046" t="s">
        <v>212</v>
      </c>
    </row>
    <row r="3047" spans="1:6" x14ac:dyDescent="0.25">
      <c r="A3047">
        <v>118</v>
      </c>
      <c r="B3047">
        <v>640</v>
      </c>
      <c r="C3047">
        <v>1</v>
      </c>
      <c r="D3047">
        <v>1</v>
      </c>
      <c r="E3047" t="s">
        <v>212</v>
      </c>
    </row>
    <row r="3048" spans="1:6" x14ac:dyDescent="0.25">
      <c r="A3048">
        <v>118</v>
      </c>
      <c r="B3048">
        <v>645</v>
      </c>
      <c r="C3048">
        <v>3</v>
      </c>
      <c r="D3048">
        <v>3</v>
      </c>
      <c r="E3048" t="s">
        <v>212</v>
      </c>
    </row>
    <row r="3049" spans="1:6" x14ac:dyDescent="0.25">
      <c r="A3049">
        <v>118</v>
      </c>
      <c r="B3049">
        <v>652</v>
      </c>
      <c r="C3049">
        <v>1</v>
      </c>
      <c r="D3049">
        <v>1</v>
      </c>
      <c r="E3049" t="s">
        <v>212</v>
      </c>
    </row>
    <row r="3050" spans="1:6" x14ac:dyDescent="0.25">
      <c r="A3050">
        <v>118</v>
      </c>
      <c r="B3050">
        <v>656</v>
      </c>
      <c r="C3050">
        <v>1</v>
      </c>
      <c r="D3050">
        <v>1</v>
      </c>
      <c r="E3050" t="s">
        <v>212</v>
      </c>
    </row>
    <row r="3051" spans="1:6" x14ac:dyDescent="0.25">
      <c r="A3051">
        <v>118</v>
      </c>
      <c r="B3051">
        <v>659</v>
      </c>
      <c r="C3051">
        <v>1</v>
      </c>
      <c r="D3051">
        <v>1</v>
      </c>
      <c r="E3051" t="s">
        <v>212</v>
      </c>
    </row>
    <row r="3052" spans="1:6" x14ac:dyDescent="0.25">
      <c r="A3052">
        <v>118</v>
      </c>
      <c r="B3052">
        <v>670</v>
      </c>
      <c r="C3052">
        <v>1</v>
      </c>
      <c r="D3052">
        <v>1</v>
      </c>
      <c r="E3052" t="s">
        <v>212</v>
      </c>
      <c r="F3052">
        <f>SUM(C3011:C3052)</f>
        <v>70</v>
      </c>
    </row>
    <row r="3053" spans="1:6" x14ac:dyDescent="0.25">
      <c r="A3053">
        <v>117</v>
      </c>
      <c r="B3053">
        <v>140</v>
      </c>
      <c r="C3053">
        <v>2</v>
      </c>
      <c r="D3053">
        <v>2</v>
      </c>
      <c r="E3053" t="s">
        <v>218</v>
      </c>
    </row>
    <row r="3054" spans="1:6" x14ac:dyDescent="0.25">
      <c r="A3054">
        <v>117</v>
      </c>
      <c r="B3054">
        <v>179</v>
      </c>
      <c r="C3054">
        <v>3</v>
      </c>
      <c r="D3054">
        <v>3</v>
      </c>
      <c r="E3054" t="s">
        <v>218</v>
      </c>
    </row>
    <row r="3055" spans="1:6" x14ac:dyDescent="0.25">
      <c r="A3055">
        <v>117</v>
      </c>
      <c r="B3055">
        <v>224</v>
      </c>
      <c r="C3055">
        <v>5</v>
      </c>
      <c r="D3055">
        <v>5</v>
      </c>
      <c r="E3055" t="s">
        <v>218</v>
      </c>
    </row>
    <row r="3056" spans="1:6" x14ac:dyDescent="0.25">
      <c r="A3056">
        <v>117</v>
      </c>
      <c r="B3056">
        <v>226</v>
      </c>
      <c r="C3056">
        <v>4</v>
      </c>
      <c r="D3056">
        <v>4</v>
      </c>
      <c r="E3056" t="s">
        <v>218</v>
      </c>
    </row>
    <row r="3057" spans="1:5" x14ac:dyDescent="0.25">
      <c r="A3057">
        <v>117</v>
      </c>
      <c r="B3057">
        <v>227</v>
      </c>
      <c r="C3057">
        <v>1</v>
      </c>
      <c r="D3057">
        <v>1</v>
      </c>
      <c r="E3057" t="s">
        <v>218</v>
      </c>
    </row>
    <row r="3058" spans="1:5" x14ac:dyDescent="0.25">
      <c r="A3058">
        <v>117</v>
      </c>
      <c r="B3058">
        <v>228</v>
      </c>
      <c r="C3058">
        <v>1</v>
      </c>
      <c r="D3058">
        <v>1</v>
      </c>
      <c r="E3058" t="s">
        <v>218</v>
      </c>
    </row>
    <row r="3059" spans="1:5" x14ac:dyDescent="0.25">
      <c r="A3059">
        <v>117</v>
      </c>
      <c r="B3059">
        <v>229</v>
      </c>
      <c r="C3059">
        <v>2</v>
      </c>
      <c r="D3059">
        <v>2</v>
      </c>
      <c r="E3059" t="s">
        <v>218</v>
      </c>
    </row>
    <row r="3060" spans="1:5" x14ac:dyDescent="0.25">
      <c r="A3060">
        <v>117</v>
      </c>
      <c r="B3060">
        <v>230</v>
      </c>
      <c r="C3060">
        <v>4</v>
      </c>
      <c r="D3060">
        <v>4</v>
      </c>
      <c r="E3060" t="s">
        <v>218</v>
      </c>
    </row>
    <row r="3061" spans="1:5" x14ac:dyDescent="0.25">
      <c r="A3061">
        <v>117</v>
      </c>
      <c r="B3061">
        <v>231</v>
      </c>
      <c r="C3061">
        <v>3</v>
      </c>
      <c r="D3061">
        <v>3</v>
      </c>
      <c r="E3061" t="s">
        <v>218</v>
      </c>
    </row>
    <row r="3062" spans="1:5" x14ac:dyDescent="0.25">
      <c r="A3062">
        <v>117</v>
      </c>
      <c r="B3062">
        <v>232</v>
      </c>
      <c r="C3062">
        <v>1</v>
      </c>
      <c r="D3062">
        <v>1</v>
      </c>
      <c r="E3062" t="s">
        <v>218</v>
      </c>
    </row>
    <row r="3063" spans="1:5" x14ac:dyDescent="0.25">
      <c r="A3063">
        <v>117</v>
      </c>
      <c r="B3063">
        <v>233</v>
      </c>
      <c r="C3063">
        <v>3</v>
      </c>
      <c r="D3063">
        <v>3</v>
      </c>
      <c r="E3063" t="s">
        <v>218</v>
      </c>
    </row>
    <row r="3064" spans="1:5" x14ac:dyDescent="0.25">
      <c r="A3064">
        <v>117</v>
      </c>
      <c r="B3064">
        <v>256</v>
      </c>
      <c r="C3064">
        <v>4</v>
      </c>
      <c r="D3064">
        <v>4</v>
      </c>
      <c r="E3064" t="s">
        <v>218</v>
      </c>
    </row>
    <row r="3065" spans="1:5" x14ac:dyDescent="0.25">
      <c r="A3065">
        <v>117</v>
      </c>
      <c r="B3065">
        <v>257</v>
      </c>
      <c r="C3065">
        <v>2</v>
      </c>
      <c r="D3065">
        <v>2</v>
      </c>
      <c r="E3065" t="s">
        <v>218</v>
      </c>
    </row>
    <row r="3066" spans="1:5" x14ac:dyDescent="0.25">
      <c r="A3066">
        <v>117</v>
      </c>
      <c r="B3066">
        <v>258</v>
      </c>
      <c r="C3066">
        <v>1</v>
      </c>
      <c r="D3066">
        <v>1</v>
      </c>
      <c r="E3066" t="s">
        <v>218</v>
      </c>
    </row>
    <row r="3067" spans="1:5" x14ac:dyDescent="0.25">
      <c r="A3067">
        <v>117</v>
      </c>
      <c r="B3067">
        <v>259</v>
      </c>
      <c r="C3067">
        <v>4</v>
      </c>
      <c r="D3067">
        <v>4</v>
      </c>
      <c r="E3067" t="s">
        <v>218</v>
      </c>
    </row>
    <row r="3068" spans="1:5" x14ac:dyDescent="0.25">
      <c r="A3068">
        <v>117</v>
      </c>
      <c r="B3068">
        <v>261</v>
      </c>
      <c r="C3068">
        <v>5</v>
      </c>
      <c r="D3068">
        <v>5</v>
      </c>
      <c r="E3068" t="s">
        <v>218</v>
      </c>
    </row>
    <row r="3069" spans="1:5" x14ac:dyDescent="0.25">
      <c r="A3069">
        <v>117</v>
      </c>
      <c r="B3069">
        <v>263</v>
      </c>
      <c r="C3069">
        <v>10</v>
      </c>
      <c r="D3069">
        <v>10</v>
      </c>
      <c r="E3069" t="s">
        <v>218</v>
      </c>
    </row>
    <row r="3070" spans="1:5" x14ac:dyDescent="0.25">
      <c r="A3070">
        <v>117</v>
      </c>
      <c r="B3070">
        <v>264</v>
      </c>
      <c r="C3070">
        <v>1</v>
      </c>
      <c r="D3070">
        <v>1</v>
      </c>
      <c r="E3070" t="s">
        <v>218</v>
      </c>
    </row>
    <row r="3071" spans="1:5" x14ac:dyDescent="0.25">
      <c r="A3071">
        <v>117</v>
      </c>
      <c r="B3071">
        <v>265</v>
      </c>
      <c r="C3071">
        <v>4</v>
      </c>
      <c r="D3071">
        <v>4</v>
      </c>
      <c r="E3071" t="s">
        <v>218</v>
      </c>
    </row>
    <row r="3072" spans="1:5" x14ac:dyDescent="0.25">
      <c r="A3072">
        <v>117</v>
      </c>
      <c r="B3072">
        <v>272</v>
      </c>
      <c r="C3072">
        <v>2</v>
      </c>
      <c r="D3072">
        <v>2</v>
      </c>
      <c r="E3072" t="s">
        <v>218</v>
      </c>
    </row>
    <row r="3073" spans="1:5" x14ac:dyDescent="0.25">
      <c r="A3073">
        <v>117</v>
      </c>
      <c r="B3073">
        <v>281</v>
      </c>
      <c r="C3073">
        <v>1</v>
      </c>
      <c r="D3073">
        <v>1</v>
      </c>
      <c r="E3073" t="s">
        <v>218</v>
      </c>
    </row>
    <row r="3074" spans="1:5" x14ac:dyDescent="0.25">
      <c r="A3074">
        <v>117</v>
      </c>
      <c r="B3074">
        <v>296</v>
      </c>
      <c r="C3074">
        <v>1</v>
      </c>
      <c r="D3074">
        <v>1</v>
      </c>
      <c r="E3074" t="s">
        <v>218</v>
      </c>
    </row>
    <row r="3075" spans="1:5" x14ac:dyDescent="0.25">
      <c r="A3075">
        <v>117</v>
      </c>
      <c r="B3075">
        <v>310</v>
      </c>
      <c r="C3075">
        <v>3</v>
      </c>
      <c r="D3075">
        <v>3</v>
      </c>
      <c r="E3075" t="s">
        <v>218</v>
      </c>
    </row>
    <row r="3076" spans="1:5" x14ac:dyDescent="0.25">
      <c r="A3076">
        <v>117</v>
      </c>
      <c r="B3076">
        <v>315</v>
      </c>
      <c r="C3076">
        <v>3</v>
      </c>
      <c r="D3076">
        <v>3</v>
      </c>
      <c r="E3076" t="s">
        <v>218</v>
      </c>
    </row>
    <row r="3077" spans="1:5" x14ac:dyDescent="0.25">
      <c r="A3077">
        <v>117</v>
      </c>
      <c r="B3077">
        <v>326</v>
      </c>
      <c r="C3077">
        <v>2</v>
      </c>
      <c r="D3077">
        <v>2</v>
      </c>
      <c r="E3077" t="s">
        <v>218</v>
      </c>
    </row>
    <row r="3078" spans="1:5" x14ac:dyDescent="0.25">
      <c r="A3078">
        <v>117</v>
      </c>
      <c r="B3078">
        <v>340</v>
      </c>
      <c r="C3078">
        <v>2</v>
      </c>
      <c r="D3078">
        <v>2</v>
      </c>
      <c r="E3078" t="s">
        <v>218</v>
      </c>
    </row>
    <row r="3079" spans="1:5" x14ac:dyDescent="0.25">
      <c r="A3079">
        <v>117</v>
      </c>
      <c r="B3079">
        <v>344</v>
      </c>
      <c r="C3079">
        <v>3</v>
      </c>
      <c r="D3079">
        <v>3</v>
      </c>
      <c r="E3079" t="s">
        <v>218</v>
      </c>
    </row>
    <row r="3080" spans="1:5" x14ac:dyDescent="0.25">
      <c r="A3080">
        <v>117</v>
      </c>
      <c r="B3080">
        <v>368</v>
      </c>
      <c r="C3080">
        <v>2</v>
      </c>
      <c r="D3080">
        <v>2</v>
      </c>
      <c r="E3080" t="s">
        <v>218</v>
      </c>
    </row>
    <row r="3081" spans="1:5" x14ac:dyDescent="0.25">
      <c r="A3081">
        <v>117</v>
      </c>
      <c r="B3081">
        <v>369</v>
      </c>
      <c r="C3081">
        <v>1</v>
      </c>
      <c r="D3081">
        <v>1</v>
      </c>
      <c r="E3081" t="s">
        <v>218</v>
      </c>
    </row>
    <row r="3082" spans="1:5" x14ac:dyDescent="0.25">
      <c r="A3082">
        <v>117</v>
      </c>
      <c r="B3082">
        <v>392</v>
      </c>
      <c r="C3082">
        <v>1</v>
      </c>
      <c r="D3082">
        <v>1</v>
      </c>
      <c r="E3082" t="s">
        <v>218</v>
      </c>
    </row>
    <row r="3083" spans="1:5" x14ac:dyDescent="0.25">
      <c r="A3083">
        <v>117</v>
      </c>
      <c r="B3083">
        <v>407</v>
      </c>
      <c r="C3083">
        <v>2</v>
      </c>
      <c r="D3083">
        <v>2</v>
      </c>
      <c r="E3083" t="s">
        <v>218</v>
      </c>
    </row>
    <row r="3084" spans="1:5" x14ac:dyDescent="0.25">
      <c r="A3084">
        <v>117</v>
      </c>
      <c r="B3084">
        <v>409</v>
      </c>
      <c r="C3084">
        <v>2</v>
      </c>
      <c r="D3084">
        <v>2</v>
      </c>
      <c r="E3084" t="s">
        <v>218</v>
      </c>
    </row>
    <row r="3085" spans="1:5" x14ac:dyDescent="0.25">
      <c r="A3085">
        <v>117</v>
      </c>
      <c r="B3085">
        <v>417</v>
      </c>
      <c r="C3085">
        <v>1</v>
      </c>
      <c r="D3085">
        <v>1</v>
      </c>
      <c r="E3085" t="s">
        <v>218</v>
      </c>
    </row>
    <row r="3086" spans="1:5" x14ac:dyDescent="0.25">
      <c r="A3086">
        <v>117</v>
      </c>
      <c r="B3086">
        <v>426</v>
      </c>
      <c r="C3086">
        <v>4</v>
      </c>
      <c r="D3086">
        <v>4</v>
      </c>
      <c r="E3086" t="s">
        <v>218</v>
      </c>
    </row>
    <row r="3087" spans="1:5" x14ac:dyDescent="0.25">
      <c r="A3087">
        <v>117</v>
      </c>
      <c r="B3087">
        <v>446</v>
      </c>
      <c r="C3087">
        <v>4</v>
      </c>
      <c r="D3087">
        <v>4</v>
      </c>
      <c r="E3087" t="s">
        <v>218</v>
      </c>
    </row>
    <row r="3088" spans="1:5" x14ac:dyDescent="0.25">
      <c r="A3088">
        <v>117</v>
      </c>
      <c r="B3088">
        <v>447</v>
      </c>
      <c r="C3088">
        <v>2</v>
      </c>
      <c r="D3088">
        <v>2</v>
      </c>
      <c r="E3088" t="s">
        <v>218</v>
      </c>
    </row>
    <row r="3089" spans="1:6" x14ac:dyDescent="0.25">
      <c r="A3089">
        <v>117</v>
      </c>
      <c r="B3089">
        <v>455</v>
      </c>
      <c r="C3089">
        <v>1</v>
      </c>
      <c r="D3089">
        <v>1</v>
      </c>
      <c r="E3089" t="s">
        <v>218</v>
      </c>
    </row>
    <row r="3090" spans="1:6" x14ac:dyDescent="0.25">
      <c r="A3090">
        <v>117</v>
      </c>
      <c r="B3090">
        <v>461</v>
      </c>
      <c r="C3090">
        <v>7</v>
      </c>
      <c r="D3090">
        <v>7</v>
      </c>
      <c r="E3090" t="s">
        <v>218</v>
      </c>
    </row>
    <row r="3091" spans="1:6" x14ac:dyDescent="0.25">
      <c r="A3091">
        <v>117</v>
      </c>
      <c r="B3091">
        <v>465</v>
      </c>
      <c r="C3091">
        <v>4</v>
      </c>
      <c r="D3091">
        <v>4</v>
      </c>
      <c r="E3091" t="s">
        <v>218</v>
      </c>
    </row>
    <row r="3092" spans="1:6" x14ac:dyDescent="0.25">
      <c r="A3092">
        <v>117</v>
      </c>
      <c r="B3092">
        <v>468</v>
      </c>
      <c r="C3092">
        <v>3</v>
      </c>
      <c r="D3092">
        <v>3</v>
      </c>
      <c r="E3092" t="s">
        <v>218</v>
      </c>
    </row>
    <row r="3093" spans="1:6" x14ac:dyDescent="0.25">
      <c r="A3093">
        <v>117</v>
      </c>
      <c r="B3093">
        <v>469</v>
      </c>
      <c r="C3093">
        <v>2</v>
      </c>
      <c r="D3093">
        <v>2</v>
      </c>
      <c r="E3093" t="s">
        <v>218</v>
      </c>
    </row>
    <row r="3094" spans="1:6" x14ac:dyDescent="0.25">
      <c r="A3094">
        <v>117</v>
      </c>
      <c r="B3094">
        <v>474</v>
      </c>
      <c r="C3094">
        <v>3</v>
      </c>
      <c r="D3094">
        <v>3</v>
      </c>
      <c r="E3094" t="s">
        <v>218</v>
      </c>
    </row>
    <row r="3095" spans="1:6" x14ac:dyDescent="0.25">
      <c r="A3095">
        <v>117</v>
      </c>
      <c r="B3095">
        <v>476</v>
      </c>
      <c r="C3095">
        <v>8</v>
      </c>
      <c r="D3095">
        <v>8</v>
      </c>
      <c r="E3095" t="s">
        <v>218</v>
      </c>
    </row>
    <row r="3096" spans="1:6" x14ac:dyDescent="0.25">
      <c r="A3096">
        <v>117</v>
      </c>
      <c r="B3096">
        <v>480</v>
      </c>
      <c r="C3096">
        <v>2</v>
      </c>
      <c r="D3096">
        <v>2</v>
      </c>
      <c r="E3096" t="s">
        <v>218</v>
      </c>
    </row>
    <row r="3097" spans="1:6" x14ac:dyDescent="0.25">
      <c r="A3097">
        <v>117</v>
      </c>
      <c r="B3097">
        <v>482</v>
      </c>
      <c r="C3097">
        <v>4</v>
      </c>
      <c r="D3097">
        <v>4</v>
      </c>
      <c r="E3097" t="s">
        <v>218</v>
      </c>
      <c r="F3097">
        <f>SUM(C3053:C3097)</f>
        <v>130</v>
      </c>
    </row>
    <row r="3098" spans="1:6" x14ac:dyDescent="0.25">
      <c r="A3098">
        <v>80</v>
      </c>
      <c r="B3098">
        <v>144</v>
      </c>
      <c r="C3098">
        <v>1</v>
      </c>
      <c r="D3098">
        <v>1</v>
      </c>
      <c r="E3098" t="s">
        <v>165</v>
      </c>
    </row>
    <row r="3099" spans="1:6" x14ac:dyDescent="0.25">
      <c r="A3099">
        <v>80</v>
      </c>
      <c r="B3099">
        <v>145</v>
      </c>
      <c r="C3099">
        <v>2</v>
      </c>
      <c r="D3099">
        <v>2</v>
      </c>
      <c r="E3099" t="s">
        <v>165</v>
      </c>
    </row>
    <row r="3100" spans="1:6" x14ac:dyDescent="0.25">
      <c r="A3100">
        <v>80</v>
      </c>
      <c r="B3100">
        <v>146</v>
      </c>
      <c r="C3100">
        <v>1</v>
      </c>
      <c r="D3100">
        <v>1</v>
      </c>
      <c r="E3100" t="s">
        <v>165</v>
      </c>
    </row>
    <row r="3101" spans="1:6" x14ac:dyDescent="0.25">
      <c r="A3101">
        <v>80</v>
      </c>
      <c r="B3101">
        <v>147</v>
      </c>
      <c r="C3101">
        <v>4</v>
      </c>
      <c r="D3101">
        <v>4</v>
      </c>
      <c r="E3101" t="s">
        <v>165</v>
      </c>
    </row>
    <row r="3102" spans="1:6" x14ac:dyDescent="0.25">
      <c r="A3102">
        <v>80</v>
      </c>
      <c r="B3102">
        <v>166</v>
      </c>
      <c r="C3102">
        <v>1</v>
      </c>
      <c r="D3102">
        <v>1</v>
      </c>
      <c r="E3102" t="s">
        <v>165</v>
      </c>
    </row>
    <row r="3103" spans="1:6" x14ac:dyDescent="0.25">
      <c r="A3103">
        <v>80</v>
      </c>
      <c r="B3103">
        <v>167</v>
      </c>
      <c r="C3103">
        <v>2</v>
      </c>
      <c r="D3103">
        <v>2</v>
      </c>
      <c r="E3103" t="s">
        <v>165</v>
      </c>
    </row>
    <row r="3104" spans="1:6" x14ac:dyDescent="0.25">
      <c r="A3104">
        <v>80</v>
      </c>
      <c r="B3104">
        <v>168</v>
      </c>
      <c r="C3104">
        <v>1</v>
      </c>
      <c r="D3104">
        <v>1</v>
      </c>
      <c r="E3104" t="s">
        <v>165</v>
      </c>
    </row>
    <row r="3105" spans="1:5" x14ac:dyDescent="0.25">
      <c r="A3105">
        <v>80</v>
      </c>
      <c r="B3105">
        <v>169</v>
      </c>
      <c r="C3105">
        <v>1</v>
      </c>
      <c r="D3105">
        <v>1</v>
      </c>
      <c r="E3105" t="s">
        <v>165</v>
      </c>
    </row>
    <row r="3106" spans="1:5" x14ac:dyDescent="0.25">
      <c r="A3106">
        <v>80</v>
      </c>
      <c r="B3106">
        <v>170</v>
      </c>
      <c r="C3106">
        <v>3</v>
      </c>
      <c r="D3106">
        <v>3</v>
      </c>
      <c r="E3106" t="s">
        <v>165</v>
      </c>
    </row>
    <row r="3107" spans="1:5" x14ac:dyDescent="0.25">
      <c r="A3107">
        <v>80</v>
      </c>
      <c r="B3107">
        <v>171</v>
      </c>
      <c r="C3107">
        <v>2</v>
      </c>
      <c r="D3107">
        <v>2</v>
      </c>
      <c r="E3107" t="s">
        <v>165</v>
      </c>
    </row>
    <row r="3108" spans="1:5" x14ac:dyDescent="0.25">
      <c r="A3108">
        <v>80</v>
      </c>
      <c r="B3108">
        <v>172</v>
      </c>
      <c r="C3108">
        <v>3</v>
      </c>
      <c r="D3108">
        <v>3</v>
      </c>
      <c r="E3108" t="s">
        <v>165</v>
      </c>
    </row>
    <row r="3109" spans="1:5" x14ac:dyDescent="0.25">
      <c r="A3109">
        <v>80</v>
      </c>
      <c r="B3109">
        <v>233</v>
      </c>
      <c r="C3109">
        <v>2</v>
      </c>
      <c r="D3109">
        <v>2</v>
      </c>
      <c r="E3109" t="s">
        <v>165</v>
      </c>
    </row>
    <row r="3110" spans="1:5" x14ac:dyDescent="0.25">
      <c r="A3110">
        <v>80</v>
      </c>
      <c r="B3110">
        <v>234</v>
      </c>
      <c r="C3110">
        <v>1</v>
      </c>
      <c r="D3110">
        <v>1</v>
      </c>
      <c r="E3110" t="s">
        <v>165</v>
      </c>
    </row>
    <row r="3111" spans="1:5" x14ac:dyDescent="0.25">
      <c r="A3111">
        <v>80</v>
      </c>
      <c r="B3111">
        <v>235</v>
      </c>
      <c r="C3111">
        <v>5</v>
      </c>
      <c r="D3111">
        <v>5</v>
      </c>
      <c r="E3111" t="s">
        <v>165</v>
      </c>
    </row>
    <row r="3112" spans="1:5" x14ac:dyDescent="0.25">
      <c r="A3112">
        <v>80</v>
      </c>
      <c r="B3112">
        <v>236</v>
      </c>
      <c r="C3112">
        <v>2</v>
      </c>
      <c r="D3112">
        <v>2</v>
      </c>
      <c r="E3112" t="s">
        <v>165</v>
      </c>
    </row>
    <row r="3113" spans="1:5" x14ac:dyDescent="0.25">
      <c r="A3113">
        <v>80</v>
      </c>
      <c r="B3113">
        <v>237</v>
      </c>
      <c r="C3113">
        <v>1</v>
      </c>
      <c r="D3113">
        <v>1</v>
      </c>
      <c r="E3113" t="s">
        <v>165</v>
      </c>
    </row>
    <row r="3114" spans="1:5" x14ac:dyDescent="0.25">
      <c r="A3114">
        <v>80</v>
      </c>
      <c r="B3114">
        <v>238</v>
      </c>
      <c r="C3114">
        <v>1</v>
      </c>
      <c r="D3114">
        <v>1</v>
      </c>
      <c r="E3114" t="s">
        <v>165</v>
      </c>
    </row>
    <row r="3115" spans="1:5" x14ac:dyDescent="0.25">
      <c r="A3115">
        <v>80</v>
      </c>
      <c r="B3115">
        <v>240</v>
      </c>
      <c r="C3115">
        <v>1</v>
      </c>
      <c r="D3115">
        <v>1</v>
      </c>
      <c r="E3115" t="s">
        <v>165</v>
      </c>
    </row>
    <row r="3116" spans="1:5" x14ac:dyDescent="0.25">
      <c r="A3116">
        <v>80</v>
      </c>
      <c r="B3116">
        <v>242</v>
      </c>
      <c r="C3116">
        <v>1</v>
      </c>
      <c r="D3116">
        <v>1</v>
      </c>
      <c r="E3116" t="s">
        <v>165</v>
      </c>
    </row>
    <row r="3117" spans="1:5" x14ac:dyDescent="0.25">
      <c r="A3117">
        <v>80</v>
      </c>
      <c r="B3117">
        <v>243</v>
      </c>
      <c r="C3117">
        <v>1</v>
      </c>
      <c r="D3117">
        <v>1</v>
      </c>
      <c r="E3117" t="s">
        <v>165</v>
      </c>
    </row>
    <row r="3118" spans="1:5" x14ac:dyDescent="0.25">
      <c r="A3118">
        <v>80</v>
      </c>
      <c r="B3118">
        <v>244</v>
      </c>
      <c r="C3118">
        <v>1</v>
      </c>
      <c r="D3118">
        <v>1</v>
      </c>
      <c r="E3118" t="s">
        <v>165</v>
      </c>
    </row>
    <row r="3119" spans="1:5" x14ac:dyDescent="0.25">
      <c r="A3119">
        <v>80</v>
      </c>
      <c r="B3119">
        <v>245</v>
      </c>
      <c r="C3119">
        <v>2</v>
      </c>
      <c r="D3119">
        <v>2</v>
      </c>
      <c r="E3119" t="s">
        <v>165</v>
      </c>
    </row>
    <row r="3120" spans="1:5" x14ac:dyDescent="0.25">
      <c r="A3120">
        <v>80</v>
      </c>
      <c r="B3120">
        <v>246</v>
      </c>
      <c r="C3120">
        <v>2</v>
      </c>
      <c r="D3120">
        <v>2</v>
      </c>
      <c r="E3120" t="s">
        <v>165</v>
      </c>
    </row>
    <row r="3121" spans="1:5" x14ac:dyDescent="0.25">
      <c r="A3121">
        <v>80</v>
      </c>
      <c r="B3121">
        <v>247</v>
      </c>
      <c r="C3121">
        <v>1</v>
      </c>
      <c r="D3121">
        <v>1</v>
      </c>
      <c r="E3121" t="s">
        <v>165</v>
      </c>
    </row>
    <row r="3122" spans="1:5" x14ac:dyDescent="0.25">
      <c r="A3122">
        <v>80</v>
      </c>
      <c r="B3122">
        <v>256</v>
      </c>
      <c r="C3122">
        <v>4</v>
      </c>
      <c r="D3122">
        <v>4</v>
      </c>
      <c r="E3122" t="s">
        <v>165</v>
      </c>
    </row>
    <row r="3123" spans="1:5" x14ac:dyDescent="0.25">
      <c r="A3123">
        <v>80</v>
      </c>
      <c r="B3123">
        <v>258</v>
      </c>
      <c r="C3123">
        <v>3</v>
      </c>
      <c r="D3123">
        <v>3</v>
      </c>
      <c r="E3123" t="s">
        <v>165</v>
      </c>
    </row>
    <row r="3124" spans="1:5" x14ac:dyDescent="0.25">
      <c r="A3124">
        <v>80</v>
      </c>
      <c r="B3124">
        <v>260</v>
      </c>
      <c r="C3124">
        <v>3</v>
      </c>
      <c r="D3124">
        <v>3</v>
      </c>
      <c r="E3124" t="s">
        <v>165</v>
      </c>
    </row>
    <row r="3125" spans="1:5" x14ac:dyDescent="0.25">
      <c r="A3125">
        <v>80</v>
      </c>
      <c r="B3125">
        <v>262</v>
      </c>
      <c r="C3125">
        <v>2</v>
      </c>
      <c r="D3125">
        <v>2</v>
      </c>
      <c r="E3125" t="s">
        <v>165</v>
      </c>
    </row>
    <row r="3126" spans="1:5" x14ac:dyDescent="0.25">
      <c r="A3126">
        <v>80</v>
      </c>
      <c r="B3126">
        <v>355</v>
      </c>
      <c r="C3126">
        <v>2</v>
      </c>
      <c r="D3126">
        <v>2</v>
      </c>
      <c r="E3126" t="s">
        <v>165</v>
      </c>
    </row>
    <row r="3127" spans="1:5" x14ac:dyDescent="0.25">
      <c r="A3127">
        <v>80</v>
      </c>
      <c r="B3127">
        <v>356</v>
      </c>
      <c r="C3127">
        <v>1</v>
      </c>
      <c r="D3127">
        <v>1</v>
      </c>
      <c r="E3127" t="s">
        <v>165</v>
      </c>
    </row>
    <row r="3128" spans="1:5" x14ac:dyDescent="0.25">
      <c r="A3128">
        <v>80</v>
      </c>
      <c r="B3128">
        <v>358</v>
      </c>
      <c r="C3128">
        <v>1</v>
      </c>
      <c r="D3128">
        <v>1</v>
      </c>
      <c r="E3128" t="s">
        <v>165</v>
      </c>
    </row>
    <row r="3129" spans="1:5" x14ac:dyDescent="0.25">
      <c r="A3129">
        <v>80</v>
      </c>
      <c r="B3129">
        <v>359</v>
      </c>
      <c r="C3129">
        <v>1</v>
      </c>
      <c r="D3129">
        <v>1</v>
      </c>
      <c r="E3129" t="s">
        <v>165</v>
      </c>
    </row>
    <row r="3130" spans="1:5" x14ac:dyDescent="0.25">
      <c r="A3130">
        <v>80</v>
      </c>
      <c r="B3130">
        <v>360</v>
      </c>
      <c r="C3130">
        <v>1</v>
      </c>
      <c r="D3130">
        <v>1</v>
      </c>
      <c r="E3130" t="s">
        <v>165</v>
      </c>
    </row>
    <row r="3131" spans="1:5" x14ac:dyDescent="0.25">
      <c r="A3131">
        <v>80</v>
      </c>
      <c r="B3131">
        <v>361</v>
      </c>
      <c r="C3131">
        <v>1</v>
      </c>
      <c r="D3131">
        <v>1</v>
      </c>
      <c r="E3131" t="s">
        <v>165</v>
      </c>
    </row>
    <row r="3132" spans="1:5" x14ac:dyDescent="0.25">
      <c r="A3132">
        <v>80</v>
      </c>
      <c r="B3132">
        <v>373</v>
      </c>
      <c r="C3132">
        <v>3</v>
      </c>
      <c r="D3132">
        <v>3</v>
      </c>
      <c r="E3132" t="s">
        <v>165</v>
      </c>
    </row>
    <row r="3133" spans="1:5" x14ac:dyDescent="0.25">
      <c r="A3133">
        <v>80</v>
      </c>
      <c r="B3133">
        <v>376</v>
      </c>
      <c r="C3133">
        <v>1</v>
      </c>
      <c r="D3133">
        <v>1</v>
      </c>
      <c r="E3133" t="s">
        <v>165</v>
      </c>
    </row>
    <row r="3134" spans="1:5" x14ac:dyDescent="0.25">
      <c r="A3134">
        <v>80</v>
      </c>
      <c r="B3134">
        <v>377</v>
      </c>
      <c r="C3134">
        <v>1</v>
      </c>
      <c r="D3134">
        <v>1</v>
      </c>
      <c r="E3134" t="s">
        <v>165</v>
      </c>
    </row>
    <row r="3135" spans="1:5" x14ac:dyDescent="0.25">
      <c r="A3135">
        <v>80</v>
      </c>
      <c r="B3135">
        <v>381</v>
      </c>
      <c r="C3135">
        <v>1</v>
      </c>
      <c r="D3135">
        <v>1</v>
      </c>
      <c r="E3135" t="s">
        <v>165</v>
      </c>
    </row>
    <row r="3136" spans="1:5" x14ac:dyDescent="0.25">
      <c r="A3136">
        <v>80</v>
      </c>
      <c r="B3136">
        <v>407</v>
      </c>
      <c r="C3136">
        <v>3</v>
      </c>
      <c r="D3136">
        <v>3</v>
      </c>
      <c r="E3136" t="s">
        <v>165</v>
      </c>
    </row>
    <row r="3137" spans="1:6" x14ac:dyDescent="0.25">
      <c r="A3137">
        <v>80</v>
      </c>
      <c r="B3137">
        <v>411</v>
      </c>
      <c r="C3137">
        <v>1</v>
      </c>
      <c r="D3137">
        <v>1</v>
      </c>
      <c r="E3137" t="s">
        <v>165</v>
      </c>
    </row>
    <row r="3138" spans="1:6" x14ac:dyDescent="0.25">
      <c r="A3138">
        <v>80</v>
      </c>
      <c r="B3138">
        <v>428</v>
      </c>
      <c r="C3138">
        <v>1</v>
      </c>
      <c r="D3138">
        <v>1</v>
      </c>
      <c r="E3138" t="s">
        <v>165</v>
      </c>
      <c r="F3138">
        <f>SUM(C3098:C3138)</f>
        <v>72</v>
      </c>
    </row>
    <row r="3139" spans="1:6" x14ac:dyDescent="0.25">
      <c r="A3139">
        <v>1</v>
      </c>
      <c r="B3139">
        <v>465</v>
      </c>
      <c r="C3139">
        <v>1</v>
      </c>
      <c r="D3139">
        <v>1</v>
      </c>
      <c r="E3139" t="s">
        <v>152</v>
      </c>
    </row>
    <row r="3140" spans="1:6" x14ac:dyDescent="0.25">
      <c r="A3140">
        <v>1</v>
      </c>
      <c r="B3140">
        <v>480</v>
      </c>
      <c r="C3140">
        <v>1</v>
      </c>
      <c r="D3140">
        <v>1</v>
      </c>
      <c r="E3140" t="s">
        <v>152</v>
      </c>
    </row>
    <row r="3141" spans="1:6" x14ac:dyDescent="0.25">
      <c r="A3141">
        <v>1</v>
      </c>
      <c r="B3141">
        <v>483</v>
      </c>
      <c r="C3141">
        <v>2</v>
      </c>
      <c r="D3141">
        <v>2</v>
      </c>
      <c r="E3141" t="s">
        <v>152</v>
      </c>
    </row>
    <row r="3142" spans="1:6" x14ac:dyDescent="0.25">
      <c r="A3142">
        <v>1</v>
      </c>
      <c r="B3142">
        <v>552</v>
      </c>
      <c r="C3142">
        <v>1</v>
      </c>
      <c r="D3142">
        <v>1</v>
      </c>
      <c r="E3142" t="s">
        <v>152</v>
      </c>
    </row>
    <row r="3143" spans="1:6" x14ac:dyDescent="0.25">
      <c r="A3143">
        <v>1</v>
      </c>
      <c r="B3143">
        <v>631</v>
      </c>
      <c r="C3143">
        <v>1</v>
      </c>
      <c r="D3143">
        <v>1</v>
      </c>
      <c r="E3143" t="s">
        <v>152</v>
      </c>
    </row>
    <row r="3144" spans="1:6" x14ac:dyDescent="0.25">
      <c r="A3144">
        <v>1</v>
      </c>
      <c r="B3144">
        <v>641</v>
      </c>
      <c r="C3144">
        <v>1</v>
      </c>
      <c r="D3144">
        <v>1</v>
      </c>
      <c r="E3144" t="s">
        <v>152</v>
      </c>
    </row>
    <row r="3145" spans="1:6" x14ac:dyDescent="0.25">
      <c r="A3145">
        <v>1</v>
      </c>
      <c r="B3145">
        <v>644</v>
      </c>
      <c r="C3145">
        <v>1</v>
      </c>
      <c r="D3145">
        <v>1</v>
      </c>
      <c r="E3145" t="s">
        <v>152</v>
      </c>
    </row>
    <row r="3146" spans="1:6" x14ac:dyDescent="0.25">
      <c r="A3146">
        <v>1</v>
      </c>
      <c r="B3146">
        <v>654</v>
      </c>
      <c r="C3146">
        <v>1</v>
      </c>
      <c r="D3146">
        <v>1</v>
      </c>
      <c r="E3146" t="s">
        <v>152</v>
      </c>
    </row>
    <row r="3147" spans="1:6" x14ac:dyDescent="0.25">
      <c r="A3147">
        <v>1</v>
      </c>
      <c r="B3147">
        <v>714</v>
      </c>
      <c r="C3147">
        <v>1</v>
      </c>
      <c r="D3147">
        <v>1</v>
      </c>
      <c r="E3147" t="s">
        <v>152</v>
      </c>
    </row>
    <row r="3148" spans="1:6" x14ac:dyDescent="0.25">
      <c r="A3148">
        <v>1</v>
      </c>
      <c r="B3148">
        <v>756</v>
      </c>
      <c r="C3148">
        <v>1</v>
      </c>
      <c r="D3148">
        <v>1</v>
      </c>
      <c r="E3148" t="s">
        <v>152</v>
      </c>
    </row>
    <row r="3149" spans="1:6" x14ac:dyDescent="0.25">
      <c r="A3149">
        <v>1</v>
      </c>
      <c r="B3149">
        <v>878</v>
      </c>
      <c r="C3149">
        <v>1</v>
      </c>
      <c r="D3149">
        <v>1</v>
      </c>
      <c r="E3149" t="s">
        <v>152</v>
      </c>
    </row>
    <row r="3150" spans="1:6" x14ac:dyDescent="0.25">
      <c r="A3150">
        <v>1</v>
      </c>
      <c r="B3150">
        <v>902</v>
      </c>
      <c r="C3150">
        <v>1</v>
      </c>
      <c r="D3150">
        <v>1</v>
      </c>
      <c r="E3150" t="s">
        <v>152</v>
      </c>
    </row>
    <row r="3151" spans="1:6" x14ac:dyDescent="0.25">
      <c r="A3151">
        <v>1</v>
      </c>
      <c r="B3151">
        <v>930</v>
      </c>
      <c r="C3151">
        <v>1</v>
      </c>
      <c r="D3151">
        <v>1</v>
      </c>
      <c r="E3151" t="s">
        <v>152</v>
      </c>
      <c r="F3151">
        <f>SUM(C3139:C3151)</f>
        <v>14</v>
      </c>
    </row>
    <row r="3152" spans="1:6" x14ac:dyDescent="0.25">
      <c r="A3152">
        <v>1</v>
      </c>
      <c r="B3152">
        <v>388</v>
      </c>
      <c r="C3152">
        <v>1</v>
      </c>
      <c r="D3152">
        <v>1</v>
      </c>
      <c r="E3152" t="s">
        <v>150</v>
      </c>
    </row>
    <row r="3153" spans="1:6" x14ac:dyDescent="0.25">
      <c r="A3153">
        <v>1</v>
      </c>
      <c r="B3153">
        <v>389</v>
      </c>
      <c r="C3153">
        <v>1</v>
      </c>
      <c r="D3153">
        <v>1</v>
      </c>
      <c r="E3153" t="s">
        <v>150</v>
      </c>
    </row>
    <row r="3154" spans="1:6" x14ac:dyDescent="0.25">
      <c r="A3154">
        <v>1</v>
      </c>
      <c r="B3154">
        <v>589</v>
      </c>
      <c r="C3154">
        <v>1</v>
      </c>
      <c r="D3154">
        <v>1</v>
      </c>
      <c r="E3154" t="s">
        <v>150</v>
      </c>
    </row>
    <row r="3155" spans="1:6" x14ac:dyDescent="0.25">
      <c r="A3155">
        <v>1</v>
      </c>
      <c r="B3155">
        <v>593</v>
      </c>
      <c r="C3155">
        <v>3</v>
      </c>
      <c r="D3155">
        <v>3</v>
      </c>
      <c r="E3155" t="s">
        <v>150</v>
      </c>
    </row>
    <row r="3156" spans="1:6" x14ac:dyDescent="0.25">
      <c r="A3156">
        <v>1</v>
      </c>
      <c r="B3156">
        <v>638</v>
      </c>
      <c r="C3156">
        <v>2</v>
      </c>
      <c r="D3156">
        <v>2</v>
      </c>
      <c r="E3156" t="s">
        <v>150</v>
      </c>
    </row>
    <row r="3157" spans="1:6" x14ac:dyDescent="0.25">
      <c r="A3157">
        <v>1</v>
      </c>
      <c r="B3157">
        <v>711</v>
      </c>
      <c r="C3157">
        <v>1</v>
      </c>
      <c r="D3157">
        <v>1</v>
      </c>
      <c r="E3157" t="s">
        <v>150</v>
      </c>
    </row>
    <row r="3158" spans="1:6" x14ac:dyDescent="0.25">
      <c r="A3158">
        <v>1</v>
      </c>
      <c r="B3158">
        <v>755</v>
      </c>
      <c r="C3158">
        <v>1</v>
      </c>
      <c r="D3158">
        <v>1</v>
      </c>
      <c r="E3158" t="s">
        <v>150</v>
      </c>
    </row>
    <row r="3159" spans="1:6" x14ac:dyDescent="0.25">
      <c r="A3159">
        <v>1</v>
      </c>
      <c r="B3159">
        <v>763</v>
      </c>
      <c r="C3159">
        <v>1</v>
      </c>
      <c r="D3159">
        <v>1</v>
      </c>
      <c r="E3159" t="s">
        <v>150</v>
      </c>
    </row>
    <row r="3160" spans="1:6" x14ac:dyDescent="0.25">
      <c r="A3160">
        <v>1</v>
      </c>
      <c r="B3160">
        <v>795</v>
      </c>
      <c r="C3160">
        <v>1</v>
      </c>
      <c r="D3160">
        <v>1</v>
      </c>
      <c r="E3160" t="s">
        <v>150</v>
      </c>
    </row>
    <row r="3161" spans="1:6" x14ac:dyDescent="0.25">
      <c r="A3161">
        <v>1</v>
      </c>
      <c r="B3161">
        <v>796</v>
      </c>
      <c r="C3161">
        <v>1</v>
      </c>
      <c r="D3161">
        <v>1</v>
      </c>
      <c r="E3161" t="s">
        <v>150</v>
      </c>
    </row>
    <row r="3162" spans="1:6" x14ac:dyDescent="0.25">
      <c r="A3162">
        <v>1</v>
      </c>
      <c r="B3162">
        <v>805</v>
      </c>
      <c r="C3162">
        <v>1</v>
      </c>
      <c r="D3162">
        <v>1</v>
      </c>
      <c r="E3162" t="s">
        <v>150</v>
      </c>
    </row>
    <row r="3163" spans="1:6" x14ac:dyDescent="0.25">
      <c r="A3163">
        <v>1</v>
      </c>
      <c r="B3163">
        <v>855</v>
      </c>
      <c r="C3163">
        <v>2</v>
      </c>
      <c r="D3163">
        <v>2</v>
      </c>
      <c r="E3163" t="s">
        <v>150</v>
      </c>
    </row>
    <row r="3164" spans="1:6" x14ac:dyDescent="0.25">
      <c r="A3164">
        <v>1</v>
      </c>
      <c r="B3164">
        <v>865</v>
      </c>
      <c r="C3164">
        <v>2</v>
      </c>
      <c r="D3164">
        <v>2</v>
      </c>
      <c r="E3164" t="s">
        <v>150</v>
      </c>
    </row>
    <row r="3165" spans="1:6" x14ac:dyDescent="0.25">
      <c r="A3165">
        <v>1</v>
      </c>
      <c r="B3165">
        <v>900</v>
      </c>
      <c r="C3165">
        <v>1</v>
      </c>
      <c r="D3165">
        <v>1</v>
      </c>
      <c r="E3165" t="s">
        <v>150</v>
      </c>
    </row>
    <row r="3166" spans="1:6" x14ac:dyDescent="0.25">
      <c r="A3166">
        <v>1</v>
      </c>
      <c r="B3166">
        <v>907</v>
      </c>
      <c r="C3166">
        <v>1</v>
      </c>
      <c r="D3166">
        <v>1</v>
      </c>
      <c r="E3166" t="s">
        <v>150</v>
      </c>
      <c r="F3166">
        <f>SUM(C3152:C3166)</f>
        <v>20</v>
      </c>
    </row>
    <row r="3167" spans="1:6" x14ac:dyDescent="0.25">
      <c r="A3167">
        <v>115</v>
      </c>
      <c r="B3167">
        <v>363</v>
      </c>
      <c r="C3167">
        <v>2</v>
      </c>
      <c r="D3167">
        <v>2</v>
      </c>
      <c r="E3167" t="s">
        <v>213</v>
      </c>
    </row>
    <row r="3168" spans="1:6" x14ac:dyDescent="0.25">
      <c r="A3168">
        <v>115</v>
      </c>
      <c r="B3168">
        <v>364</v>
      </c>
      <c r="C3168">
        <v>3</v>
      </c>
      <c r="D3168">
        <v>3</v>
      </c>
      <c r="E3168" t="s">
        <v>213</v>
      </c>
    </row>
    <row r="3169" spans="1:5" x14ac:dyDescent="0.25">
      <c r="A3169">
        <v>115</v>
      </c>
      <c r="B3169">
        <v>365</v>
      </c>
      <c r="C3169">
        <v>4</v>
      </c>
      <c r="D3169">
        <v>4</v>
      </c>
      <c r="E3169" t="s">
        <v>213</v>
      </c>
    </row>
    <row r="3170" spans="1:5" x14ac:dyDescent="0.25">
      <c r="A3170">
        <v>115</v>
      </c>
      <c r="B3170">
        <v>366</v>
      </c>
      <c r="C3170">
        <v>2</v>
      </c>
      <c r="D3170">
        <v>2</v>
      </c>
      <c r="E3170" t="s">
        <v>213</v>
      </c>
    </row>
    <row r="3171" spans="1:5" x14ac:dyDescent="0.25">
      <c r="A3171">
        <v>115</v>
      </c>
      <c r="B3171">
        <v>367</v>
      </c>
      <c r="C3171">
        <v>1</v>
      </c>
      <c r="D3171">
        <v>1</v>
      </c>
      <c r="E3171" t="s">
        <v>213</v>
      </c>
    </row>
    <row r="3172" spans="1:5" x14ac:dyDescent="0.25">
      <c r="A3172">
        <v>115</v>
      </c>
      <c r="B3172">
        <v>368</v>
      </c>
      <c r="C3172">
        <v>2</v>
      </c>
      <c r="D3172">
        <v>2</v>
      </c>
      <c r="E3172" t="s">
        <v>213</v>
      </c>
    </row>
    <row r="3173" spans="1:5" x14ac:dyDescent="0.25">
      <c r="A3173">
        <v>115</v>
      </c>
      <c r="B3173">
        <v>369</v>
      </c>
      <c r="C3173">
        <v>1</v>
      </c>
      <c r="D3173">
        <v>1</v>
      </c>
      <c r="E3173" t="s">
        <v>213</v>
      </c>
    </row>
    <row r="3174" spans="1:5" x14ac:dyDescent="0.25">
      <c r="A3174">
        <v>115</v>
      </c>
      <c r="B3174">
        <v>370</v>
      </c>
      <c r="C3174">
        <v>6</v>
      </c>
      <c r="D3174">
        <v>6</v>
      </c>
      <c r="E3174" t="s">
        <v>213</v>
      </c>
    </row>
    <row r="3175" spans="1:5" x14ac:dyDescent="0.25">
      <c r="A3175">
        <v>115</v>
      </c>
      <c r="B3175">
        <v>386</v>
      </c>
      <c r="C3175">
        <v>5</v>
      </c>
      <c r="D3175">
        <v>5</v>
      </c>
      <c r="E3175" t="s">
        <v>213</v>
      </c>
    </row>
    <row r="3176" spans="1:5" x14ac:dyDescent="0.25">
      <c r="A3176">
        <v>115</v>
      </c>
      <c r="B3176">
        <v>387</v>
      </c>
      <c r="C3176">
        <v>2</v>
      </c>
      <c r="D3176">
        <v>2</v>
      </c>
      <c r="E3176" t="s">
        <v>213</v>
      </c>
    </row>
    <row r="3177" spans="1:5" x14ac:dyDescent="0.25">
      <c r="A3177">
        <v>115</v>
      </c>
      <c r="B3177">
        <v>389</v>
      </c>
      <c r="C3177">
        <v>1</v>
      </c>
      <c r="D3177">
        <v>1</v>
      </c>
      <c r="E3177" t="s">
        <v>213</v>
      </c>
    </row>
    <row r="3178" spans="1:5" x14ac:dyDescent="0.25">
      <c r="A3178">
        <v>115</v>
      </c>
      <c r="B3178">
        <v>390</v>
      </c>
      <c r="C3178">
        <v>1</v>
      </c>
      <c r="D3178">
        <v>1</v>
      </c>
      <c r="E3178" t="s">
        <v>213</v>
      </c>
    </row>
    <row r="3179" spans="1:5" x14ac:dyDescent="0.25">
      <c r="A3179">
        <v>115</v>
      </c>
      <c r="B3179">
        <v>392</v>
      </c>
      <c r="C3179">
        <v>1</v>
      </c>
      <c r="D3179">
        <v>1</v>
      </c>
      <c r="E3179" t="s">
        <v>213</v>
      </c>
    </row>
    <row r="3180" spans="1:5" x14ac:dyDescent="0.25">
      <c r="A3180">
        <v>115</v>
      </c>
      <c r="B3180">
        <v>394</v>
      </c>
      <c r="C3180">
        <v>1</v>
      </c>
      <c r="D3180">
        <v>1</v>
      </c>
      <c r="E3180" t="s">
        <v>213</v>
      </c>
    </row>
    <row r="3181" spans="1:5" x14ac:dyDescent="0.25">
      <c r="A3181">
        <v>115</v>
      </c>
      <c r="B3181">
        <v>395</v>
      </c>
      <c r="C3181">
        <v>4</v>
      </c>
      <c r="D3181">
        <v>4</v>
      </c>
      <c r="E3181" t="s">
        <v>213</v>
      </c>
    </row>
    <row r="3182" spans="1:5" x14ac:dyDescent="0.25">
      <c r="A3182">
        <v>115</v>
      </c>
      <c r="B3182">
        <v>396</v>
      </c>
      <c r="C3182">
        <v>2</v>
      </c>
      <c r="D3182">
        <v>2</v>
      </c>
      <c r="E3182" t="s">
        <v>213</v>
      </c>
    </row>
    <row r="3183" spans="1:5" x14ac:dyDescent="0.25">
      <c r="A3183">
        <v>115</v>
      </c>
      <c r="B3183">
        <v>397</v>
      </c>
      <c r="C3183">
        <v>2</v>
      </c>
      <c r="D3183">
        <v>2</v>
      </c>
      <c r="E3183" t="s">
        <v>213</v>
      </c>
    </row>
    <row r="3184" spans="1:5" x14ac:dyDescent="0.25">
      <c r="A3184">
        <v>115</v>
      </c>
      <c r="B3184">
        <v>422</v>
      </c>
      <c r="C3184">
        <v>5</v>
      </c>
      <c r="D3184">
        <v>5</v>
      </c>
      <c r="E3184" t="s">
        <v>213</v>
      </c>
    </row>
    <row r="3185" spans="1:5" x14ac:dyDescent="0.25">
      <c r="A3185">
        <v>115</v>
      </c>
      <c r="B3185">
        <v>423</v>
      </c>
      <c r="C3185">
        <v>2</v>
      </c>
      <c r="D3185">
        <v>2</v>
      </c>
      <c r="E3185" t="s">
        <v>213</v>
      </c>
    </row>
    <row r="3186" spans="1:5" x14ac:dyDescent="0.25">
      <c r="A3186">
        <v>115</v>
      </c>
      <c r="B3186">
        <v>424</v>
      </c>
      <c r="C3186">
        <v>3</v>
      </c>
      <c r="D3186">
        <v>3</v>
      </c>
      <c r="E3186" t="s">
        <v>213</v>
      </c>
    </row>
    <row r="3187" spans="1:5" x14ac:dyDescent="0.25">
      <c r="A3187">
        <v>115</v>
      </c>
      <c r="B3187">
        <v>425</v>
      </c>
      <c r="C3187">
        <v>6</v>
      </c>
      <c r="D3187">
        <v>6</v>
      </c>
      <c r="E3187" t="s">
        <v>213</v>
      </c>
    </row>
    <row r="3188" spans="1:5" x14ac:dyDescent="0.25">
      <c r="A3188">
        <v>115</v>
      </c>
      <c r="B3188">
        <v>427</v>
      </c>
      <c r="C3188">
        <v>3</v>
      </c>
      <c r="D3188">
        <v>3</v>
      </c>
      <c r="E3188" t="s">
        <v>213</v>
      </c>
    </row>
    <row r="3189" spans="1:5" x14ac:dyDescent="0.25">
      <c r="A3189">
        <v>115</v>
      </c>
      <c r="B3189">
        <v>428</v>
      </c>
      <c r="C3189">
        <v>1</v>
      </c>
      <c r="D3189">
        <v>1</v>
      </c>
      <c r="E3189" t="s">
        <v>213</v>
      </c>
    </row>
    <row r="3190" spans="1:5" x14ac:dyDescent="0.25">
      <c r="A3190">
        <v>115</v>
      </c>
      <c r="B3190">
        <v>429</v>
      </c>
      <c r="C3190">
        <v>4</v>
      </c>
      <c r="D3190">
        <v>4</v>
      </c>
      <c r="E3190" t="s">
        <v>213</v>
      </c>
    </row>
    <row r="3191" spans="1:5" x14ac:dyDescent="0.25">
      <c r="A3191">
        <v>115</v>
      </c>
      <c r="B3191">
        <v>430</v>
      </c>
      <c r="C3191">
        <v>2</v>
      </c>
      <c r="D3191">
        <v>2</v>
      </c>
      <c r="E3191" t="s">
        <v>213</v>
      </c>
    </row>
    <row r="3192" spans="1:5" x14ac:dyDescent="0.25">
      <c r="A3192">
        <v>115</v>
      </c>
      <c r="B3192">
        <v>431</v>
      </c>
      <c r="C3192">
        <v>3</v>
      </c>
      <c r="D3192">
        <v>3</v>
      </c>
      <c r="E3192" t="s">
        <v>213</v>
      </c>
    </row>
    <row r="3193" spans="1:5" x14ac:dyDescent="0.25">
      <c r="A3193">
        <v>115</v>
      </c>
      <c r="B3193">
        <v>432</v>
      </c>
      <c r="C3193">
        <v>3</v>
      </c>
      <c r="D3193">
        <v>3</v>
      </c>
      <c r="E3193" t="s">
        <v>213</v>
      </c>
    </row>
    <row r="3194" spans="1:5" x14ac:dyDescent="0.25">
      <c r="A3194">
        <v>115</v>
      </c>
      <c r="B3194">
        <v>433</v>
      </c>
      <c r="C3194">
        <v>4</v>
      </c>
      <c r="D3194">
        <v>4</v>
      </c>
      <c r="E3194" t="s">
        <v>213</v>
      </c>
    </row>
    <row r="3195" spans="1:5" x14ac:dyDescent="0.25">
      <c r="A3195">
        <v>115</v>
      </c>
      <c r="B3195">
        <v>434</v>
      </c>
      <c r="C3195">
        <v>5</v>
      </c>
      <c r="D3195">
        <v>5</v>
      </c>
      <c r="E3195" t="s">
        <v>213</v>
      </c>
    </row>
    <row r="3196" spans="1:5" x14ac:dyDescent="0.25">
      <c r="A3196">
        <v>115</v>
      </c>
      <c r="B3196">
        <v>435</v>
      </c>
      <c r="C3196">
        <v>5</v>
      </c>
      <c r="D3196">
        <v>5</v>
      </c>
      <c r="E3196" t="s">
        <v>213</v>
      </c>
    </row>
    <row r="3197" spans="1:5" x14ac:dyDescent="0.25">
      <c r="A3197">
        <v>115</v>
      </c>
      <c r="B3197">
        <v>436</v>
      </c>
      <c r="C3197">
        <v>4</v>
      </c>
      <c r="D3197">
        <v>4</v>
      </c>
      <c r="E3197" t="s">
        <v>213</v>
      </c>
    </row>
    <row r="3198" spans="1:5" x14ac:dyDescent="0.25">
      <c r="A3198">
        <v>115</v>
      </c>
      <c r="B3198">
        <v>437</v>
      </c>
      <c r="C3198">
        <v>4</v>
      </c>
      <c r="D3198">
        <v>4</v>
      </c>
      <c r="E3198" t="s">
        <v>213</v>
      </c>
    </row>
    <row r="3199" spans="1:5" x14ac:dyDescent="0.25">
      <c r="A3199">
        <v>115</v>
      </c>
      <c r="B3199">
        <v>438</v>
      </c>
      <c r="C3199">
        <v>8</v>
      </c>
      <c r="D3199">
        <v>8</v>
      </c>
      <c r="E3199" t="s">
        <v>213</v>
      </c>
    </row>
    <row r="3200" spans="1:5" x14ac:dyDescent="0.25">
      <c r="A3200">
        <v>115</v>
      </c>
      <c r="B3200">
        <v>439</v>
      </c>
      <c r="C3200">
        <v>7</v>
      </c>
      <c r="D3200">
        <v>7</v>
      </c>
      <c r="E3200" t="s">
        <v>213</v>
      </c>
    </row>
    <row r="3201" spans="1:6" x14ac:dyDescent="0.25">
      <c r="A3201">
        <v>115</v>
      </c>
      <c r="B3201">
        <v>441</v>
      </c>
      <c r="C3201">
        <v>6</v>
      </c>
      <c r="D3201">
        <v>6</v>
      </c>
      <c r="E3201" t="s">
        <v>213</v>
      </c>
    </row>
    <row r="3202" spans="1:6" x14ac:dyDescent="0.25">
      <c r="A3202">
        <v>115</v>
      </c>
      <c r="B3202">
        <v>467</v>
      </c>
      <c r="C3202">
        <v>4</v>
      </c>
      <c r="D3202">
        <v>4</v>
      </c>
      <c r="E3202" t="s">
        <v>213</v>
      </c>
    </row>
    <row r="3203" spans="1:6" x14ac:dyDescent="0.25">
      <c r="A3203">
        <v>115</v>
      </c>
      <c r="B3203">
        <v>468</v>
      </c>
      <c r="C3203">
        <v>4</v>
      </c>
      <c r="D3203">
        <v>4</v>
      </c>
      <c r="E3203" t="s">
        <v>213</v>
      </c>
    </row>
    <row r="3204" spans="1:6" x14ac:dyDescent="0.25">
      <c r="A3204">
        <v>115</v>
      </c>
      <c r="B3204">
        <v>469</v>
      </c>
      <c r="C3204">
        <v>3</v>
      </c>
      <c r="D3204">
        <v>3</v>
      </c>
      <c r="E3204" t="s">
        <v>213</v>
      </c>
    </row>
    <row r="3205" spans="1:6" x14ac:dyDescent="0.25">
      <c r="A3205">
        <v>115</v>
      </c>
      <c r="B3205">
        <v>470</v>
      </c>
      <c r="C3205">
        <v>2</v>
      </c>
      <c r="D3205">
        <v>2</v>
      </c>
      <c r="E3205" t="s">
        <v>213</v>
      </c>
    </row>
    <row r="3206" spans="1:6" x14ac:dyDescent="0.25">
      <c r="A3206">
        <v>115</v>
      </c>
      <c r="B3206">
        <v>471</v>
      </c>
      <c r="C3206">
        <v>3</v>
      </c>
      <c r="D3206">
        <v>3</v>
      </c>
      <c r="E3206" t="s">
        <v>213</v>
      </c>
    </row>
    <row r="3207" spans="1:6" x14ac:dyDescent="0.25">
      <c r="A3207">
        <v>115</v>
      </c>
      <c r="B3207">
        <v>473</v>
      </c>
      <c r="C3207">
        <v>3</v>
      </c>
      <c r="D3207">
        <v>3</v>
      </c>
      <c r="E3207" t="s">
        <v>213</v>
      </c>
    </row>
    <row r="3208" spans="1:6" x14ac:dyDescent="0.25">
      <c r="A3208">
        <v>115</v>
      </c>
      <c r="B3208">
        <v>474</v>
      </c>
      <c r="C3208">
        <v>3</v>
      </c>
      <c r="D3208">
        <v>3</v>
      </c>
      <c r="E3208" t="s">
        <v>213</v>
      </c>
    </row>
    <row r="3209" spans="1:6" x14ac:dyDescent="0.25">
      <c r="A3209">
        <v>115</v>
      </c>
      <c r="B3209">
        <v>475</v>
      </c>
      <c r="C3209">
        <v>3</v>
      </c>
      <c r="D3209">
        <v>3</v>
      </c>
      <c r="E3209" t="s">
        <v>213</v>
      </c>
    </row>
    <row r="3210" spans="1:6" x14ac:dyDescent="0.25">
      <c r="A3210">
        <v>115</v>
      </c>
      <c r="B3210">
        <v>476</v>
      </c>
      <c r="C3210">
        <v>5</v>
      </c>
      <c r="D3210">
        <v>5</v>
      </c>
      <c r="E3210" t="s">
        <v>213</v>
      </c>
    </row>
    <row r="3211" spans="1:6" x14ac:dyDescent="0.25">
      <c r="A3211">
        <v>115</v>
      </c>
      <c r="B3211">
        <v>478</v>
      </c>
      <c r="C3211">
        <v>4</v>
      </c>
      <c r="D3211">
        <v>4</v>
      </c>
      <c r="E3211" t="s">
        <v>213</v>
      </c>
    </row>
    <row r="3212" spans="1:6" x14ac:dyDescent="0.25">
      <c r="A3212">
        <v>115</v>
      </c>
      <c r="B3212">
        <v>479</v>
      </c>
      <c r="C3212">
        <v>3</v>
      </c>
      <c r="D3212">
        <v>3</v>
      </c>
      <c r="E3212" t="s">
        <v>213</v>
      </c>
    </row>
    <row r="3213" spans="1:6" x14ac:dyDescent="0.25">
      <c r="A3213">
        <v>115</v>
      </c>
      <c r="B3213">
        <v>480</v>
      </c>
      <c r="C3213">
        <v>2</v>
      </c>
      <c r="D3213">
        <v>2</v>
      </c>
      <c r="E3213" t="s">
        <v>213</v>
      </c>
    </row>
    <row r="3214" spans="1:6" x14ac:dyDescent="0.25">
      <c r="A3214">
        <v>115</v>
      </c>
      <c r="B3214">
        <v>489</v>
      </c>
      <c r="C3214">
        <v>2</v>
      </c>
      <c r="D3214">
        <v>2</v>
      </c>
      <c r="E3214" t="s">
        <v>213</v>
      </c>
      <c r="F3214">
        <f>SUM(C3167:C3214)</f>
        <v>156</v>
      </c>
    </row>
    <row r="3215" spans="1:6" x14ac:dyDescent="0.25">
      <c r="A3215">
        <v>80</v>
      </c>
      <c r="B3215">
        <v>149</v>
      </c>
      <c r="C3215">
        <v>1</v>
      </c>
      <c r="D3215">
        <v>1</v>
      </c>
      <c r="E3215" t="s">
        <v>254</v>
      </c>
    </row>
    <row r="3216" spans="1:6" x14ac:dyDescent="0.25">
      <c r="A3216">
        <v>80</v>
      </c>
      <c r="B3216">
        <v>150</v>
      </c>
      <c r="C3216">
        <v>1</v>
      </c>
      <c r="D3216">
        <v>1</v>
      </c>
      <c r="E3216" t="s">
        <v>254</v>
      </c>
    </row>
    <row r="3217" spans="1:5" x14ac:dyDescent="0.25">
      <c r="A3217">
        <v>80</v>
      </c>
      <c r="B3217">
        <v>152</v>
      </c>
      <c r="C3217">
        <v>1</v>
      </c>
      <c r="D3217">
        <v>1</v>
      </c>
      <c r="E3217" t="s">
        <v>254</v>
      </c>
    </row>
    <row r="3218" spans="1:5" x14ac:dyDescent="0.25">
      <c r="A3218">
        <v>80</v>
      </c>
      <c r="B3218">
        <v>154</v>
      </c>
      <c r="C3218">
        <v>2</v>
      </c>
      <c r="D3218">
        <v>2</v>
      </c>
      <c r="E3218" t="s">
        <v>254</v>
      </c>
    </row>
    <row r="3219" spans="1:5" x14ac:dyDescent="0.25">
      <c r="A3219">
        <v>80</v>
      </c>
      <c r="B3219">
        <v>155</v>
      </c>
      <c r="C3219">
        <v>1</v>
      </c>
      <c r="D3219">
        <v>1</v>
      </c>
      <c r="E3219" t="s">
        <v>254</v>
      </c>
    </row>
    <row r="3220" spans="1:5" x14ac:dyDescent="0.25">
      <c r="A3220">
        <v>80</v>
      </c>
      <c r="B3220">
        <v>156</v>
      </c>
      <c r="C3220">
        <v>1</v>
      </c>
      <c r="D3220">
        <v>1</v>
      </c>
      <c r="E3220" t="s">
        <v>254</v>
      </c>
    </row>
    <row r="3221" spans="1:5" x14ac:dyDescent="0.25">
      <c r="A3221">
        <v>80</v>
      </c>
      <c r="B3221">
        <v>157</v>
      </c>
      <c r="C3221">
        <v>1</v>
      </c>
      <c r="D3221">
        <v>1</v>
      </c>
      <c r="E3221" t="s">
        <v>254</v>
      </c>
    </row>
    <row r="3222" spans="1:5" x14ac:dyDescent="0.25">
      <c r="A3222">
        <v>80</v>
      </c>
      <c r="B3222">
        <v>160</v>
      </c>
      <c r="C3222">
        <v>1</v>
      </c>
      <c r="D3222">
        <v>1</v>
      </c>
      <c r="E3222" t="s">
        <v>254</v>
      </c>
    </row>
    <row r="3223" spans="1:5" x14ac:dyDescent="0.25">
      <c r="A3223">
        <v>80</v>
      </c>
      <c r="B3223">
        <v>161</v>
      </c>
      <c r="C3223">
        <v>1</v>
      </c>
      <c r="D3223">
        <v>1</v>
      </c>
      <c r="E3223" t="s">
        <v>254</v>
      </c>
    </row>
    <row r="3224" spans="1:5" x14ac:dyDescent="0.25">
      <c r="A3224">
        <v>80</v>
      </c>
      <c r="B3224">
        <v>273</v>
      </c>
      <c r="C3224">
        <v>1</v>
      </c>
      <c r="D3224">
        <v>1</v>
      </c>
      <c r="E3224" t="s">
        <v>254</v>
      </c>
    </row>
    <row r="3225" spans="1:5" x14ac:dyDescent="0.25">
      <c r="A3225">
        <v>80</v>
      </c>
      <c r="B3225">
        <v>276</v>
      </c>
      <c r="C3225">
        <v>2</v>
      </c>
      <c r="D3225">
        <v>2</v>
      </c>
      <c r="E3225" t="s">
        <v>254</v>
      </c>
    </row>
    <row r="3226" spans="1:5" x14ac:dyDescent="0.25">
      <c r="A3226">
        <v>80</v>
      </c>
      <c r="B3226">
        <v>277</v>
      </c>
      <c r="C3226">
        <v>4</v>
      </c>
      <c r="D3226">
        <v>4</v>
      </c>
      <c r="E3226" t="s">
        <v>254</v>
      </c>
    </row>
    <row r="3227" spans="1:5" x14ac:dyDescent="0.25">
      <c r="A3227">
        <v>80</v>
      </c>
      <c r="B3227">
        <v>278</v>
      </c>
      <c r="C3227">
        <v>2</v>
      </c>
      <c r="D3227">
        <v>2</v>
      </c>
      <c r="E3227" t="s">
        <v>254</v>
      </c>
    </row>
    <row r="3228" spans="1:5" x14ac:dyDescent="0.25">
      <c r="A3228">
        <v>80</v>
      </c>
      <c r="B3228">
        <v>280</v>
      </c>
      <c r="C3228">
        <v>1</v>
      </c>
      <c r="D3228">
        <v>1</v>
      </c>
      <c r="E3228" t="s">
        <v>254</v>
      </c>
    </row>
    <row r="3229" spans="1:5" x14ac:dyDescent="0.25">
      <c r="A3229">
        <v>80</v>
      </c>
      <c r="B3229">
        <v>281</v>
      </c>
      <c r="C3229">
        <v>1</v>
      </c>
      <c r="D3229">
        <v>1</v>
      </c>
      <c r="E3229" t="s">
        <v>254</v>
      </c>
    </row>
    <row r="3230" spans="1:5" x14ac:dyDescent="0.25">
      <c r="A3230">
        <v>80</v>
      </c>
      <c r="B3230">
        <v>287</v>
      </c>
      <c r="C3230">
        <v>1</v>
      </c>
      <c r="D3230">
        <v>1</v>
      </c>
      <c r="E3230" t="s">
        <v>254</v>
      </c>
    </row>
    <row r="3231" spans="1:5" x14ac:dyDescent="0.25">
      <c r="A3231">
        <v>80</v>
      </c>
      <c r="B3231">
        <v>289</v>
      </c>
      <c r="C3231">
        <v>1</v>
      </c>
      <c r="D3231">
        <v>1</v>
      </c>
      <c r="E3231" t="s">
        <v>254</v>
      </c>
    </row>
    <row r="3232" spans="1:5" x14ac:dyDescent="0.25">
      <c r="A3232">
        <v>80</v>
      </c>
      <c r="B3232">
        <v>293</v>
      </c>
      <c r="C3232">
        <v>1</v>
      </c>
      <c r="D3232">
        <v>1</v>
      </c>
      <c r="E3232" t="s">
        <v>254</v>
      </c>
    </row>
    <row r="3233" spans="1:6" x14ac:dyDescent="0.25">
      <c r="A3233">
        <v>80</v>
      </c>
      <c r="B3233">
        <v>296</v>
      </c>
      <c r="C3233">
        <v>1</v>
      </c>
      <c r="D3233">
        <v>1</v>
      </c>
      <c r="E3233" t="s">
        <v>254</v>
      </c>
    </row>
    <row r="3234" spans="1:6" x14ac:dyDescent="0.25">
      <c r="A3234">
        <v>80</v>
      </c>
      <c r="B3234">
        <v>406</v>
      </c>
      <c r="C3234">
        <v>1</v>
      </c>
      <c r="D3234">
        <v>1</v>
      </c>
      <c r="E3234" t="s">
        <v>254</v>
      </c>
    </row>
    <row r="3235" spans="1:6" x14ac:dyDescent="0.25">
      <c r="A3235">
        <v>80</v>
      </c>
      <c r="B3235">
        <v>414</v>
      </c>
      <c r="C3235">
        <v>1</v>
      </c>
      <c r="D3235">
        <v>1</v>
      </c>
      <c r="E3235" t="s">
        <v>254</v>
      </c>
    </row>
    <row r="3236" spans="1:6" x14ac:dyDescent="0.25">
      <c r="A3236">
        <v>80</v>
      </c>
      <c r="B3236">
        <v>423</v>
      </c>
      <c r="C3236">
        <v>1</v>
      </c>
      <c r="D3236">
        <v>1</v>
      </c>
      <c r="E3236" t="s">
        <v>254</v>
      </c>
    </row>
    <row r="3237" spans="1:6" x14ac:dyDescent="0.25">
      <c r="A3237">
        <v>80</v>
      </c>
      <c r="B3237">
        <v>427</v>
      </c>
      <c r="C3237">
        <v>2</v>
      </c>
      <c r="D3237">
        <v>2</v>
      </c>
      <c r="E3237" t="s">
        <v>254</v>
      </c>
    </row>
    <row r="3238" spans="1:6" x14ac:dyDescent="0.25">
      <c r="A3238">
        <v>80</v>
      </c>
      <c r="B3238">
        <v>439</v>
      </c>
      <c r="C3238">
        <v>1</v>
      </c>
      <c r="D3238">
        <v>1</v>
      </c>
      <c r="E3238" t="s">
        <v>254</v>
      </c>
    </row>
    <row r="3239" spans="1:6" x14ac:dyDescent="0.25">
      <c r="A3239">
        <v>113</v>
      </c>
      <c r="B3239">
        <v>408</v>
      </c>
      <c r="C3239">
        <v>2</v>
      </c>
      <c r="D3239">
        <v>2</v>
      </c>
      <c r="E3239" t="s">
        <v>254</v>
      </c>
    </row>
    <row r="3240" spans="1:6" x14ac:dyDescent="0.25">
      <c r="A3240">
        <v>113</v>
      </c>
      <c r="B3240">
        <v>409</v>
      </c>
      <c r="C3240">
        <v>1</v>
      </c>
      <c r="D3240">
        <v>1</v>
      </c>
      <c r="E3240" t="s">
        <v>254</v>
      </c>
    </row>
    <row r="3241" spans="1:6" x14ac:dyDescent="0.25">
      <c r="A3241">
        <v>113</v>
      </c>
      <c r="B3241">
        <v>413</v>
      </c>
      <c r="C3241">
        <v>1</v>
      </c>
      <c r="D3241">
        <v>1</v>
      </c>
      <c r="E3241" t="s">
        <v>254</v>
      </c>
    </row>
    <row r="3242" spans="1:6" x14ac:dyDescent="0.25">
      <c r="A3242">
        <v>113</v>
      </c>
      <c r="B3242">
        <v>446</v>
      </c>
      <c r="C3242">
        <v>1</v>
      </c>
      <c r="D3242">
        <v>1</v>
      </c>
      <c r="E3242" t="s">
        <v>254</v>
      </c>
      <c r="F3242">
        <f>SUM(C3215:C3242)</f>
        <v>36</v>
      </c>
    </row>
    <row r="3243" spans="1:6" x14ac:dyDescent="0.25">
      <c r="A3243">
        <v>94</v>
      </c>
      <c r="B3243">
        <v>190</v>
      </c>
      <c r="C3243">
        <v>1</v>
      </c>
      <c r="D3243">
        <v>1</v>
      </c>
      <c r="E3243" t="s">
        <v>183</v>
      </c>
    </row>
    <row r="3244" spans="1:6" x14ac:dyDescent="0.25">
      <c r="A3244">
        <v>94</v>
      </c>
      <c r="B3244">
        <v>191</v>
      </c>
      <c r="C3244">
        <v>1</v>
      </c>
      <c r="D3244">
        <v>1</v>
      </c>
      <c r="E3244" t="s">
        <v>183</v>
      </c>
    </row>
    <row r="3245" spans="1:6" x14ac:dyDescent="0.25">
      <c r="A3245">
        <v>94</v>
      </c>
      <c r="B3245">
        <v>192</v>
      </c>
      <c r="C3245">
        <v>1</v>
      </c>
      <c r="D3245">
        <v>1</v>
      </c>
      <c r="E3245" t="s">
        <v>183</v>
      </c>
    </row>
    <row r="3246" spans="1:6" x14ac:dyDescent="0.25">
      <c r="A3246">
        <v>94</v>
      </c>
      <c r="B3246">
        <v>194</v>
      </c>
      <c r="C3246">
        <v>1</v>
      </c>
      <c r="D3246">
        <v>1</v>
      </c>
      <c r="E3246" t="s">
        <v>183</v>
      </c>
    </row>
    <row r="3247" spans="1:6" x14ac:dyDescent="0.25">
      <c r="A3247">
        <v>94</v>
      </c>
      <c r="B3247">
        <v>195</v>
      </c>
      <c r="C3247">
        <v>1</v>
      </c>
      <c r="D3247">
        <v>1</v>
      </c>
      <c r="E3247" t="s">
        <v>183</v>
      </c>
    </row>
    <row r="3248" spans="1:6" x14ac:dyDescent="0.25">
      <c r="A3248">
        <v>94</v>
      </c>
      <c r="B3248">
        <v>197</v>
      </c>
      <c r="C3248">
        <v>1</v>
      </c>
      <c r="D3248">
        <v>1</v>
      </c>
      <c r="E3248" t="s">
        <v>183</v>
      </c>
    </row>
    <row r="3249" spans="1:5" x14ac:dyDescent="0.25">
      <c r="A3249">
        <v>94</v>
      </c>
      <c r="B3249">
        <v>199</v>
      </c>
      <c r="C3249">
        <v>3</v>
      </c>
      <c r="D3249">
        <v>3</v>
      </c>
      <c r="E3249" t="s">
        <v>183</v>
      </c>
    </row>
    <row r="3250" spans="1:5" x14ac:dyDescent="0.25">
      <c r="A3250">
        <v>94</v>
      </c>
      <c r="B3250">
        <v>200</v>
      </c>
      <c r="C3250">
        <v>2</v>
      </c>
      <c r="D3250">
        <v>2</v>
      </c>
      <c r="E3250" t="s">
        <v>183</v>
      </c>
    </row>
    <row r="3251" spans="1:5" x14ac:dyDescent="0.25">
      <c r="A3251">
        <v>94</v>
      </c>
      <c r="B3251">
        <v>203</v>
      </c>
      <c r="C3251">
        <v>1</v>
      </c>
      <c r="D3251">
        <v>1</v>
      </c>
      <c r="E3251" t="s">
        <v>183</v>
      </c>
    </row>
    <row r="3252" spans="1:5" x14ac:dyDescent="0.25">
      <c r="A3252">
        <v>94</v>
      </c>
      <c r="B3252">
        <v>205</v>
      </c>
      <c r="C3252">
        <v>1</v>
      </c>
      <c r="D3252">
        <v>1</v>
      </c>
      <c r="E3252" t="s">
        <v>183</v>
      </c>
    </row>
    <row r="3253" spans="1:5" x14ac:dyDescent="0.25">
      <c r="A3253">
        <v>94</v>
      </c>
      <c r="B3253">
        <v>206</v>
      </c>
      <c r="C3253">
        <v>1</v>
      </c>
      <c r="D3253">
        <v>1</v>
      </c>
      <c r="E3253" t="s">
        <v>183</v>
      </c>
    </row>
    <row r="3254" spans="1:5" x14ac:dyDescent="0.25">
      <c r="A3254">
        <v>94</v>
      </c>
      <c r="B3254">
        <v>208</v>
      </c>
      <c r="C3254">
        <v>1</v>
      </c>
      <c r="D3254">
        <v>1</v>
      </c>
      <c r="E3254" t="s">
        <v>183</v>
      </c>
    </row>
    <row r="3255" spans="1:5" x14ac:dyDescent="0.25">
      <c r="A3255">
        <v>94</v>
      </c>
      <c r="B3255">
        <v>324</v>
      </c>
      <c r="C3255">
        <v>2</v>
      </c>
      <c r="D3255">
        <v>2</v>
      </c>
      <c r="E3255" t="s">
        <v>183</v>
      </c>
    </row>
    <row r="3256" spans="1:5" x14ac:dyDescent="0.25">
      <c r="A3256">
        <v>94</v>
      </c>
      <c r="B3256">
        <v>326</v>
      </c>
      <c r="C3256">
        <v>1</v>
      </c>
      <c r="D3256">
        <v>1</v>
      </c>
      <c r="E3256" t="s">
        <v>183</v>
      </c>
    </row>
    <row r="3257" spans="1:5" x14ac:dyDescent="0.25">
      <c r="A3257">
        <v>94</v>
      </c>
      <c r="B3257">
        <v>330</v>
      </c>
      <c r="C3257">
        <v>1</v>
      </c>
      <c r="D3257">
        <v>1</v>
      </c>
      <c r="E3257" t="s">
        <v>183</v>
      </c>
    </row>
    <row r="3258" spans="1:5" x14ac:dyDescent="0.25">
      <c r="A3258">
        <v>94</v>
      </c>
      <c r="B3258">
        <v>376</v>
      </c>
      <c r="C3258">
        <v>1</v>
      </c>
      <c r="D3258">
        <v>1</v>
      </c>
      <c r="E3258" t="s">
        <v>183</v>
      </c>
    </row>
    <row r="3259" spans="1:5" x14ac:dyDescent="0.25">
      <c r="A3259">
        <v>94</v>
      </c>
      <c r="B3259">
        <v>377</v>
      </c>
      <c r="C3259">
        <v>1</v>
      </c>
      <c r="D3259">
        <v>1</v>
      </c>
      <c r="E3259" t="s">
        <v>183</v>
      </c>
    </row>
    <row r="3260" spans="1:5" x14ac:dyDescent="0.25">
      <c r="A3260">
        <v>94</v>
      </c>
      <c r="B3260">
        <v>378</v>
      </c>
      <c r="C3260">
        <v>1</v>
      </c>
      <c r="D3260">
        <v>1</v>
      </c>
      <c r="E3260" t="s">
        <v>183</v>
      </c>
    </row>
    <row r="3261" spans="1:5" x14ac:dyDescent="0.25">
      <c r="A3261">
        <v>94</v>
      </c>
      <c r="B3261">
        <v>379</v>
      </c>
      <c r="C3261">
        <v>2</v>
      </c>
      <c r="D3261">
        <v>2</v>
      </c>
      <c r="E3261" t="s">
        <v>183</v>
      </c>
    </row>
    <row r="3262" spans="1:5" x14ac:dyDescent="0.25">
      <c r="A3262">
        <v>94</v>
      </c>
      <c r="B3262">
        <v>382</v>
      </c>
      <c r="C3262">
        <v>1</v>
      </c>
      <c r="D3262">
        <v>1</v>
      </c>
      <c r="E3262" t="s">
        <v>183</v>
      </c>
    </row>
    <row r="3263" spans="1:5" x14ac:dyDescent="0.25">
      <c r="A3263">
        <v>94</v>
      </c>
      <c r="B3263">
        <v>384</v>
      </c>
      <c r="C3263">
        <v>2</v>
      </c>
      <c r="D3263">
        <v>2</v>
      </c>
      <c r="E3263" t="s">
        <v>183</v>
      </c>
    </row>
    <row r="3264" spans="1:5" x14ac:dyDescent="0.25">
      <c r="A3264">
        <v>94</v>
      </c>
      <c r="B3264">
        <v>385</v>
      </c>
      <c r="C3264">
        <v>1</v>
      </c>
      <c r="D3264">
        <v>1</v>
      </c>
      <c r="E3264" t="s">
        <v>183</v>
      </c>
    </row>
    <row r="3265" spans="1:5" x14ac:dyDescent="0.25">
      <c r="A3265">
        <v>94</v>
      </c>
      <c r="B3265">
        <v>386</v>
      </c>
      <c r="C3265">
        <v>1</v>
      </c>
      <c r="D3265">
        <v>1</v>
      </c>
      <c r="E3265" t="s">
        <v>183</v>
      </c>
    </row>
    <row r="3266" spans="1:5" x14ac:dyDescent="0.25">
      <c r="A3266">
        <v>94</v>
      </c>
      <c r="B3266">
        <v>387</v>
      </c>
      <c r="C3266">
        <v>1</v>
      </c>
      <c r="D3266">
        <v>1</v>
      </c>
      <c r="E3266" t="s">
        <v>183</v>
      </c>
    </row>
    <row r="3267" spans="1:5" x14ac:dyDescent="0.25">
      <c r="A3267">
        <v>94</v>
      </c>
      <c r="B3267">
        <v>404</v>
      </c>
      <c r="C3267">
        <v>1</v>
      </c>
      <c r="D3267">
        <v>1</v>
      </c>
      <c r="E3267" t="s">
        <v>183</v>
      </c>
    </row>
    <row r="3268" spans="1:5" x14ac:dyDescent="0.25">
      <c r="A3268">
        <v>94</v>
      </c>
      <c r="B3268">
        <v>431</v>
      </c>
      <c r="C3268">
        <v>2</v>
      </c>
      <c r="D3268">
        <v>2</v>
      </c>
      <c r="E3268" t="s">
        <v>183</v>
      </c>
    </row>
    <row r="3269" spans="1:5" x14ac:dyDescent="0.25">
      <c r="A3269">
        <v>94</v>
      </c>
      <c r="B3269">
        <v>451</v>
      </c>
      <c r="C3269">
        <v>1</v>
      </c>
      <c r="D3269">
        <v>1</v>
      </c>
      <c r="E3269" t="s">
        <v>183</v>
      </c>
    </row>
    <row r="3270" spans="1:5" x14ac:dyDescent="0.25">
      <c r="A3270">
        <v>94</v>
      </c>
      <c r="B3270">
        <v>475</v>
      </c>
      <c r="C3270">
        <v>1</v>
      </c>
      <c r="D3270">
        <v>1</v>
      </c>
      <c r="E3270" t="s">
        <v>183</v>
      </c>
    </row>
    <row r="3271" spans="1:5" x14ac:dyDescent="0.25">
      <c r="A3271">
        <v>94</v>
      </c>
      <c r="B3271">
        <v>481</v>
      </c>
      <c r="C3271">
        <v>3</v>
      </c>
      <c r="D3271">
        <v>3</v>
      </c>
      <c r="E3271" t="s">
        <v>183</v>
      </c>
    </row>
    <row r="3272" spans="1:5" x14ac:dyDescent="0.25">
      <c r="A3272">
        <v>94</v>
      </c>
      <c r="B3272">
        <v>492</v>
      </c>
      <c r="C3272">
        <v>2</v>
      </c>
      <c r="D3272">
        <v>2</v>
      </c>
      <c r="E3272" t="s">
        <v>183</v>
      </c>
    </row>
    <row r="3273" spans="1:5" x14ac:dyDescent="0.25">
      <c r="A3273">
        <v>94</v>
      </c>
      <c r="B3273">
        <v>513</v>
      </c>
      <c r="C3273">
        <v>1</v>
      </c>
      <c r="D3273">
        <v>1</v>
      </c>
      <c r="E3273" t="s">
        <v>183</v>
      </c>
    </row>
    <row r="3274" spans="1:5" x14ac:dyDescent="0.25">
      <c r="A3274">
        <v>94</v>
      </c>
      <c r="B3274">
        <v>527</v>
      </c>
      <c r="C3274">
        <v>1</v>
      </c>
      <c r="D3274">
        <v>1</v>
      </c>
      <c r="E3274" t="s">
        <v>183</v>
      </c>
    </row>
    <row r="3275" spans="1:5" x14ac:dyDescent="0.25">
      <c r="A3275">
        <v>94</v>
      </c>
      <c r="B3275">
        <v>532</v>
      </c>
      <c r="C3275">
        <v>1</v>
      </c>
      <c r="D3275">
        <v>1</v>
      </c>
      <c r="E3275" t="s">
        <v>183</v>
      </c>
    </row>
    <row r="3276" spans="1:5" x14ac:dyDescent="0.25">
      <c r="A3276">
        <v>94</v>
      </c>
      <c r="B3276">
        <v>575</v>
      </c>
      <c r="C3276">
        <v>1</v>
      </c>
      <c r="D3276">
        <v>1</v>
      </c>
      <c r="E3276" t="s">
        <v>183</v>
      </c>
    </row>
    <row r="3277" spans="1:5" x14ac:dyDescent="0.25">
      <c r="A3277">
        <v>94</v>
      </c>
      <c r="B3277">
        <v>579</v>
      </c>
      <c r="C3277">
        <v>1</v>
      </c>
      <c r="D3277">
        <v>1</v>
      </c>
      <c r="E3277" t="s">
        <v>183</v>
      </c>
    </row>
    <row r="3278" spans="1:5" x14ac:dyDescent="0.25">
      <c r="A3278">
        <v>94</v>
      </c>
      <c r="B3278">
        <v>585</v>
      </c>
      <c r="C3278">
        <v>1</v>
      </c>
      <c r="D3278">
        <v>1</v>
      </c>
      <c r="E3278" t="s">
        <v>183</v>
      </c>
    </row>
    <row r="3279" spans="1:5" x14ac:dyDescent="0.25">
      <c r="A3279">
        <v>94</v>
      </c>
      <c r="B3279">
        <v>599</v>
      </c>
      <c r="C3279">
        <v>3</v>
      </c>
      <c r="D3279">
        <v>3</v>
      </c>
      <c r="E3279" t="s">
        <v>183</v>
      </c>
    </row>
    <row r="3280" spans="1:5" x14ac:dyDescent="0.25">
      <c r="A3280">
        <v>94</v>
      </c>
      <c r="B3280">
        <v>626</v>
      </c>
      <c r="C3280">
        <v>1</v>
      </c>
      <c r="D3280">
        <v>1</v>
      </c>
      <c r="E3280" t="s">
        <v>183</v>
      </c>
    </row>
    <row r="3281" spans="1:5" x14ac:dyDescent="0.25">
      <c r="A3281">
        <v>94</v>
      </c>
      <c r="B3281">
        <v>638</v>
      </c>
      <c r="C3281">
        <v>1</v>
      </c>
      <c r="D3281">
        <v>1</v>
      </c>
      <c r="E3281" t="s">
        <v>183</v>
      </c>
    </row>
    <row r="3282" spans="1:5" x14ac:dyDescent="0.25">
      <c r="A3282">
        <v>94</v>
      </c>
      <c r="B3282">
        <v>645</v>
      </c>
      <c r="C3282">
        <v>5</v>
      </c>
      <c r="D3282">
        <v>5</v>
      </c>
      <c r="E3282" t="s">
        <v>183</v>
      </c>
    </row>
    <row r="3283" spans="1:5" x14ac:dyDescent="0.25">
      <c r="A3283">
        <v>94</v>
      </c>
      <c r="B3283">
        <v>649</v>
      </c>
      <c r="C3283">
        <v>1</v>
      </c>
      <c r="D3283">
        <v>1</v>
      </c>
      <c r="E3283" t="s">
        <v>183</v>
      </c>
    </row>
    <row r="3284" spans="1:5" x14ac:dyDescent="0.25">
      <c r="A3284">
        <v>94</v>
      </c>
      <c r="B3284">
        <v>671</v>
      </c>
      <c r="C3284">
        <v>2</v>
      </c>
      <c r="D3284">
        <v>2</v>
      </c>
      <c r="E3284" t="s">
        <v>183</v>
      </c>
    </row>
    <row r="3285" spans="1:5" x14ac:dyDescent="0.25">
      <c r="A3285">
        <v>94</v>
      </c>
      <c r="B3285">
        <v>675</v>
      </c>
      <c r="C3285">
        <v>1</v>
      </c>
      <c r="D3285">
        <v>1</v>
      </c>
      <c r="E3285" t="s">
        <v>183</v>
      </c>
    </row>
    <row r="3286" spans="1:5" x14ac:dyDescent="0.25">
      <c r="A3286">
        <v>94</v>
      </c>
      <c r="B3286">
        <v>700</v>
      </c>
      <c r="C3286">
        <v>1</v>
      </c>
      <c r="D3286">
        <v>1</v>
      </c>
      <c r="E3286" t="s">
        <v>183</v>
      </c>
    </row>
    <row r="3287" spans="1:5" x14ac:dyDescent="0.25">
      <c r="A3287">
        <v>94</v>
      </c>
      <c r="B3287">
        <v>718</v>
      </c>
      <c r="C3287">
        <v>1</v>
      </c>
      <c r="D3287">
        <v>1</v>
      </c>
      <c r="E3287" t="s">
        <v>183</v>
      </c>
    </row>
    <row r="3288" spans="1:5" x14ac:dyDescent="0.25">
      <c r="A3288">
        <v>94</v>
      </c>
      <c r="B3288">
        <v>726</v>
      </c>
      <c r="C3288">
        <v>1</v>
      </c>
      <c r="D3288">
        <v>1</v>
      </c>
      <c r="E3288" t="s">
        <v>183</v>
      </c>
    </row>
    <row r="3289" spans="1:5" x14ac:dyDescent="0.25">
      <c r="A3289">
        <v>94</v>
      </c>
      <c r="B3289">
        <v>730</v>
      </c>
      <c r="C3289">
        <v>4</v>
      </c>
      <c r="D3289">
        <v>4</v>
      </c>
      <c r="E3289" t="s">
        <v>183</v>
      </c>
    </row>
    <row r="3290" spans="1:5" x14ac:dyDescent="0.25">
      <c r="A3290">
        <v>94</v>
      </c>
      <c r="B3290">
        <v>737</v>
      </c>
      <c r="C3290">
        <v>1</v>
      </c>
      <c r="D3290">
        <v>1</v>
      </c>
      <c r="E3290" t="s">
        <v>183</v>
      </c>
    </row>
    <row r="3291" spans="1:5" x14ac:dyDescent="0.25">
      <c r="A3291">
        <v>94</v>
      </c>
      <c r="B3291">
        <v>743</v>
      </c>
      <c r="C3291">
        <v>1</v>
      </c>
      <c r="D3291">
        <v>1</v>
      </c>
      <c r="E3291" t="s">
        <v>183</v>
      </c>
    </row>
    <row r="3292" spans="1:5" x14ac:dyDescent="0.25">
      <c r="A3292">
        <v>94</v>
      </c>
      <c r="B3292">
        <v>757</v>
      </c>
      <c r="C3292">
        <v>1</v>
      </c>
      <c r="D3292">
        <v>1</v>
      </c>
      <c r="E3292" t="s">
        <v>183</v>
      </c>
    </row>
    <row r="3293" spans="1:5" x14ac:dyDescent="0.25">
      <c r="A3293">
        <v>94</v>
      </c>
      <c r="B3293">
        <v>764</v>
      </c>
      <c r="C3293">
        <v>1</v>
      </c>
      <c r="D3293">
        <v>1</v>
      </c>
      <c r="E3293" t="s">
        <v>183</v>
      </c>
    </row>
    <row r="3294" spans="1:5" x14ac:dyDescent="0.25">
      <c r="A3294">
        <v>94</v>
      </c>
      <c r="B3294">
        <v>769</v>
      </c>
      <c r="C3294">
        <v>1</v>
      </c>
      <c r="D3294">
        <v>1</v>
      </c>
      <c r="E3294" t="s">
        <v>183</v>
      </c>
    </row>
    <row r="3295" spans="1:5" x14ac:dyDescent="0.25">
      <c r="A3295">
        <v>94</v>
      </c>
      <c r="B3295">
        <v>774</v>
      </c>
      <c r="C3295">
        <v>1</v>
      </c>
      <c r="D3295">
        <v>1</v>
      </c>
      <c r="E3295" t="s">
        <v>183</v>
      </c>
    </row>
    <row r="3296" spans="1:5" x14ac:dyDescent="0.25">
      <c r="A3296">
        <v>94</v>
      </c>
      <c r="B3296">
        <v>782</v>
      </c>
      <c r="C3296">
        <v>3</v>
      </c>
      <c r="D3296">
        <v>3</v>
      </c>
      <c r="E3296" t="s">
        <v>183</v>
      </c>
    </row>
    <row r="3297" spans="1:5" x14ac:dyDescent="0.25">
      <c r="A3297">
        <v>94</v>
      </c>
      <c r="B3297">
        <v>783</v>
      </c>
      <c r="C3297">
        <v>4</v>
      </c>
      <c r="D3297">
        <v>4</v>
      </c>
      <c r="E3297" t="s">
        <v>183</v>
      </c>
    </row>
    <row r="3298" spans="1:5" x14ac:dyDescent="0.25">
      <c r="A3298">
        <v>94</v>
      </c>
      <c r="B3298">
        <v>785</v>
      </c>
      <c r="C3298">
        <v>1</v>
      </c>
      <c r="D3298">
        <v>1</v>
      </c>
      <c r="E3298" t="s">
        <v>183</v>
      </c>
    </row>
    <row r="3299" spans="1:5" x14ac:dyDescent="0.25">
      <c r="A3299">
        <v>94</v>
      </c>
      <c r="B3299">
        <v>798</v>
      </c>
      <c r="C3299">
        <v>1</v>
      </c>
      <c r="D3299">
        <v>1</v>
      </c>
      <c r="E3299" t="s">
        <v>183</v>
      </c>
    </row>
    <row r="3300" spans="1:5" x14ac:dyDescent="0.25">
      <c r="A3300">
        <v>94</v>
      </c>
      <c r="B3300">
        <v>804</v>
      </c>
      <c r="C3300">
        <v>1</v>
      </c>
      <c r="D3300">
        <v>1</v>
      </c>
      <c r="E3300" t="s">
        <v>183</v>
      </c>
    </row>
    <row r="3301" spans="1:5" x14ac:dyDescent="0.25">
      <c r="A3301">
        <v>94</v>
      </c>
      <c r="B3301">
        <v>806</v>
      </c>
      <c r="C3301">
        <v>1</v>
      </c>
      <c r="D3301">
        <v>1</v>
      </c>
      <c r="E3301" t="s">
        <v>183</v>
      </c>
    </row>
    <row r="3302" spans="1:5" x14ac:dyDescent="0.25">
      <c r="A3302">
        <v>94</v>
      </c>
      <c r="B3302">
        <v>809</v>
      </c>
      <c r="C3302">
        <v>1</v>
      </c>
      <c r="D3302">
        <v>1</v>
      </c>
      <c r="E3302" t="s">
        <v>183</v>
      </c>
    </row>
    <row r="3303" spans="1:5" x14ac:dyDescent="0.25">
      <c r="A3303">
        <v>94</v>
      </c>
      <c r="B3303">
        <v>817</v>
      </c>
      <c r="C3303">
        <v>1</v>
      </c>
      <c r="D3303">
        <v>1</v>
      </c>
      <c r="E3303" t="s">
        <v>183</v>
      </c>
    </row>
    <row r="3304" spans="1:5" x14ac:dyDescent="0.25">
      <c r="A3304">
        <v>94</v>
      </c>
      <c r="B3304">
        <v>824</v>
      </c>
      <c r="C3304">
        <v>3</v>
      </c>
      <c r="D3304">
        <v>3</v>
      </c>
      <c r="E3304" t="s">
        <v>183</v>
      </c>
    </row>
    <row r="3305" spans="1:5" x14ac:dyDescent="0.25">
      <c r="A3305">
        <v>94</v>
      </c>
      <c r="B3305">
        <v>826</v>
      </c>
      <c r="C3305">
        <v>1</v>
      </c>
      <c r="D3305">
        <v>1</v>
      </c>
      <c r="E3305" t="s">
        <v>183</v>
      </c>
    </row>
    <row r="3306" spans="1:5" x14ac:dyDescent="0.25">
      <c r="A3306">
        <v>94</v>
      </c>
      <c r="B3306">
        <v>832</v>
      </c>
      <c r="C3306">
        <v>1</v>
      </c>
      <c r="D3306">
        <v>1</v>
      </c>
      <c r="E3306" t="s">
        <v>183</v>
      </c>
    </row>
    <row r="3307" spans="1:5" x14ac:dyDescent="0.25">
      <c r="A3307">
        <v>94</v>
      </c>
      <c r="B3307">
        <v>835</v>
      </c>
      <c r="C3307">
        <v>1</v>
      </c>
      <c r="D3307">
        <v>1</v>
      </c>
      <c r="E3307" t="s">
        <v>183</v>
      </c>
    </row>
    <row r="3308" spans="1:5" x14ac:dyDescent="0.25">
      <c r="A3308">
        <v>94</v>
      </c>
      <c r="B3308">
        <v>836</v>
      </c>
      <c r="C3308">
        <v>1</v>
      </c>
      <c r="D3308">
        <v>1</v>
      </c>
      <c r="E3308" t="s">
        <v>183</v>
      </c>
    </row>
    <row r="3309" spans="1:5" x14ac:dyDescent="0.25">
      <c r="A3309">
        <v>94</v>
      </c>
      <c r="B3309">
        <v>852</v>
      </c>
      <c r="C3309">
        <v>2</v>
      </c>
      <c r="D3309">
        <v>2</v>
      </c>
      <c r="E3309" t="s">
        <v>183</v>
      </c>
    </row>
    <row r="3310" spans="1:5" x14ac:dyDescent="0.25">
      <c r="A3310">
        <v>94</v>
      </c>
      <c r="B3310">
        <v>853</v>
      </c>
      <c r="C3310">
        <v>1</v>
      </c>
      <c r="D3310">
        <v>1</v>
      </c>
      <c r="E3310" t="s">
        <v>183</v>
      </c>
    </row>
    <row r="3311" spans="1:5" x14ac:dyDescent="0.25">
      <c r="A3311">
        <v>94</v>
      </c>
      <c r="B3311">
        <v>854</v>
      </c>
      <c r="C3311">
        <v>2</v>
      </c>
      <c r="D3311">
        <v>2</v>
      </c>
      <c r="E3311" t="s">
        <v>183</v>
      </c>
    </row>
    <row r="3312" spans="1:5" x14ac:dyDescent="0.25">
      <c r="A3312">
        <v>94</v>
      </c>
      <c r="B3312">
        <v>903</v>
      </c>
      <c r="C3312">
        <v>3</v>
      </c>
      <c r="D3312">
        <v>3</v>
      </c>
      <c r="E3312" t="s">
        <v>183</v>
      </c>
    </row>
    <row r="3313" spans="1:7" x14ac:dyDescent="0.25">
      <c r="A3313">
        <v>94</v>
      </c>
      <c r="B3313">
        <v>912</v>
      </c>
      <c r="C3313">
        <v>2</v>
      </c>
      <c r="D3313">
        <v>2</v>
      </c>
      <c r="E3313" t="s">
        <v>183</v>
      </c>
    </row>
    <row r="3314" spans="1:7" x14ac:dyDescent="0.25">
      <c r="A3314">
        <v>94</v>
      </c>
      <c r="B3314">
        <v>916</v>
      </c>
      <c r="C3314">
        <v>1</v>
      </c>
      <c r="D3314">
        <v>1</v>
      </c>
      <c r="E3314" t="s">
        <v>183</v>
      </c>
    </row>
    <row r="3315" spans="1:7" x14ac:dyDescent="0.25">
      <c r="A3315">
        <v>94</v>
      </c>
      <c r="B3315">
        <v>930</v>
      </c>
      <c r="C3315">
        <v>1</v>
      </c>
      <c r="D3315">
        <v>1</v>
      </c>
      <c r="E3315" t="s">
        <v>183</v>
      </c>
    </row>
    <row r="3316" spans="1:7" x14ac:dyDescent="0.25">
      <c r="A3316">
        <v>94</v>
      </c>
      <c r="B3316">
        <v>933</v>
      </c>
      <c r="C3316">
        <v>1</v>
      </c>
      <c r="D3316">
        <v>1</v>
      </c>
      <c r="E3316" t="s">
        <v>183</v>
      </c>
    </row>
    <row r="3317" spans="1:7" x14ac:dyDescent="0.25">
      <c r="A3317">
        <v>94</v>
      </c>
      <c r="B3317">
        <v>934</v>
      </c>
      <c r="C3317">
        <v>1</v>
      </c>
      <c r="D3317">
        <v>1</v>
      </c>
      <c r="E3317" t="s">
        <v>183</v>
      </c>
    </row>
    <row r="3318" spans="1:7" x14ac:dyDescent="0.25">
      <c r="A3318">
        <v>94</v>
      </c>
      <c r="B3318">
        <v>937</v>
      </c>
      <c r="C3318">
        <v>3</v>
      </c>
      <c r="D3318">
        <v>3</v>
      </c>
      <c r="E3318" t="s">
        <v>183</v>
      </c>
      <c r="F3318">
        <f>SUM(C3243:C3318)</f>
        <v>110</v>
      </c>
    </row>
    <row r="3319" spans="1:7" x14ac:dyDescent="0.25">
      <c r="C3319">
        <v>10155</v>
      </c>
      <c r="D3319">
        <f>SUM(D1:D3318)</f>
        <v>10155</v>
      </c>
      <c r="F3319">
        <f>SUM(F1:F3318)</f>
        <v>10155</v>
      </c>
      <c r="G3319">
        <f>D3319-F3319</f>
        <v>0</v>
      </c>
    </row>
    <row r="3325" spans="1:7" x14ac:dyDescent="0.25">
      <c r="D3325">
        <f>SUM(D1,D3319)</f>
        <v>10155</v>
      </c>
    </row>
  </sheetData>
  <autoFilter ref="A1:GU3319"/>
  <sortState ref="A2:F3318">
    <sortCondition ref="E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Plan3</vt:lpstr>
      <vt:lpstr>RM</vt:lpstr>
      <vt:lpstr>Ok</vt:lpstr>
      <vt:lpstr>Plan5</vt:lpstr>
      <vt:lpstr>Plan2</vt:lpstr>
      <vt:lpstr>Plan1</vt:lpstr>
      <vt:lpstr>Plan4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2025-11-09T17:07:46Z</dcterms:modified>
</cp:coreProperties>
</file>